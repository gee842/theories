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karita\Desktop\"/>
    </mc:Choice>
  </mc:AlternateContent>
  <xr:revisionPtr revIDLastSave="0" documentId="13_ncr:1_{E0B59E0F-28A2-4816-84DD-276094C2DCF5}" xr6:coauthVersionLast="47" xr6:coauthVersionMax="47" xr10:uidLastSave="{00000000-0000-0000-0000-000000000000}"/>
  <bookViews>
    <workbookView xWindow="8025" yWindow="990" windowWidth="21600" windowHeight="13725" xr2:uid="{00000000-000D-0000-FFFF-FFFF00000000}"/>
  </bookViews>
  <sheets>
    <sheet name="SM" sheetId="1" r:id="rId1"/>
    <sheet name="SM-Dwss" sheetId="2" r:id="rId2"/>
    <sheet name="SM-DfliA" sheetId="3" r:id="rId3"/>
    <sheet name="mwsR" sheetId="6" r:id="rId4"/>
    <sheet name="awsX" sheetId="7" r:id="rId5"/>
    <sheet name="wspF" sheetId="5" r:id="rId6"/>
    <sheet name="wspF-DfliA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B6" i="6"/>
  <c r="B5" i="6"/>
  <c r="B4" i="5"/>
  <c r="B7" i="7"/>
  <c r="B6" i="7"/>
  <c r="B5" i="7"/>
  <c r="B4" i="7"/>
  <c r="B4" i="4"/>
  <c r="B1" i="7"/>
  <c r="B1" i="6"/>
  <c r="B4" i="1"/>
  <c r="B5" i="5"/>
  <c r="B6" i="2"/>
  <c r="B5" i="2"/>
  <c r="B4" i="2"/>
  <c r="B5" i="3"/>
  <c r="B4" i="3"/>
  <c r="B5" i="4"/>
  <c r="B6" i="5"/>
  <c r="B5" i="1"/>
</calcChain>
</file>

<file path=xl/sharedStrings.xml><?xml version="1.0" encoding="utf-8"?>
<sst xmlns="http://schemas.openxmlformats.org/spreadsheetml/2006/main" count="42" uniqueCount="11">
  <si>
    <t>Saturated cell density measured by plating [cells/mL]</t>
  </si>
  <si>
    <t>Dilution factor</t>
  </si>
  <si>
    <t>ROI Area [um^2]</t>
  </si>
  <si>
    <t>counting</t>
  </si>
  <si>
    <t>Data</t>
    <phoneticPr fontId="1"/>
  </si>
  <si>
    <t>"2023-0602"</t>
    <phoneticPr fontId="2" type="noConversion"/>
  </si>
  <si>
    <t>"2023-0605"</t>
    <phoneticPr fontId="1"/>
  </si>
  <si>
    <t>"2023-0621"</t>
    <phoneticPr fontId="1"/>
  </si>
  <si>
    <t>"2024-0326"</t>
    <phoneticPr fontId="1"/>
  </si>
  <si>
    <t>"2023-0526"</t>
    <phoneticPr fontId="1"/>
  </si>
  <si>
    <t>"2023-0601"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</si>
</sst>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8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A19" sqref="A19"/>
    </sheetView>
  </sheetViews>
  <sheetFormatPr defaultRowHeight="18.75"/>
  <cols>
    <col min="1" max="1" width="48" customWidth="1"/>
    <col min="2" max="2" width="16.5" customWidth="1"/>
  </cols>
  <sheetData>
    <row r="1" spans="1:10">
      <c r="A1" t="s">
        <v>0</v>
      </c>
      <c r="B1" s="1">
        <v>16000000000</v>
      </c>
    </row>
    <row r="2" spans="1:10">
      <c r="A2" t="s">
        <v>4</v>
      </c>
      <c r="B2" t="s">
        <v>5</v>
      </c>
    </row>
    <row r="3" spans="1:10">
      <c r="A3" t="s">
        <v>1</v>
      </c>
      <c r="B3" t="s">
        <v>2</v>
      </c>
      <c r="C3" t="s">
        <v>3</v>
      </c>
    </row>
    <row r="4" spans="1:10">
      <c r="A4" s="1">
        <v>10000</v>
      </c>
      <c r="B4">
        <f>801738/36</f>
        <v>22270.5</v>
      </c>
      <c r="C4">
        <v>32</v>
      </c>
      <c r="D4">
        <v>31</v>
      </c>
      <c r="E4">
        <v>32</v>
      </c>
      <c r="F4">
        <v>31</v>
      </c>
      <c r="G4">
        <v>38</v>
      </c>
      <c r="H4">
        <v>32</v>
      </c>
      <c r="I4">
        <v>36</v>
      </c>
      <c r="J4">
        <v>28</v>
      </c>
    </row>
    <row r="5" spans="1:10">
      <c r="A5" s="1">
        <v>100000</v>
      </c>
      <c r="B5">
        <f>801738/9</f>
        <v>89082</v>
      </c>
      <c r="C5">
        <v>16</v>
      </c>
      <c r="D5">
        <v>16</v>
      </c>
      <c r="E5">
        <v>20</v>
      </c>
      <c r="F5">
        <v>16</v>
      </c>
      <c r="G5">
        <v>15</v>
      </c>
      <c r="H5">
        <v>13</v>
      </c>
      <c r="I5">
        <v>21</v>
      </c>
      <c r="J5">
        <v>20</v>
      </c>
    </row>
    <row r="6" spans="1:10">
      <c r="A6" s="1">
        <v>1000000</v>
      </c>
      <c r="B6">
        <v>801738</v>
      </c>
      <c r="C6">
        <v>27</v>
      </c>
      <c r="D6">
        <v>35</v>
      </c>
      <c r="E6">
        <v>41</v>
      </c>
      <c r="F6">
        <v>29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451D-BE1D-43EC-A62D-F70F014169A3}">
  <dimension ref="A1:K7"/>
  <sheetViews>
    <sheetView workbookViewId="0">
      <selection activeCell="C11" sqref="C11"/>
    </sheetView>
  </sheetViews>
  <sheetFormatPr defaultRowHeight="18.75"/>
  <cols>
    <col min="1" max="1" width="49.875" customWidth="1"/>
    <col min="2" max="2" width="18.5" customWidth="1"/>
  </cols>
  <sheetData>
    <row r="1" spans="1:11">
      <c r="A1" t="s">
        <v>0</v>
      </c>
      <c r="B1" s="1">
        <v>19000000000</v>
      </c>
    </row>
    <row r="2" spans="1:11">
      <c r="A2" t="s">
        <v>4</v>
      </c>
      <c r="B2" t="s">
        <v>7</v>
      </c>
    </row>
    <row r="3" spans="1:11">
      <c r="A3" t="s">
        <v>1</v>
      </c>
      <c r="B3" t="s">
        <v>2</v>
      </c>
      <c r="C3" t="s">
        <v>3</v>
      </c>
    </row>
    <row r="4" spans="1:11">
      <c r="A4" s="1">
        <v>1000</v>
      </c>
      <c r="B4">
        <f>801738/144</f>
        <v>5567.625</v>
      </c>
      <c r="C4">
        <v>98</v>
      </c>
      <c r="D4">
        <v>91</v>
      </c>
      <c r="E4">
        <v>99</v>
      </c>
    </row>
    <row r="5" spans="1:11">
      <c r="A5" s="1">
        <v>10000</v>
      </c>
      <c r="B5">
        <f>801738/64</f>
        <v>12527.15625</v>
      </c>
      <c r="C5">
        <v>40</v>
      </c>
      <c r="D5">
        <v>40</v>
      </c>
      <c r="E5">
        <v>26</v>
      </c>
      <c r="F5">
        <v>29</v>
      </c>
      <c r="G5">
        <v>51</v>
      </c>
      <c r="H5">
        <v>42</v>
      </c>
      <c r="I5">
        <v>42</v>
      </c>
      <c r="J5">
        <v>41</v>
      </c>
      <c r="K5">
        <v>27</v>
      </c>
    </row>
    <row r="6" spans="1:11">
      <c r="A6" s="1">
        <v>100000</v>
      </c>
      <c r="B6">
        <f>801738/9</f>
        <v>89082</v>
      </c>
      <c r="C6">
        <v>14</v>
      </c>
      <c r="D6">
        <v>17</v>
      </c>
      <c r="E6">
        <v>22</v>
      </c>
      <c r="F6">
        <v>17</v>
      </c>
      <c r="G6">
        <v>22</v>
      </c>
      <c r="H6">
        <v>13</v>
      </c>
      <c r="I6">
        <v>15</v>
      </c>
      <c r="J6">
        <v>18</v>
      </c>
      <c r="K6">
        <v>18</v>
      </c>
    </row>
    <row r="7" spans="1:11">
      <c r="A7" s="1">
        <v>1000000</v>
      </c>
      <c r="B7">
        <v>801738</v>
      </c>
      <c r="C7">
        <v>30</v>
      </c>
      <c r="D7">
        <v>35</v>
      </c>
      <c r="E7">
        <v>38</v>
      </c>
      <c r="F7">
        <v>34</v>
      </c>
      <c r="G7">
        <v>38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87D0-7DCC-47AA-BAA1-59C58AA2C614}">
  <dimension ref="A1:K6"/>
  <sheetViews>
    <sheetView workbookViewId="0">
      <selection activeCell="H19" sqref="H19"/>
    </sheetView>
  </sheetViews>
  <sheetFormatPr defaultRowHeight="18.75"/>
  <cols>
    <col min="1" max="1" width="56.125" customWidth="1"/>
    <col min="2" max="2" width="22.875" customWidth="1"/>
  </cols>
  <sheetData>
    <row r="1" spans="1:11">
      <c r="A1" t="s">
        <v>0</v>
      </c>
      <c r="B1" s="1">
        <v>1250000000</v>
      </c>
    </row>
    <row r="2" spans="1:11">
      <c r="A2" t="s">
        <v>4</v>
      </c>
      <c r="B2" t="s">
        <v>6</v>
      </c>
    </row>
    <row r="3" spans="1:11">
      <c r="A3" t="s">
        <v>1</v>
      </c>
      <c r="B3" t="s">
        <v>2</v>
      </c>
      <c r="C3" t="s">
        <v>3</v>
      </c>
    </row>
    <row r="4" spans="1:11">
      <c r="A4" s="1">
        <v>100</v>
      </c>
      <c r="B4">
        <f>801738/36</f>
        <v>22270.5</v>
      </c>
      <c r="C4">
        <v>27</v>
      </c>
      <c r="D4">
        <v>31</v>
      </c>
      <c r="E4">
        <v>22</v>
      </c>
      <c r="F4">
        <v>27</v>
      </c>
      <c r="G4">
        <v>15</v>
      </c>
      <c r="H4">
        <v>23</v>
      </c>
      <c r="I4">
        <v>30</v>
      </c>
      <c r="J4">
        <v>22</v>
      </c>
      <c r="K4">
        <v>22</v>
      </c>
    </row>
    <row r="5" spans="1:11">
      <c r="A5" s="1">
        <v>1000</v>
      </c>
      <c r="B5">
        <f>801738/9</f>
        <v>89082</v>
      </c>
      <c r="C5">
        <v>11</v>
      </c>
      <c r="D5">
        <v>16</v>
      </c>
      <c r="E5">
        <v>23</v>
      </c>
      <c r="F5">
        <v>20</v>
      </c>
      <c r="G5">
        <v>17</v>
      </c>
      <c r="H5">
        <v>21</v>
      </c>
      <c r="I5">
        <v>9</v>
      </c>
      <c r="J5">
        <v>20</v>
      </c>
      <c r="K5">
        <v>9</v>
      </c>
    </row>
    <row r="6" spans="1:11">
      <c r="A6" s="1">
        <v>10000</v>
      </c>
      <c r="B6">
        <v>801738</v>
      </c>
      <c r="C6">
        <v>27</v>
      </c>
      <c r="D6">
        <v>26</v>
      </c>
      <c r="E6">
        <v>31</v>
      </c>
      <c r="F6">
        <v>22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EEB0-73F3-4DA1-94A4-CE2E9D8975D0}">
  <dimension ref="A1:N7"/>
  <sheetViews>
    <sheetView workbookViewId="0">
      <selection activeCell="A2" sqref="A2:B2"/>
    </sheetView>
  </sheetViews>
  <sheetFormatPr defaultRowHeight="18.75"/>
  <cols>
    <col min="1" max="1" width="46" customWidth="1"/>
    <col min="2" max="2" width="11.25" customWidth="1"/>
  </cols>
  <sheetData>
    <row r="1" spans="1:14">
      <c r="A1" t="s">
        <v>0</v>
      </c>
      <c r="B1">
        <f>600*1000000*10</f>
        <v>6000000000</v>
      </c>
    </row>
    <row r="2" spans="1:14">
      <c r="A2" t="s">
        <v>4</v>
      </c>
      <c r="B2" t="s">
        <v>8</v>
      </c>
    </row>
    <row r="3" spans="1:14">
      <c r="A3" t="s">
        <v>1</v>
      </c>
      <c r="B3" t="s">
        <v>2</v>
      </c>
      <c r="C3" t="s">
        <v>3</v>
      </c>
    </row>
    <row r="4" spans="1:14">
      <c r="A4" s="1">
        <v>100</v>
      </c>
    </row>
    <row r="5" spans="1:14">
      <c r="A5" s="1">
        <v>1000</v>
      </c>
      <c r="B5">
        <f>801738/324</f>
        <v>2474.5</v>
      </c>
      <c r="C5">
        <v>34</v>
      </c>
      <c r="D5">
        <v>34</v>
      </c>
      <c r="E5">
        <v>29</v>
      </c>
      <c r="F5">
        <v>37</v>
      </c>
      <c r="G5">
        <v>31</v>
      </c>
      <c r="H5">
        <v>35</v>
      </c>
      <c r="I5">
        <v>35</v>
      </c>
      <c r="J5">
        <v>31</v>
      </c>
      <c r="K5">
        <v>33</v>
      </c>
      <c r="L5">
        <v>33</v>
      </c>
      <c r="M5">
        <v>30</v>
      </c>
      <c r="N5">
        <v>34</v>
      </c>
    </row>
    <row r="6" spans="1:14">
      <c r="A6" s="1">
        <v>10000</v>
      </c>
      <c r="B6">
        <f>801738/81</f>
        <v>9898</v>
      </c>
      <c r="C6">
        <v>21</v>
      </c>
      <c r="D6">
        <v>19</v>
      </c>
      <c r="E6">
        <v>21</v>
      </c>
      <c r="F6">
        <v>20</v>
      </c>
      <c r="G6">
        <v>15</v>
      </c>
      <c r="H6">
        <v>16</v>
      </c>
      <c r="I6">
        <v>25</v>
      </c>
      <c r="J6">
        <v>18</v>
      </c>
      <c r="K6">
        <v>15</v>
      </c>
      <c r="L6">
        <v>19</v>
      </c>
    </row>
    <row r="7" spans="1:14">
      <c r="A7" s="1">
        <v>100000</v>
      </c>
      <c r="B7">
        <f>801738/9</f>
        <v>89082</v>
      </c>
      <c r="C7">
        <v>18</v>
      </c>
      <c r="D7">
        <v>16</v>
      </c>
      <c r="E7">
        <v>14</v>
      </c>
      <c r="F7">
        <v>16</v>
      </c>
      <c r="G7">
        <v>16</v>
      </c>
      <c r="H7">
        <v>14</v>
      </c>
      <c r="I7">
        <v>12</v>
      </c>
      <c r="J7">
        <v>16</v>
      </c>
      <c r="K7">
        <v>18</v>
      </c>
      <c r="L7">
        <v>20</v>
      </c>
      <c r="M7">
        <v>14</v>
      </c>
      <c r="N7">
        <v>19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9BF8-F4DB-41EC-A79F-526B8A390473}">
  <dimension ref="A1:N7"/>
  <sheetViews>
    <sheetView workbookViewId="0">
      <selection activeCell="B13" sqref="B13"/>
    </sheetView>
  </sheetViews>
  <sheetFormatPr defaultRowHeight="18.75"/>
  <cols>
    <col min="1" max="1" width="45.375" customWidth="1"/>
    <col min="2" max="2" width="14.875" customWidth="1"/>
  </cols>
  <sheetData>
    <row r="1" spans="1:14">
      <c r="A1" t="s">
        <v>0</v>
      </c>
      <c r="B1">
        <f>340*1000000*10</f>
        <v>3400000000</v>
      </c>
    </row>
    <row r="2" spans="1:14">
      <c r="A2" t="s">
        <v>4</v>
      </c>
      <c r="B2" t="s">
        <v>8</v>
      </c>
    </row>
    <row r="3" spans="1:14">
      <c r="A3" t="s">
        <v>1</v>
      </c>
      <c r="B3" t="s">
        <v>2</v>
      </c>
      <c r="C3" t="s">
        <v>3</v>
      </c>
    </row>
    <row r="4" spans="1:14">
      <c r="A4" s="1">
        <v>100</v>
      </c>
      <c r="B4">
        <f>801738/324</f>
        <v>2474.5</v>
      </c>
      <c r="C4">
        <v>45</v>
      </c>
      <c r="D4">
        <v>53</v>
      </c>
      <c r="E4">
        <v>39</v>
      </c>
      <c r="F4">
        <v>42</v>
      </c>
      <c r="G4">
        <v>53</v>
      </c>
      <c r="H4">
        <v>38</v>
      </c>
      <c r="I4">
        <v>44</v>
      </c>
      <c r="J4">
        <v>53</v>
      </c>
      <c r="K4">
        <v>59</v>
      </c>
      <c r="L4">
        <v>47</v>
      </c>
      <c r="M4">
        <v>57</v>
      </c>
      <c r="N4">
        <v>60</v>
      </c>
    </row>
    <row r="5" spans="1:14">
      <c r="A5" s="1">
        <v>1000</v>
      </c>
      <c r="B5">
        <f>801738/64</f>
        <v>12527.15625</v>
      </c>
      <c r="C5">
        <v>43</v>
      </c>
      <c r="D5">
        <v>35</v>
      </c>
      <c r="E5">
        <v>39</v>
      </c>
      <c r="F5">
        <v>37</v>
      </c>
      <c r="G5">
        <v>35</v>
      </c>
      <c r="H5">
        <v>40</v>
      </c>
      <c r="I5">
        <v>49</v>
      </c>
      <c r="J5">
        <v>43</v>
      </c>
      <c r="K5">
        <v>37</v>
      </c>
      <c r="L5">
        <v>30</v>
      </c>
      <c r="M5">
        <v>29</v>
      </c>
      <c r="N5">
        <v>41</v>
      </c>
    </row>
    <row r="6" spans="1:14">
      <c r="A6" s="1">
        <v>10000</v>
      </c>
      <c r="B6">
        <f>801738/16</f>
        <v>50108.625</v>
      </c>
      <c r="C6">
        <v>29</v>
      </c>
      <c r="D6">
        <v>18</v>
      </c>
      <c r="E6">
        <v>21</v>
      </c>
      <c r="F6">
        <v>10</v>
      </c>
      <c r="G6">
        <v>22</v>
      </c>
      <c r="H6">
        <v>23</v>
      </c>
      <c r="I6">
        <v>18</v>
      </c>
      <c r="J6">
        <v>20</v>
      </c>
      <c r="K6">
        <v>17</v>
      </c>
      <c r="L6">
        <v>20</v>
      </c>
    </row>
    <row r="7" spans="1:14">
      <c r="A7" s="1">
        <v>100000</v>
      </c>
      <c r="B7">
        <f>801738/4</f>
        <v>200434.5</v>
      </c>
      <c r="C7">
        <v>13</v>
      </c>
      <c r="D7">
        <v>12</v>
      </c>
      <c r="E7">
        <v>8</v>
      </c>
      <c r="F7">
        <v>9</v>
      </c>
      <c r="G7">
        <v>14</v>
      </c>
      <c r="H7">
        <v>12</v>
      </c>
      <c r="I7">
        <v>8</v>
      </c>
      <c r="J7">
        <v>17</v>
      </c>
      <c r="K7">
        <v>14</v>
      </c>
      <c r="L7">
        <v>20</v>
      </c>
      <c r="M7">
        <v>10</v>
      </c>
      <c r="N7">
        <v>14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9728-BE8E-40B9-B868-00BD2290BBC3}">
  <dimension ref="A1:T7"/>
  <sheetViews>
    <sheetView workbookViewId="0">
      <selection activeCell="D11" sqref="D11"/>
    </sheetView>
  </sheetViews>
  <sheetFormatPr defaultRowHeight="18.75"/>
  <cols>
    <col min="1" max="1" width="51.25" customWidth="1"/>
    <col min="2" max="2" width="18.25" customWidth="1"/>
  </cols>
  <sheetData>
    <row r="1" spans="1:20">
      <c r="A1" t="s">
        <v>0</v>
      </c>
      <c r="B1" s="1">
        <v>4000000000</v>
      </c>
    </row>
    <row r="2" spans="1:20">
      <c r="A2" t="s">
        <v>4</v>
      </c>
      <c r="B2" t="s">
        <v>9</v>
      </c>
    </row>
    <row r="3" spans="1:20">
      <c r="A3" t="s">
        <v>1</v>
      </c>
      <c r="B3" t="s">
        <v>2</v>
      </c>
      <c r="C3" t="s">
        <v>3</v>
      </c>
    </row>
    <row r="4" spans="1:20">
      <c r="A4" s="1">
        <v>100</v>
      </c>
      <c r="B4">
        <f>801738/324</f>
        <v>2474.5</v>
      </c>
      <c r="C4">
        <v>32</v>
      </c>
      <c r="D4">
        <v>32</v>
      </c>
      <c r="E4">
        <v>37</v>
      </c>
      <c r="F4">
        <v>30</v>
      </c>
      <c r="G4">
        <v>44</v>
      </c>
      <c r="H4">
        <v>37</v>
      </c>
    </row>
    <row r="5" spans="1:20">
      <c r="A5" s="1">
        <v>1000</v>
      </c>
      <c r="B5">
        <f>801738/36</f>
        <v>22270.5</v>
      </c>
      <c r="C5">
        <v>31</v>
      </c>
      <c r="D5">
        <v>34</v>
      </c>
      <c r="E5">
        <v>42</v>
      </c>
      <c r="F5">
        <v>38</v>
      </c>
      <c r="G5">
        <v>43</v>
      </c>
      <c r="H5">
        <v>42</v>
      </c>
    </row>
    <row r="6" spans="1:20">
      <c r="A6" s="1">
        <v>10000</v>
      </c>
      <c r="B6">
        <f>801738/9</f>
        <v>89082</v>
      </c>
      <c r="C6">
        <v>21</v>
      </c>
      <c r="D6">
        <v>20</v>
      </c>
      <c r="E6">
        <v>12</v>
      </c>
      <c r="F6">
        <v>16</v>
      </c>
      <c r="G6">
        <v>28</v>
      </c>
      <c r="H6">
        <v>19</v>
      </c>
      <c r="I6">
        <v>17</v>
      </c>
      <c r="J6">
        <v>20</v>
      </c>
      <c r="K6">
        <v>18</v>
      </c>
      <c r="L6">
        <v>12</v>
      </c>
      <c r="M6">
        <v>14</v>
      </c>
      <c r="N6">
        <v>20</v>
      </c>
      <c r="O6">
        <v>23</v>
      </c>
      <c r="P6">
        <v>29</v>
      </c>
      <c r="Q6">
        <v>19</v>
      </c>
      <c r="R6">
        <v>21</v>
      </c>
      <c r="S6">
        <v>19</v>
      </c>
      <c r="T6">
        <v>18</v>
      </c>
    </row>
    <row r="7" spans="1:20">
      <c r="A7" s="1">
        <v>100000</v>
      </c>
      <c r="B7">
        <v>801738</v>
      </c>
      <c r="C7">
        <v>23</v>
      </c>
      <c r="D7">
        <v>25</v>
      </c>
      <c r="E7">
        <v>28</v>
      </c>
      <c r="F7">
        <v>33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5E80-C433-4FA8-AFBF-29F847E651E5}">
  <dimension ref="A1:J7"/>
  <sheetViews>
    <sheetView workbookViewId="0">
      <selection activeCell="B3" sqref="B3"/>
    </sheetView>
  </sheetViews>
  <sheetFormatPr defaultRowHeight="18.75"/>
  <cols>
    <col min="1" max="1" width="50.25" customWidth="1"/>
    <col min="2" max="2" width="15.75" customWidth="1"/>
  </cols>
  <sheetData>
    <row r="1" spans="1:10">
      <c r="A1" t="s">
        <v>0</v>
      </c>
      <c r="B1" s="1">
        <v>1500000000</v>
      </c>
    </row>
    <row r="2" spans="1:10">
      <c r="A2" t="s">
        <v>4</v>
      </c>
      <c r="B2" t="s">
        <v>10</v>
      </c>
    </row>
    <row r="3" spans="1:10">
      <c r="A3" t="s">
        <v>1</v>
      </c>
      <c r="B3" t="s">
        <v>2</v>
      </c>
      <c r="C3" t="s">
        <v>3</v>
      </c>
    </row>
    <row r="4" spans="1:10">
      <c r="A4" s="1">
        <v>100</v>
      </c>
      <c r="B4">
        <f>801738/16</f>
        <v>50108.625</v>
      </c>
      <c r="C4">
        <v>29</v>
      </c>
      <c r="D4">
        <v>28</v>
      </c>
      <c r="E4">
        <v>24</v>
      </c>
      <c r="F4">
        <v>25</v>
      </c>
      <c r="G4">
        <v>22</v>
      </c>
      <c r="H4">
        <v>28</v>
      </c>
      <c r="I4">
        <v>27</v>
      </c>
    </row>
    <row r="5" spans="1:10">
      <c r="A5" s="1">
        <v>1000</v>
      </c>
      <c r="B5">
        <f>801738/4</f>
        <v>200434.5</v>
      </c>
      <c r="C5">
        <v>17</v>
      </c>
      <c r="D5">
        <v>15</v>
      </c>
      <c r="E5">
        <v>19</v>
      </c>
      <c r="F5">
        <v>22</v>
      </c>
      <c r="G5">
        <v>13</v>
      </c>
      <c r="H5">
        <v>11</v>
      </c>
      <c r="I5">
        <v>22</v>
      </c>
      <c r="J5">
        <v>17</v>
      </c>
    </row>
    <row r="6" spans="1:10">
      <c r="A6" s="1">
        <v>10000</v>
      </c>
      <c r="B6">
        <v>801738</v>
      </c>
      <c r="C6">
        <v>6</v>
      </c>
      <c r="D6">
        <v>9</v>
      </c>
      <c r="E6">
        <v>12</v>
      </c>
    </row>
    <row r="7" spans="1:10">
      <c r="A7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</vt:lpstr>
      <vt:lpstr>SM-Dwss</vt:lpstr>
      <vt:lpstr>SM-DfliA</vt:lpstr>
      <vt:lpstr>mwsR</vt:lpstr>
      <vt:lpstr>awsX</vt:lpstr>
      <vt:lpstr>wspF</vt:lpstr>
      <vt:lpstr>wspF-DfliA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 Karita</dc:creator>
  <cp:lastModifiedBy>苅田　裕也</cp:lastModifiedBy>
  <dcterms:created xsi:type="dcterms:W3CDTF">2015-06-05T18:19:34Z</dcterms:created>
  <dcterms:modified xsi:type="dcterms:W3CDTF">2025-06-05T05:47:56Z</dcterms:modified>
</cp:coreProperties>
</file>