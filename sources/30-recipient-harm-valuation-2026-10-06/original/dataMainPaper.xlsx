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ernandez\Dropbox (Social Brain Lab)\RODENTarchive\Julen Hernandez-Lallement\Overall_Analysis_SDRP\JulenPaper\Revisions\publishableData\Figure2&amp;3\"/>
    </mc:Choice>
  </mc:AlternateContent>
  <bookViews>
    <workbookView xWindow="4944" yWindow="4176" windowWidth="28920" windowHeight="24624"/>
  </bookViews>
  <sheets>
    <sheet name="data" sheetId="1" r:id="rId1"/>
    <sheet name="Choice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0" i="1" l="1"/>
  <c r="K117" i="1" l="1"/>
  <c r="L117" i="1" s="1"/>
  <c r="K115" i="1"/>
  <c r="L115" i="1" s="1"/>
  <c r="K116" i="1"/>
  <c r="L116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CI80" i="2" l="1"/>
  <c r="CH80" i="2"/>
  <c r="CG80" i="2"/>
  <c r="CF80" i="2"/>
  <c r="CI79" i="2"/>
  <c r="CH79" i="2"/>
  <c r="CG79" i="2"/>
  <c r="CF79" i="2"/>
  <c r="CI78" i="2"/>
  <c r="CH78" i="2"/>
  <c r="CG78" i="2"/>
  <c r="CF78" i="2"/>
  <c r="CI77" i="2"/>
  <c r="CH77" i="2"/>
  <c r="CG77" i="2"/>
  <c r="CF77" i="2"/>
  <c r="CI76" i="2"/>
  <c r="CH76" i="2"/>
  <c r="CG76" i="2"/>
  <c r="CF76" i="2"/>
  <c r="CI75" i="2"/>
  <c r="CH75" i="2"/>
  <c r="CG75" i="2"/>
  <c r="CF75" i="2"/>
  <c r="CI74" i="2"/>
  <c r="CH74" i="2"/>
  <c r="CG74" i="2"/>
  <c r="CF74" i="2"/>
  <c r="CI73" i="2"/>
  <c r="CH73" i="2"/>
  <c r="CG73" i="2"/>
  <c r="CF73" i="2"/>
  <c r="CI72" i="2"/>
  <c r="CH72" i="2"/>
  <c r="CG72" i="2"/>
  <c r="CF72" i="2"/>
  <c r="CI71" i="2"/>
  <c r="CH71" i="2"/>
  <c r="CG71" i="2"/>
  <c r="CF71" i="2"/>
  <c r="CI70" i="2"/>
  <c r="CH70" i="2"/>
  <c r="CG70" i="2"/>
  <c r="CF70" i="2"/>
  <c r="CI69" i="2"/>
  <c r="CH69" i="2"/>
  <c r="CG69" i="2"/>
  <c r="CF69" i="2"/>
  <c r="CI68" i="2"/>
  <c r="CH68" i="2"/>
  <c r="CG68" i="2"/>
  <c r="CF68" i="2"/>
  <c r="CI67" i="2"/>
  <c r="CH67" i="2"/>
  <c r="CG67" i="2"/>
  <c r="CF67" i="2"/>
  <c r="CI66" i="2"/>
  <c r="CH66" i="2"/>
  <c r="CG66" i="2"/>
  <c r="CF66" i="2"/>
  <c r="CI65" i="2"/>
  <c r="CH65" i="2"/>
  <c r="CG65" i="2"/>
  <c r="CF65" i="2"/>
  <c r="CI64" i="2"/>
  <c r="CH64" i="2"/>
  <c r="CG64" i="2"/>
  <c r="CF64" i="2"/>
  <c r="CI63" i="2"/>
  <c r="CH63" i="2"/>
  <c r="CG63" i="2"/>
  <c r="CF63" i="2"/>
  <c r="CI62" i="2"/>
  <c r="CH62" i="2"/>
  <c r="CG62" i="2"/>
  <c r="CF62" i="2"/>
  <c r="CI61" i="2"/>
  <c r="CH61" i="2"/>
  <c r="CG61" i="2"/>
  <c r="CF61" i="2"/>
  <c r="CI60" i="2"/>
  <c r="CH60" i="2"/>
  <c r="CG60" i="2"/>
  <c r="CF60" i="2"/>
  <c r="CI59" i="2"/>
  <c r="CH59" i="2"/>
  <c r="CG59" i="2"/>
  <c r="CF59" i="2"/>
  <c r="CI58" i="2"/>
  <c r="CH58" i="2"/>
  <c r="CG58" i="2"/>
  <c r="CF58" i="2"/>
  <c r="CI57" i="2"/>
  <c r="CH57" i="2"/>
  <c r="CG57" i="2"/>
  <c r="CF57" i="2"/>
  <c r="CI56" i="2"/>
  <c r="CH56" i="2"/>
  <c r="CG56" i="2"/>
  <c r="CF56" i="2"/>
  <c r="CI55" i="2"/>
  <c r="CH55" i="2"/>
  <c r="CG55" i="2"/>
  <c r="CF55" i="2"/>
  <c r="CI54" i="2"/>
  <c r="CH54" i="2"/>
  <c r="CG54" i="2"/>
  <c r="CF54" i="2"/>
  <c r="CI53" i="2"/>
  <c r="CH53" i="2"/>
  <c r="CG53" i="2"/>
  <c r="CF53" i="2"/>
  <c r="CI52" i="2"/>
  <c r="CH52" i="2"/>
  <c r="CG52" i="2"/>
  <c r="CF52" i="2"/>
  <c r="CI51" i="2"/>
  <c r="CH51" i="2"/>
  <c r="CG51" i="2"/>
  <c r="CF51" i="2"/>
  <c r="CI50" i="2"/>
  <c r="CH50" i="2"/>
  <c r="CG50" i="2"/>
  <c r="CF50" i="2"/>
  <c r="CI49" i="2"/>
  <c r="CH49" i="2"/>
  <c r="CG49" i="2"/>
  <c r="CF49" i="2"/>
  <c r="CI48" i="2"/>
  <c r="CH48" i="2"/>
  <c r="CG48" i="2"/>
  <c r="CF48" i="2"/>
  <c r="CI47" i="2"/>
  <c r="CH47" i="2"/>
  <c r="CG47" i="2"/>
  <c r="CJ47" i="2" s="1"/>
  <c r="CF47" i="2"/>
  <c r="CI46" i="2"/>
  <c r="CH46" i="2"/>
  <c r="CG46" i="2"/>
  <c r="CJ46" i="2" s="1"/>
  <c r="CF46" i="2"/>
  <c r="CI45" i="2"/>
  <c r="CH45" i="2"/>
  <c r="CG45" i="2"/>
  <c r="CF45" i="2"/>
  <c r="CI44" i="2"/>
  <c r="CH44" i="2"/>
  <c r="CG44" i="2"/>
  <c r="CJ44" i="2" s="1"/>
  <c r="CF44" i="2"/>
  <c r="CI43" i="2"/>
  <c r="CH43" i="2"/>
  <c r="CG43" i="2"/>
  <c r="CJ43" i="2" s="1"/>
  <c r="CF43" i="2"/>
  <c r="CI42" i="2"/>
  <c r="CH42" i="2"/>
  <c r="CG42" i="2"/>
  <c r="CF42" i="2"/>
  <c r="CI41" i="2"/>
  <c r="CH41" i="2"/>
  <c r="CG41" i="2"/>
  <c r="CJ41" i="2" s="1"/>
  <c r="CF41" i="2"/>
  <c r="CI40" i="2"/>
  <c r="CH40" i="2"/>
  <c r="CG40" i="2"/>
  <c r="CJ40" i="2" s="1"/>
  <c r="CF40" i="2"/>
  <c r="CI39" i="2"/>
  <c r="CH39" i="2"/>
  <c r="CG39" i="2"/>
  <c r="CF39" i="2"/>
  <c r="CI38" i="2"/>
  <c r="CH38" i="2"/>
  <c r="CG38" i="2"/>
  <c r="CJ38" i="2" s="1"/>
  <c r="CF38" i="2"/>
  <c r="CI37" i="2"/>
  <c r="CH37" i="2"/>
  <c r="CG37" i="2"/>
  <c r="CJ37" i="2" s="1"/>
  <c r="CF37" i="2"/>
  <c r="CI36" i="2"/>
  <c r="CH36" i="2"/>
  <c r="CG36" i="2"/>
  <c r="CF36" i="2"/>
  <c r="CI35" i="2"/>
  <c r="CH35" i="2"/>
  <c r="CG35" i="2"/>
  <c r="CJ35" i="2" s="1"/>
  <c r="CF35" i="2"/>
  <c r="CI34" i="2"/>
  <c r="CH34" i="2"/>
  <c r="CG34" i="2"/>
  <c r="CJ34" i="2" s="1"/>
  <c r="CF34" i="2"/>
  <c r="CI33" i="2"/>
  <c r="CH33" i="2"/>
  <c r="CG33" i="2"/>
  <c r="CF33" i="2"/>
  <c r="CI32" i="2"/>
  <c r="CH32" i="2"/>
  <c r="CG32" i="2"/>
  <c r="CJ32" i="2" s="1"/>
  <c r="CF32" i="2"/>
  <c r="CI31" i="2"/>
  <c r="CH31" i="2"/>
  <c r="CG31" i="2"/>
  <c r="CJ31" i="2" s="1"/>
  <c r="CF31" i="2"/>
  <c r="CI30" i="2"/>
  <c r="CH30" i="2"/>
  <c r="CG30" i="2"/>
  <c r="CF30" i="2"/>
  <c r="CI29" i="2"/>
  <c r="CH29" i="2"/>
  <c r="CG29" i="2"/>
  <c r="CJ29" i="2" s="1"/>
  <c r="CF29" i="2"/>
  <c r="CI28" i="2"/>
  <c r="CH28" i="2"/>
  <c r="CG28" i="2"/>
  <c r="CJ28" i="2" s="1"/>
  <c r="CF28" i="2"/>
  <c r="CI27" i="2"/>
  <c r="CH27" i="2"/>
  <c r="CG27" i="2"/>
  <c r="CF27" i="2"/>
  <c r="CI26" i="2"/>
  <c r="CH26" i="2"/>
  <c r="CG26" i="2"/>
  <c r="CJ26" i="2" s="1"/>
  <c r="CF26" i="2"/>
  <c r="CI25" i="2"/>
  <c r="CH25" i="2"/>
  <c r="CG25" i="2"/>
  <c r="CJ25" i="2" s="1"/>
  <c r="CF25" i="2"/>
  <c r="CI24" i="2"/>
  <c r="CH24" i="2"/>
  <c r="CG24" i="2"/>
  <c r="CF24" i="2"/>
  <c r="CI23" i="2"/>
  <c r="CH23" i="2"/>
  <c r="CG23" i="2"/>
  <c r="CJ23" i="2" s="1"/>
  <c r="CF23" i="2"/>
  <c r="CI22" i="2"/>
  <c r="CH22" i="2"/>
  <c r="CG22" i="2"/>
  <c r="CJ22" i="2" s="1"/>
  <c r="CF22" i="2"/>
  <c r="CI21" i="2"/>
  <c r="CH21" i="2"/>
  <c r="CG21" i="2"/>
  <c r="CF21" i="2"/>
  <c r="CI20" i="2"/>
  <c r="CH20" i="2"/>
  <c r="CG20" i="2"/>
  <c r="CF20" i="2"/>
  <c r="CI19" i="2"/>
  <c r="CH19" i="2"/>
  <c r="CG19" i="2"/>
  <c r="CJ19" i="2" s="1"/>
  <c r="CF19" i="2"/>
  <c r="CI18" i="2"/>
  <c r="CH18" i="2"/>
  <c r="CG18" i="2"/>
  <c r="CF18" i="2"/>
  <c r="CI17" i="2"/>
  <c r="CH17" i="2"/>
  <c r="CG17" i="2"/>
  <c r="CF17" i="2"/>
  <c r="CI16" i="2"/>
  <c r="CH16" i="2"/>
  <c r="CG16" i="2"/>
  <c r="CJ16" i="2" s="1"/>
  <c r="CF16" i="2"/>
  <c r="CI15" i="2"/>
  <c r="CH15" i="2"/>
  <c r="CG15" i="2"/>
  <c r="CF15" i="2"/>
  <c r="CI14" i="2"/>
  <c r="CH14" i="2"/>
  <c r="CG14" i="2"/>
  <c r="CF14" i="2"/>
  <c r="CI13" i="2"/>
  <c r="CH13" i="2"/>
  <c r="CG13" i="2"/>
  <c r="CJ13" i="2" s="1"/>
  <c r="CF13" i="2"/>
  <c r="CI12" i="2"/>
  <c r="CH12" i="2"/>
  <c r="CG12" i="2"/>
  <c r="CF12" i="2"/>
  <c r="CI11" i="2"/>
  <c r="CH11" i="2"/>
  <c r="CG11" i="2"/>
  <c r="CJ11" i="2" s="1"/>
  <c r="CF11" i="2"/>
  <c r="CI10" i="2"/>
  <c r="CH10" i="2"/>
  <c r="CG10" i="2"/>
  <c r="CJ10" i="2" s="1"/>
  <c r="CF10" i="2"/>
  <c r="CI9" i="2"/>
  <c r="CH9" i="2"/>
  <c r="CG9" i="2"/>
  <c r="CF9" i="2"/>
  <c r="CI8" i="2"/>
  <c r="CH8" i="2"/>
  <c r="CG8" i="2"/>
  <c r="CJ8" i="2" s="1"/>
  <c r="CF8" i="2"/>
  <c r="CI7" i="2"/>
  <c r="CH7" i="2"/>
  <c r="CG7" i="2"/>
  <c r="CJ7" i="2" s="1"/>
  <c r="CF7" i="2"/>
  <c r="CI6" i="2"/>
  <c r="CH6" i="2"/>
  <c r="CG6" i="2"/>
  <c r="CF6" i="2"/>
  <c r="CI5" i="2"/>
  <c r="CH5" i="2"/>
  <c r="CG5" i="2"/>
  <c r="CJ5" i="2" s="1"/>
  <c r="CF5" i="2"/>
  <c r="CI4" i="2"/>
  <c r="CH4" i="2"/>
  <c r="CG4" i="2"/>
  <c r="CJ4" i="2" s="1"/>
  <c r="CF4" i="2"/>
  <c r="CI3" i="2"/>
  <c r="CH3" i="2"/>
  <c r="CG3" i="2"/>
  <c r="CF3" i="2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K30" i="1"/>
  <c r="L30" i="1" s="1"/>
  <c r="K31" i="1"/>
  <c r="L31" i="1" s="1"/>
  <c r="K32" i="1"/>
  <c r="L32" i="1"/>
  <c r="K33" i="1"/>
  <c r="L33" i="1" s="1"/>
  <c r="K34" i="1"/>
  <c r="L34" i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/>
  <c r="K57" i="1"/>
  <c r="L57" i="1"/>
  <c r="K58" i="1"/>
  <c r="L58" i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/>
  <c r="K65" i="1"/>
  <c r="L65" i="1" s="1"/>
  <c r="K66" i="1"/>
  <c r="L66" i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2" i="1"/>
  <c r="L2" i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/>
  <c r="K113" i="1"/>
  <c r="L113" i="1" s="1"/>
  <c r="K114" i="1"/>
  <c r="L114" i="1"/>
  <c r="L80" i="1"/>
  <c r="CJ3" i="2" l="1"/>
  <c r="CJ6" i="2"/>
  <c r="CJ9" i="2"/>
  <c r="CJ12" i="2"/>
  <c r="CJ15" i="2"/>
  <c r="CJ18" i="2"/>
  <c r="CJ21" i="2"/>
  <c r="CJ24" i="2"/>
  <c r="CJ27" i="2"/>
  <c r="CJ30" i="2"/>
  <c r="CJ33" i="2"/>
  <c r="CJ36" i="2"/>
  <c r="CJ39" i="2"/>
  <c r="CJ42" i="2"/>
  <c r="CJ45" i="2"/>
  <c r="CJ48" i="2"/>
  <c r="CJ14" i="2"/>
  <c r="CJ17" i="2"/>
  <c r="CJ20" i="2"/>
</calcChain>
</file>

<file path=xl/sharedStrings.xml><?xml version="1.0" encoding="utf-8"?>
<sst xmlns="http://schemas.openxmlformats.org/spreadsheetml/2006/main" count="1216" uniqueCount="142">
  <si>
    <t>Condition</t>
  </si>
  <si>
    <t>Group</t>
  </si>
  <si>
    <t>Gender</t>
  </si>
  <si>
    <t>Baseline</t>
  </si>
  <si>
    <t>Shock 1</t>
  </si>
  <si>
    <t>Shock 2</t>
  </si>
  <si>
    <t>Shock 3</t>
  </si>
  <si>
    <t>AverageShock</t>
  </si>
  <si>
    <t>SI</t>
  </si>
  <si>
    <t>Significant Switcher</t>
  </si>
  <si>
    <t>NoHarm</t>
  </si>
  <si>
    <t>Male</t>
  </si>
  <si>
    <t>ContingentHarm</t>
  </si>
  <si>
    <t>ContingentHarmMale</t>
  </si>
  <si>
    <t>NaN</t>
  </si>
  <si>
    <t>ContingentHarmFemale</t>
  </si>
  <si>
    <t>Female</t>
  </si>
  <si>
    <t>RandomHarm</t>
  </si>
  <si>
    <t>Non PreExposed</t>
  </si>
  <si>
    <t>1vs2Pellets</t>
  </si>
  <si>
    <t>1vs3Pellets</t>
  </si>
  <si>
    <t xml:space="preserve">Male </t>
  </si>
  <si>
    <t>Unfamiliar Victims</t>
  </si>
  <si>
    <t>Muscimol</t>
  </si>
  <si>
    <t>Saline</t>
  </si>
  <si>
    <t>Actor Number</t>
  </si>
  <si>
    <r>
      <t xml:space="preserve">Baseline </t>
    </r>
    <r>
      <rPr>
        <b/>
        <sz val="11"/>
        <color rgb="FFFF0000"/>
        <rFont val="Calibri"/>
        <family val="2"/>
        <scheme val="minor"/>
      </rPr>
      <t>(2 = Shock Lever ; 1 = NoShock Lever; 0 = Non Performed Trial)</t>
    </r>
  </si>
  <si>
    <r>
      <t xml:space="preserve">Shock 1 </t>
    </r>
    <r>
      <rPr>
        <b/>
        <sz val="11"/>
        <color rgb="FFFF0000"/>
        <rFont val="Calibri"/>
        <family val="2"/>
        <scheme val="minor"/>
      </rPr>
      <t>(2 = Shock Lever ; 1 = NoShock Lever; 0 = Non Performed Trial)</t>
    </r>
  </si>
  <si>
    <r>
      <t xml:space="preserve">Shock 2 </t>
    </r>
    <r>
      <rPr>
        <b/>
        <sz val="11"/>
        <color rgb="FFFF0000"/>
        <rFont val="Calibri"/>
        <family val="2"/>
        <scheme val="minor"/>
      </rPr>
      <t>(2 = Shock Lever ; 1 = NoShock Lever; 0 = Non Performed Trial)</t>
    </r>
  </si>
  <si>
    <t>Shock 3 (2 = Shock Lever ; 1 = NoShock Lever'; 0 = Non Performed Trial)</t>
  </si>
  <si>
    <t>Nonperformed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</si>
  <si>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</si>
  <si>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</si>
  <si>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</si>
  <si>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</si>
  <si>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</si>
  <si>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</si>
  <si>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</si>
  <si>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</si>
  <si>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</si>
  <si>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</si>
  <si>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</si>
  <si>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</si>
  <si>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</si>
  <si>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</si>
  <si>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</si>
  <si>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</si>
  <si>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</si>
  <si>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</si>
  <si>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</si>
  <si>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</si>
  <si>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bsl</t>
  </si>
  <si>
    <t>shk1</t>
  </si>
  <si>
    <t>shk2</t>
  </si>
  <si>
    <t>shk3</t>
  </si>
  <si>
    <t>total</t>
  </si>
  <si>
    <t>Animal Number</t>
  </si>
  <si>
    <t>Log_Rwd_Poke_bsl_ShkTrials</t>
  </si>
  <si>
    <t>Log_Rwd_Poke_shk1_ShkTrials</t>
  </si>
  <si>
    <t>Log_Rwd_Poke_shk2_ShkTrials</t>
  </si>
  <si>
    <t>Log_Rwd_Poke_shk3_ShkTrials</t>
  </si>
  <si>
    <t>Log_Rwd_Poke_bsl_NoShkTrials</t>
  </si>
  <si>
    <t>Log_Rwd_Poke_shk1_NoShkTrials</t>
  </si>
  <si>
    <t>Log_Rwd_Poke_shk2_NoShkTrials</t>
  </si>
  <si>
    <t>Log_Rwd_Poke_shk3_NoShkTrials</t>
  </si>
  <si>
    <t>Log_Rwd_Duration_bsl_ShkTrials</t>
  </si>
  <si>
    <t>Log_Rwd_Duration_shk1_ShkTrials</t>
  </si>
  <si>
    <t>Log_Rwd_Duration_shk2_ShkTrials</t>
  </si>
  <si>
    <t>Log_Rwd_Duration_shk3_ShkTrials</t>
  </si>
  <si>
    <t>Log_Rwd_Duration_bsl_NoShkTrials</t>
  </si>
  <si>
    <t>Log_Rwd_Duration_shk1_NoShkTrials</t>
  </si>
  <si>
    <t>Log_Rwd_Duration_shk2_NoShkTrials</t>
  </si>
  <si>
    <t>Log_Rwd_Duration_shk3_NoShkTrials</t>
  </si>
  <si>
    <t>SBL#</t>
  </si>
  <si>
    <t>SBL042d</t>
  </si>
  <si>
    <t>SBL042e</t>
  </si>
  <si>
    <t>SBL048</t>
  </si>
  <si>
    <t>Rat_1-1</t>
  </si>
  <si>
    <t>Rat_3-1</t>
  </si>
  <si>
    <t>Rat_1-2</t>
  </si>
  <si>
    <t>Rat_3-2</t>
  </si>
  <si>
    <t>Rat_1-3</t>
  </si>
  <si>
    <t>Rat_3-3</t>
  </si>
  <si>
    <t>Rat_1-4</t>
  </si>
  <si>
    <t>Rat_3-4</t>
  </si>
  <si>
    <t>Rat_1-5</t>
  </si>
  <si>
    <t>Rat_3-5</t>
  </si>
  <si>
    <t>Rat_1-6</t>
  </si>
  <si>
    <t>Rat_3-6</t>
  </si>
  <si>
    <t>SBL049</t>
  </si>
  <si>
    <t>SBL053b</t>
  </si>
  <si>
    <t>Rat Number</t>
  </si>
  <si>
    <t>SBL050b</t>
  </si>
  <si>
    <t>SBL053a</t>
  </si>
  <si>
    <t>SBL060</t>
  </si>
  <si>
    <t>SBL041a</t>
  </si>
  <si>
    <t>SBL035c</t>
  </si>
  <si>
    <t>SBL032</t>
  </si>
  <si>
    <t>SBL059</t>
  </si>
  <si>
    <t>SBL046</t>
  </si>
  <si>
    <t>SBL056</t>
  </si>
  <si>
    <t>freez_pre_exp_bsl</t>
  </si>
  <si>
    <t>freez_pre_exp_shk1</t>
  </si>
  <si>
    <t>freez_pre_exp_shk2</t>
  </si>
  <si>
    <t>freez_pre_exp_shk3</t>
  </si>
  <si>
    <t>freez_pre_exp_shk4</t>
  </si>
  <si>
    <t>SBL035a</t>
  </si>
  <si>
    <t>SBL050a</t>
  </si>
  <si>
    <t>Fear Active</t>
  </si>
  <si>
    <t>SBL041b</t>
  </si>
  <si>
    <t>SBL041c</t>
  </si>
  <si>
    <t>Over-Trained</t>
  </si>
  <si>
    <t>idx_stable_pref</t>
  </si>
  <si>
    <t>\</t>
  </si>
  <si>
    <t>freez_shk</t>
  </si>
  <si>
    <t>freez_shk_shk1</t>
  </si>
  <si>
    <t>freez_shk_shk2</t>
  </si>
  <si>
    <t>freez_shk_shk3</t>
  </si>
  <si>
    <t>freez_noshk</t>
  </si>
  <si>
    <t>freez_noshk_shk1</t>
  </si>
  <si>
    <t>freez_noshk_shk2</t>
  </si>
  <si>
    <t>freez_noshk_shk3</t>
  </si>
  <si>
    <t>wall_shk_shk1</t>
  </si>
  <si>
    <t>wall_shk_shk2</t>
  </si>
  <si>
    <t>wall_shk_shk3</t>
  </si>
  <si>
    <t>wall_noshk_shk1</t>
  </si>
  <si>
    <t>wall_noshk_shk2</t>
  </si>
  <si>
    <t>wall_noshk_shk3</t>
  </si>
  <si>
    <t>FoodIIndex</t>
  </si>
  <si>
    <t>Food1</t>
  </si>
  <si>
    <t>Food2</t>
  </si>
  <si>
    <t>Food3</t>
  </si>
  <si>
    <t>LogTrialDur_shk_bsl</t>
  </si>
  <si>
    <t>LogTrialDur_shk_shk1</t>
  </si>
  <si>
    <t>LogTrialDur_shk_shk2</t>
  </si>
  <si>
    <t>LogTrialDur_shk_shk3</t>
  </si>
  <si>
    <t>LogTrialDur_noshk_bsl</t>
  </si>
  <si>
    <t>LogTrialDur_noshk_shk1</t>
  </si>
  <si>
    <t>LogTrialDur_noshk_shk2</t>
  </si>
  <si>
    <t>LogTrialDur_noshk_shk3</t>
  </si>
  <si>
    <t>wall_noshk_bsl</t>
  </si>
  <si>
    <t>wall_shk_bsl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</si>
</sst>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FEF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8" fillId="0" borderId="0" xfId="0" applyFont="1" applyAlignment="1">
      <alignment horizontal="center"/>
    </xf>
    <xf numFmtId="0" fontId="18" fillId="33" borderId="1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3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5" borderId="3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35" borderId="2" xfId="0" applyFill="1" applyBorder="1" applyAlignment="1">
      <alignment horizontal="center"/>
    </xf>
    <xf numFmtId="0" fontId="0" fillId="36" borderId="3" xfId="0" applyFill="1" applyBorder="1" applyAlignment="1">
      <alignment horizontal="center"/>
    </xf>
    <xf numFmtId="0" fontId="0" fillId="36" borderId="1" xfId="0" applyFill="1" applyBorder="1" applyAlignment="1">
      <alignment horizontal="center"/>
    </xf>
    <xf numFmtId="0" fontId="0" fillId="36" borderId="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2" fontId="0" fillId="0" borderId="0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18" fillId="0" borderId="0" xfId="0" applyFont="1" applyFill="1" applyBorder="1" applyAlignment="1">
      <alignment horizontal="center"/>
    </xf>
    <xf numFmtId="0" fontId="0" fillId="0" borderId="0" xfId="0" applyFont="1"/>
    <xf numFmtId="0" fontId="0" fillId="0" borderId="20" xfId="0" applyBorder="1"/>
    <xf numFmtId="0" fontId="0" fillId="0" borderId="20" xfId="0" applyBorder="1" applyAlignment="1">
      <alignment horizontal="right"/>
    </xf>
    <xf numFmtId="2" fontId="0" fillId="0" borderId="20" xfId="0" applyNumberFormat="1" applyBorder="1" applyAlignment="1">
      <alignment horizontal="right"/>
    </xf>
    <xf numFmtId="164" fontId="0" fillId="0" borderId="20" xfId="0" applyNumberFormat="1" applyBorder="1" applyAlignment="1">
      <alignment horizontal="right"/>
    </xf>
    <xf numFmtId="0" fontId="0" fillId="0" borderId="20" xfId="0" applyFont="1" applyBorder="1"/>
    <xf numFmtId="0" fontId="0" fillId="0" borderId="0" xfId="0" applyFont="1" applyFill="1" applyBorder="1"/>
    <xf numFmtId="0" fontId="0" fillId="0" borderId="20" xfId="0" applyFont="1" applyFill="1" applyBorder="1"/>
    <xf numFmtId="0" fontId="0" fillId="0" borderId="24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20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37" borderId="0" xfId="0" applyFill="1" applyAlignment="1">
      <alignment horizontal="right"/>
    </xf>
    <xf numFmtId="0" fontId="0" fillId="37" borderId="20" xfId="0" applyFill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18" fillId="33" borderId="1" xfId="0" applyFont="1" applyFill="1" applyBorder="1" applyAlignment="1">
      <alignment horizontal="center"/>
    </xf>
    <xf numFmtId="0" fontId="18" fillId="33" borderId="1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4"/>
  <sheetViews>
    <sheetView tabSelected="1" topLeftCell="D1" zoomScale="85" zoomScaleNormal="85" workbookViewId="0">
      <pane xSplit="1560" ySplit="540" topLeftCell="AW1" activePane="bottomRight"/>
      <selection activeCell="J10" sqref="J10"/>
      <selection pane="topRight" activeCell="AB16" sqref="AB16"/>
      <selection pane="bottomLeft" activeCell="D123" sqref="A123:XFD143"/>
      <selection pane="bottomRight" activeCell="BA16" sqref="BA16:BH39"/>
    </sheetView>
  </sheetViews>
  <sheetFormatPr defaultColWidth="11.19921875" defaultRowHeight="15.6" x14ac:dyDescent="0.3"/>
  <cols>
    <col min="4" max="4" width="16.296875" bestFit="1" customWidth="1"/>
    <col min="7" max="10" width="10.796875" style="4"/>
    <col min="11" max="11" width="11.69921875" style="5" bestFit="1" customWidth="1"/>
    <col min="12" max="12" width="12.296875" style="4" bestFit="1" customWidth="1"/>
    <col min="13" max="13" width="12.296875" style="4" customWidth="1"/>
    <col min="14" max="14" width="21" style="4" customWidth="1"/>
    <col min="15" max="18" width="10.796875" style="4"/>
  </cols>
  <sheetData>
    <row r="1" spans="1:69" x14ac:dyDescent="0.3">
      <c r="A1" t="s">
        <v>73</v>
      </c>
      <c r="B1" t="s">
        <v>91</v>
      </c>
      <c r="C1" t="s">
        <v>56</v>
      </c>
      <c r="D1" t="s">
        <v>0</v>
      </c>
      <c r="E1" t="s">
        <v>1</v>
      </c>
      <c r="F1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5" t="s">
        <v>7</v>
      </c>
      <c r="L1" s="4" t="s">
        <v>8</v>
      </c>
      <c r="M1" s="4" t="s">
        <v>112</v>
      </c>
      <c r="N1" s="4" t="s">
        <v>9</v>
      </c>
      <c r="O1" s="4" t="s">
        <v>129</v>
      </c>
      <c r="P1" s="4" t="s">
        <v>130</v>
      </c>
      <c r="Q1" s="4" t="s">
        <v>131</v>
      </c>
      <c r="R1" s="4" t="s">
        <v>128</v>
      </c>
      <c r="T1" s="4" t="s">
        <v>57</v>
      </c>
      <c r="U1" s="4" t="s">
        <v>58</v>
      </c>
      <c r="V1" s="4" t="s">
        <v>59</v>
      </c>
      <c r="W1" s="4" t="s">
        <v>60</v>
      </c>
      <c r="X1" s="4" t="s">
        <v>61</v>
      </c>
      <c r="Y1" s="4" t="s">
        <v>62</v>
      </c>
      <c r="Z1" s="4" t="s">
        <v>63</v>
      </c>
      <c r="AA1" s="4" t="s">
        <v>64</v>
      </c>
      <c r="AC1" s="4" t="s">
        <v>65</v>
      </c>
      <c r="AD1" s="4" t="s">
        <v>66</v>
      </c>
      <c r="AE1" s="4" t="s">
        <v>67</v>
      </c>
      <c r="AF1" s="4" t="s">
        <v>68</v>
      </c>
      <c r="AG1" s="4" t="s">
        <v>69</v>
      </c>
      <c r="AH1" s="4" t="s">
        <v>70</v>
      </c>
      <c r="AI1" s="4" t="s">
        <v>71</v>
      </c>
      <c r="AJ1" s="4" t="s">
        <v>72</v>
      </c>
      <c r="AL1" s="4" t="s">
        <v>101</v>
      </c>
      <c r="AM1" s="4" t="s">
        <v>102</v>
      </c>
      <c r="AN1" s="4" t="s">
        <v>103</v>
      </c>
      <c r="AO1" s="4" t="s">
        <v>104</v>
      </c>
      <c r="AP1" s="4" t="s">
        <v>105</v>
      </c>
      <c r="AR1" s="4" t="s">
        <v>114</v>
      </c>
      <c r="AS1" s="4" t="s">
        <v>115</v>
      </c>
      <c r="AT1" s="4" t="s">
        <v>116</v>
      </c>
      <c r="AU1" s="4" t="s">
        <v>117</v>
      </c>
      <c r="AV1" s="4" t="s">
        <v>118</v>
      </c>
      <c r="AW1" s="4" t="s">
        <v>119</v>
      </c>
      <c r="AX1" s="4" t="s">
        <v>120</v>
      </c>
      <c r="AY1" s="4" t="s">
        <v>121</v>
      </c>
      <c r="BA1" s="4" t="s">
        <v>141</v>
      </c>
      <c r="BB1" s="4" t="s">
        <v>122</v>
      </c>
      <c r="BC1" s="4" t="s">
        <v>123</v>
      </c>
      <c r="BD1" s="4" t="s">
        <v>124</v>
      </c>
      <c r="BE1" s="4" t="s">
        <v>140</v>
      </c>
      <c r="BF1" s="4" t="s">
        <v>125</v>
      </c>
      <c r="BG1" s="4" t="s">
        <v>126</v>
      </c>
      <c r="BH1" s="4" t="s">
        <v>127</v>
      </c>
      <c r="BJ1" s="4" t="s">
        <v>132</v>
      </c>
      <c r="BK1" s="4" t="s">
        <v>133</v>
      </c>
      <c r="BL1" s="4" t="s">
        <v>134</v>
      </c>
      <c r="BM1" s="4" t="s">
        <v>135</v>
      </c>
      <c r="BN1" s="4" t="s">
        <v>136</v>
      </c>
      <c r="BO1" s="4" t="s">
        <v>137</v>
      </c>
      <c r="BP1" s="4" t="s">
        <v>138</v>
      </c>
      <c r="BQ1" s="4" t="s">
        <v>139</v>
      </c>
    </row>
    <row r="2" spans="1:69" x14ac:dyDescent="0.3">
      <c r="A2" t="s">
        <v>89</v>
      </c>
      <c r="B2" t="s">
        <v>77</v>
      </c>
      <c r="C2" s="3">
        <v>1</v>
      </c>
      <c r="D2" t="s">
        <v>10</v>
      </c>
      <c r="E2" t="s">
        <v>10</v>
      </c>
      <c r="F2" t="s">
        <v>11</v>
      </c>
      <c r="G2" s="4">
        <v>95</v>
      </c>
      <c r="H2" s="4">
        <v>60</v>
      </c>
      <c r="I2" s="4">
        <v>60</v>
      </c>
      <c r="J2" s="4">
        <v>50</v>
      </c>
      <c r="K2" s="5">
        <f>AVERAGE(H2:J2)</f>
        <v>56.666666666666664</v>
      </c>
      <c r="L2" s="6">
        <f>(G2-K2)/(G2+K2)</f>
        <v>0.25274725274725279</v>
      </c>
      <c r="M2" s="45">
        <v>1</v>
      </c>
      <c r="N2" s="4">
        <v>1</v>
      </c>
      <c r="O2" s="4">
        <v>40</v>
      </c>
      <c r="P2" s="4">
        <v>40</v>
      </c>
      <c r="Q2" s="4">
        <v>80</v>
      </c>
      <c r="R2" s="4">
        <v>7.0000000000000007E-2</v>
      </c>
      <c r="T2">
        <v>-0.3</v>
      </c>
      <c r="U2">
        <v>-0.36</v>
      </c>
      <c r="V2">
        <v>-0.28999999999999998</v>
      </c>
      <c r="W2">
        <v>-0.35</v>
      </c>
      <c r="X2">
        <v>-0.19</v>
      </c>
      <c r="Y2">
        <v>-0.26</v>
      </c>
      <c r="Z2">
        <v>-0.24</v>
      </c>
      <c r="AA2">
        <v>-0.27</v>
      </c>
      <c r="AC2">
        <v>0.28000000000000003</v>
      </c>
      <c r="AD2">
        <v>0.28999999999999998</v>
      </c>
      <c r="AE2">
        <v>0.28000000000000003</v>
      </c>
      <c r="AF2">
        <v>0.28999999999999998</v>
      </c>
      <c r="AG2">
        <v>0.24</v>
      </c>
      <c r="AH2">
        <v>0.26</v>
      </c>
      <c r="AI2">
        <v>0.23</v>
      </c>
      <c r="AJ2">
        <v>0.28999999999999998</v>
      </c>
    </row>
    <row r="3" spans="1:69" x14ac:dyDescent="0.3">
      <c r="A3" t="s">
        <v>89</v>
      </c>
      <c r="B3" t="s">
        <v>78</v>
      </c>
      <c r="C3" s="1">
        <v>2</v>
      </c>
      <c r="D3" t="s">
        <v>10</v>
      </c>
      <c r="E3" t="s">
        <v>10</v>
      </c>
      <c r="F3" t="s">
        <v>11</v>
      </c>
      <c r="G3" s="4">
        <v>85</v>
      </c>
      <c r="H3" s="4">
        <v>40</v>
      </c>
      <c r="I3" s="4">
        <v>95</v>
      </c>
      <c r="J3" s="4">
        <v>85</v>
      </c>
      <c r="K3" s="5">
        <f t="shared" ref="K3:K66" si="0">AVERAGE(H3:J3)</f>
        <v>73.333333333333329</v>
      </c>
      <c r="L3" s="6">
        <f t="shared" ref="L3:L66" si="1">(G3-K3)/(G3+K3)</f>
        <v>7.3684210526315824E-2</v>
      </c>
      <c r="M3" s="45">
        <v>0</v>
      </c>
      <c r="N3" s="4">
        <v>0</v>
      </c>
      <c r="O3" s="4">
        <v>33.33</v>
      </c>
      <c r="P3" s="4">
        <v>35</v>
      </c>
      <c r="Q3" s="4">
        <v>40</v>
      </c>
      <c r="R3" s="4">
        <v>0.25</v>
      </c>
      <c r="T3">
        <v>-0.22</v>
      </c>
      <c r="U3">
        <v>-0.24</v>
      </c>
      <c r="V3">
        <v>-0.15</v>
      </c>
      <c r="W3">
        <v>-0.28000000000000003</v>
      </c>
      <c r="X3">
        <v>-0.24</v>
      </c>
      <c r="Y3">
        <v>-0.15</v>
      </c>
      <c r="Z3">
        <v>-0.11</v>
      </c>
      <c r="AA3">
        <v>-0.23</v>
      </c>
      <c r="AC3">
        <v>0.32</v>
      </c>
      <c r="AD3">
        <v>0.28999999999999998</v>
      </c>
      <c r="AE3">
        <v>0.28000000000000003</v>
      </c>
      <c r="AF3">
        <v>0.33</v>
      </c>
      <c r="AG3">
        <v>0.26</v>
      </c>
      <c r="AH3">
        <v>0.26</v>
      </c>
      <c r="AI3">
        <v>0.3</v>
      </c>
      <c r="AJ3">
        <v>0.28999999999999998</v>
      </c>
    </row>
    <row r="4" spans="1:69" x14ac:dyDescent="0.3">
      <c r="A4" t="s">
        <v>89</v>
      </c>
      <c r="B4" t="s">
        <v>79</v>
      </c>
      <c r="C4" s="1">
        <v>3</v>
      </c>
      <c r="D4" t="s">
        <v>10</v>
      </c>
      <c r="E4" t="s">
        <v>10</v>
      </c>
      <c r="F4" t="s">
        <v>11</v>
      </c>
      <c r="G4" s="4">
        <v>100</v>
      </c>
      <c r="H4" s="4">
        <v>95</v>
      </c>
      <c r="I4" s="4">
        <v>100</v>
      </c>
      <c r="J4" s="4">
        <v>100</v>
      </c>
      <c r="K4" s="5">
        <f t="shared" si="0"/>
        <v>98.333333333333329</v>
      </c>
      <c r="L4" s="6">
        <f t="shared" si="1"/>
        <v>8.403361344537839E-3</v>
      </c>
      <c r="M4" s="45">
        <v>1</v>
      </c>
      <c r="N4" s="4">
        <v>0</v>
      </c>
      <c r="O4" s="4">
        <v>40</v>
      </c>
      <c r="P4" s="4">
        <v>20</v>
      </c>
      <c r="Q4" s="4">
        <v>70</v>
      </c>
      <c r="R4" s="4">
        <v>0.43</v>
      </c>
      <c r="T4">
        <v>-0.14000000000000001</v>
      </c>
      <c r="U4">
        <v>-0.17</v>
      </c>
      <c r="V4">
        <v>-0.11</v>
      </c>
      <c r="W4">
        <v>-0.12</v>
      </c>
      <c r="X4" t="s">
        <v>14</v>
      </c>
      <c r="Y4">
        <v>-0.21</v>
      </c>
      <c r="Z4" t="s">
        <v>14</v>
      </c>
      <c r="AA4" t="s">
        <v>14</v>
      </c>
      <c r="AC4">
        <v>0.31</v>
      </c>
      <c r="AD4">
        <v>0.32</v>
      </c>
      <c r="AE4">
        <v>0.34</v>
      </c>
      <c r="AF4">
        <v>0.24</v>
      </c>
      <c r="AG4" t="s">
        <v>14</v>
      </c>
      <c r="AH4">
        <v>0.38</v>
      </c>
      <c r="AI4" t="s">
        <v>14</v>
      </c>
      <c r="AJ4" t="s">
        <v>14</v>
      </c>
    </row>
    <row r="5" spans="1:69" x14ac:dyDescent="0.3">
      <c r="A5" t="s">
        <v>89</v>
      </c>
      <c r="B5" t="s">
        <v>80</v>
      </c>
      <c r="C5" s="1">
        <v>4</v>
      </c>
      <c r="D5" t="s">
        <v>10</v>
      </c>
      <c r="E5" t="s">
        <v>10</v>
      </c>
      <c r="F5" t="s">
        <v>11</v>
      </c>
      <c r="G5" s="4">
        <v>75</v>
      </c>
      <c r="H5" s="4">
        <v>80</v>
      </c>
      <c r="I5" s="4">
        <v>95</v>
      </c>
      <c r="J5" s="4">
        <v>40</v>
      </c>
      <c r="K5" s="5">
        <f t="shared" si="0"/>
        <v>71.666666666666671</v>
      </c>
      <c r="L5" s="6">
        <f t="shared" si="1"/>
        <v>2.2727272727272693E-2</v>
      </c>
      <c r="M5" s="45">
        <v>1</v>
      </c>
      <c r="N5" s="4">
        <v>0</v>
      </c>
      <c r="O5" s="4">
        <v>72.73</v>
      </c>
      <c r="P5" s="4">
        <v>70</v>
      </c>
      <c r="Q5" s="4">
        <v>60</v>
      </c>
      <c r="R5" s="4">
        <v>0.46</v>
      </c>
      <c r="T5">
        <v>-0.17</v>
      </c>
      <c r="U5">
        <v>-0.19</v>
      </c>
      <c r="V5">
        <v>-0.09</v>
      </c>
      <c r="W5">
        <v>-0.21</v>
      </c>
      <c r="X5">
        <v>-0.1</v>
      </c>
      <c r="Y5">
        <v>-0.11</v>
      </c>
      <c r="Z5">
        <v>-0.12</v>
      </c>
      <c r="AA5">
        <v>-0.09</v>
      </c>
      <c r="AC5">
        <v>0.26</v>
      </c>
      <c r="AD5">
        <v>0.28000000000000003</v>
      </c>
      <c r="AE5">
        <v>0.2</v>
      </c>
      <c r="AF5">
        <v>0.31</v>
      </c>
      <c r="AG5">
        <v>0.19</v>
      </c>
      <c r="AH5">
        <v>0.24</v>
      </c>
      <c r="AI5">
        <v>0.17</v>
      </c>
      <c r="AJ5">
        <v>0.22</v>
      </c>
    </row>
    <row r="6" spans="1:69" x14ac:dyDescent="0.3">
      <c r="A6" t="s">
        <v>89</v>
      </c>
      <c r="B6" t="s">
        <v>81</v>
      </c>
      <c r="C6" s="1">
        <v>5</v>
      </c>
      <c r="D6" t="s">
        <v>10</v>
      </c>
      <c r="E6" t="s">
        <v>10</v>
      </c>
      <c r="F6" t="s">
        <v>11</v>
      </c>
      <c r="G6" s="4">
        <v>50</v>
      </c>
      <c r="H6" s="4">
        <v>95</v>
      </c>
      <c r="I6" s="4">
        <v>90</v>
      </c>
      <c r="J6" s="4">
        <v>75</v>
      </c>
      <c r="K6" s="5">
        <f t="shared" si="0"/>
        <v>86.666666666666671</v>
      </c>
      <c r="L6" s="6">
        <f t="shared" si="1"/>
        <v>-0.26829268292682928</v>
      </c>
      <c r="M6" s="45">
        <v>1</v>
      </c>
      <c r="N6" s="4">
        <v>0</v>
      </c>
      <c r="O6" s="4">
        <v>80</v>
      </c>
      <c r="P6" s="4">
        <v>40</v>
      </c>
      <c r="Q6" s="4">
        <v>80</v>
      </c>
      <c r="R6" s="4">
        <v>0.56000000000000005</v>
      </c>
      <c r="T6">
        <v>-0.35</v>
      </c>
      <c r="U6">
        <v>-0.11</v>
      </c>
      <c r="V6">
        <v>-0.15</v>
      </c>
      <c r="W6">
        <v>-0.28999999999999998</v>
      </c>
      <c r="X6">
        <v>-7.0000000000000007E-2</v>
      </c>
      <c r="Z6">
        <v>-0.25</v>
      </c>
      <c r="AA6">
        <v>-7.0000000000000007E-2</v>
      </c>
      <c r="AC6">
        <v>0.27</v>
      </c>
      <c r="AD6">
        <v>0.27</v>
      </c>
      <c r="AE6">
        <v>0.31</v>
      </c>
      <c r="AF6">
        <v>0.26</v>
      </c>
      <c r="AG6">
        <v>0.15</v>
      </c>
      <c r="AH6">
        <v>0.46</v>
      </c>
      <c r="AI6">
        <v>0.31</v>
      </c>
      <c r="AJ6">
        <v>0.18</v>
      </c>
    </row>
    <row r="7" spans="1:69" x14ac:dyDescent="0.3">
      <c r="A7" t="s">
        <v>89</v>
      </c>
      <c r="B7" t="s">
        <v>82</v>
      </c>
      <c r="C7" s="1">
        <v>6</v>
      </c>
      <c r="D7" t="s">
        <v>10</v>
      </c>
      <c r="E7" t="s">
        <v>10</v>
      </c>
      <c r="F7" t="s">
        <v>11</v>
      </c>
      <c r="G7" s="4">
        <v>50</v>
      </c>
      <c r="H7" s="4">
        <v>45</v>
      </c>
      <c r="I7" s="4">
        <v>45</v>
      </c>
      <c r="J7" s="4">
        <v>95</v>
      </c>
      <c r="K7" s="5">
        <f t="shared" si="0"/>
        <v>61.666666666666664</v>
      </c>
      <c r="L7" s="6">
        <f t="shared" si="1"/>
        <v>-0.10447761194029849</v>
      </c>
      <c r="M7" s="45">
        <v>0</v>
      </c>
      <c r="N7" s="4">
        <v>0</v>
      </c>
      <c r="O7" s="4">
        <v>15</v>
      </c>
      <c r="P7" s="4">
        <v>40</v>
      </c>
      <c r="Q7" s="4">
        <v>60</v>
      </c>
      <c r="R7" s="4">
        <v>0.35</v>
      </c>
      <c r="T7">
        <v>-0.24</v>
      </c>
      <c r="U7">
        <v>-0.18</v>
      </c>
      <c r="V7">
        <v>-0.12</v>
      </c>
      <c r="W7">
        <v>-0.27</v>
      </c>
      <c r="X7">
        <v>-0.19</v>
      </c>
      <c r="Y7">
        <v>-0.18</v>
      </c>
      <c r="Z7">
        <v>-0.15</v>
      </c>
      <c r="AA7">
        <v>-0.15</v>
      </c>
      <c r="AC7">
        <v>0.24</v>
      </c>
      <c r="AD7">
        <v>0.18</v>
      </c>
      <c r="AE7">
        <v>0.2</v>
      </c>
      <c r="AF7">
        <v>0.23</v>
      </c>
      <c r="AG7">
        <v>0.24</v>
      </c>
      <c r="AH7">
        <v>0.17</v>
      </c>
      <c r="AI7">
        <v>0.24</v>
      </c>
      <c r="AJ7">
        <v>0.22</v>
      </c>
    </row>
    <row r="8" spans="1:69" x14ac:dyDescent="0.3">
      <c r="A8" t="s">
        <v>89</v>
      </c>
      <c r="B8" t="s">
        <v>83</v>
      </c>
      <c r="C8" s="1">
        <v>7</v>
      </c>
      <c r="D8" t="s">
        <v>10</v>
      </c>
      <c r="E8" t="s">
        <v>10</v>
      </c>
      <c r="F8" t="s">
        <v>11</v>
      </c>
      <c r="G8" s="4">
        <v>80</v>
      </c>
      <c r="H8" s="4">
        <v>90</v>
      </c>
      <c r="I8" s="4">
        <v>70</v>
      </c>
      <c r="J8" s="4">
        <v>90</v>
      </c>
      <c r="K8" s="5">
        <f t="shared" si="0"/>
        <v>83.333333333333329</v>
      </c>
      <c r="L8" s="6">
        <f t="shared" si="1"/>
        <v>-2.0408163265306097E-2</v>
      </c>
      <c r="M8" s="45">
        <v>1</v>
      </c>
      <c r="N8" s="4">
        <v>0</v>
      </c>
      <c r="O8" s="4">
        <v>50</v>
      </c>
      <c r="P8" s="4">
        <v>55</v>
      </c>
      <c r="Q8" s="4">
        <v>65</v>
      </c>
      <c r="R8" s="4">
        <v>0.52</v>
      </c>
      <c r="T8">
        <v>-0.09</v>
      </c>
      <c r="U8">
        <v>-0.11</v>
      </c>
      <c r="V8">
        <v>-0.16</v>
      </c>
      <c r="W8">
        <v>-0.09</v>
      </c>
      <c r="X8">
        <v>-0.05</v>
      </c>
      <c r="Y8">
        <v>-0.06</v>
      </c>
      <c r="Z8">
        <v>0.02</v>
      </c>
      <c r="AA8">
        <v>-0.09</v>
      </c>
      <c r="AC8">
        <v>0.1</v>
      </c>
      <c r="AD8">
        <v>0.15</v>
      </c>
      <c r="AE8">
        <v>0.16</v>
      </c>
      <c r="AF8">
        <v>0.1</v>
      </c>
      <c r="AG8">
        <v>0.12</v>
      </c>
      <c r="AH8">
        <v>0.31</v>
      </c>
      <c r="AI8">
        <v>0.4</v>
      </c>
      <c r="AJ8">
        <v>0.28000000000000003</v>
      </c>
    </row>
    <row r="9" spans="1:69" x14ac:dyDescent="0.3">
      <c r="A9" t="s">
        <v>89</v>
      </c>
      <c r="B9" t="s">
        <v>84</v>
      </c>
      <c r="C9" s="1">
        <v>8</v>
      </c>
      <c r="D9" t="s">
        <v>10</v>
      </c>
      <c r="E9" t="s">
        <v>10</v>
      </c>
      <c r="F9" t="s">
        <v>11</v>
      </c>
      <c r="G9" s="4">
        <v>90</v>
      </c>
      <c r="H9" s="4">
        <v>85</v>
      </c>
      <c r="I9" s="4">
        <v>95</v>
      </c>
      <c r="J9" s="4">
        <v>75</v>
      </c>
      <c r="K9" s="5">
        <f t="shared" si="0"/>
        <v>85</v>
      </c>
      <c r="L9" s="6">
        <f t="shared" si="1"/>
        <v>2.8571428571428571E-2</v>
      </c>
      <c r="M9" s="45">
        <v>1</v>
      </c>
      <c r="N9" s="4">
        <v>0</v>
      </c>
      <c r="O9" s="4">
        <v>60</v>
      </c>
      <c r="P9" s="4">
        <v>55</v>
      </c>
      <c r="Q9" s="4">
        <v>80</v>
      </c>
      <c r="R9" s="4">
        <v>0.53</v>
      </c>
      <c r="T9">
        <v>-0.17</v>
      </c>
      <c r="U9">
        <v>-0.21</v>
      </c>
      <c r="V9">
        <v>-0.09</v>
      </c>
      <c r="W9">
        <v>-0.24</v>
      </c>
      <c r="X9">
        <v>-0.21</v>
      </c>
      <c r="Y9">
        <v>-0.17</v>
      </c>
      <c r="Z9">
        <v>0.04</v>
      </c>
      <c r="AA9">
        <v>-0.19</v>
      </c>
      <c r="AC9">
        <v>0.32</v>
      </c>
      <c r="AD9">
        <v>0.47</v>
      </c>
      <c r="AE9">
        <v>0.31</v>
      </c>
      <c r="AF9">
        <v>0.28999999999999998</v>
      </c>
      <c r="AG9">
        <v>0.34</v>
      </c>
      <c r="AH9">
        <v>0.35</v>
      </c>
      <c r="AI9">
        <v>0.43</v>
      </c>
      <c r="AJ9">
        <v>0.37</v>
      </c>
    </row>
    <row r="10" spans="1:69" x14ac:dyDescent="0.3">
      <c r="A10" t="s">
        <v>89</v>
      </c>
      <c r="B10" t="s">
        <v>85</v>
      </c>
      <c r="C10" s="1">
        <v>9</v>
      </c>
      <c r="D10" t="s">
        <v>10</v>
      </c>
      <c r="E10" t="s">
        <v>10</v>
      </c>
      <c r="F10" t="s">
        <v>11</v>
      </c>
      <c r="G10" s="4">
        <v>100</v>
      </c>
      <c r="H10" s="4">
        <v>100</v>
      </c>
      <c r="I10" s="4">
        <v>100</v>
      </c>
      <c r="J10" s="4">
        <v>75</v>
      </c>
      <c r="K10" s="5">
        <f t="shared" si="0"/>
        <v>91.666666666666671</v>
      </c>
      <c r="L10" s="6">
        <f t="shared" si="1"/>
        <v>4.3478260869565188E-2</v>
      </c>
      <c r="M10" s="45">
        <v>1</v>
      </c>
      <c r="N10" s="4">
        <v>0</v>
      </c>
      <c r="O10" s="4">
        <v>45</v>
      </c>
      <c r="P10" s="4">
        <v>70</v>
      </c>
      <c r="Q10" s="4">
        <v>70</v>
      </c>
      <c r="R10" s="4">
        <v>0.49</v>
      </c>
      <c r="T10">
        <v>-0.21</v>
      </c>
      <c r="U10">
        <v>-0.22</v>
      </c>
      <c r="V10">
        <v>-0.23</v>
      </c>
      <c r="W10">
        <v>-0.25</v>
      </c>
      <c r="X10" t="s">
        <v>14</v>
      </c>
      <c r="Y10" t="s">
        <v>14</v>
      </c>
      <c r="Z10" t="s">
        <v>14</v>
      </c>
      <c r="AA10">
        <v>-0.17</v>
      </c>
      <c r="AC10">
        <v>0.28000000000000003</v>
      </c>
      <c r="AD10">
        <v>0.26</v>
      </c>
      <c r="AE10">
        <v>0.27</v>
      </c>
      <c r="AF10">
        <v>0.31</v>
      </c>
      <c r="AG10" t="s">
        <v>14</v>
      </c>
      <c r="AH10" t="s">
        <v>14</v>
      </c>
      <c r="AI10" t="s">
        <v>14</v>
      </c>
      <c r="AJ10">
        <v>0.3</v>
      </c>
    </row>
    <row r="11" spans="1:69" x14ac:dyDescent="0.3">
      <c r="A11" t="s">
        <v>89</v>
      </c>
      <c r="B11" t="s">
        <v>86</v>
      </c>
      <c r="C11" s="1">
        <v>10</v>
      </c>
      <c r="D11" t="s">
        <v>10</v>
      </c>
      <c r="E11" t="s">
        <v>10</v>
      </c>
      <c r="F11" t="s">
        <v>11</v>
      </c>
      <c r="G11" s="4">
        <v>70</v>
      </c>
      <c r="H11" s="4">
        <v>35</v>
      </c>
      <c r="I11" s="4">
        <v>50</v>
      </c>
      <c r="J11" s="4">
        <v>85</v>
      </c>
      <c r="K11" s="5">
        <f t="shared" si="0"/>
        <v>56.666666666666664</v>
      </c>
      <c r="L11" s="6">
        <f t="shared" si="1"/>
        <v>0.10526315789473686</v>
      </c>
      <c r="M11" s="45">
        <v>0</v>
      </c>
      <c r="N11" s="4">
        <v>0</v>
      </c>
      <c r="O11" s="4">
        <v>65</v>
      </c>
      <c r="P11" s="4">
        <v>95</v>
      </c>
      <c r="Q11" s="4">
        <v>100</v>
      </c>
      <c r="R11" s="4">
        <v>0.84</v>
      </c>
      <c r="T11">
        <v>-0.08</v>
      </c>
      <c r="U11">
        <v>-0.15</v>
      </c>
      <c r="V11">
        <v>7.0000000000000007E-2</v>
      </c>
      <c r="W11">
        <v>-0.12</v>
      </c>
      <c r="X11">
        <v>-0.14000000000000001</v>
      </c>
      <c r="Y11">
        <v>-0.19</v>
      </c>
      <c r="Z11">
        <v>-0.11</v>
      </c>
      <c r="AA11">
        <v>-0.12</v>
      </c>
      <c r="AC11">
        <v>0.17</v>
      </c>
      <c r="AD11">
        <v>0.22</v>
      </c>
      <c r="AE11">
        <v>0.01</v>
      </c>
      <c r="AF11">
        <v>0.19</v>
      </c>
      <c r="AG11">
        <v>0.2</v>
      </c>
      <c r="AH11">
        <v>0.25</v>
      </c>
      <c r="AI11">
        <v>0.19</v>
      </c>
      <c r="AJ11">
        <v>0.16</v>
      </c>
    </row>
    <row r="12" spans="1:69" x14ac:dyDescent="0.3">
      <c r="A12" t="s">
        <v>89</v>
      </c>
      <c r="B12" t="s">
        <v>87</v>
      </c>
      <c r="C12" s="1">
        <v>11</v>
      </c>
      <c r="D12" t="s">
        <v>10</v>
      </c>
      <c r="E12" t="s">
        <v>10</v>
      </c>
      <c r="F12" t="s">
        <v>11</v>
      </c>
      <c r="G12" s="4">
        <v>85</v>
      </c>
      <c r="H12" s="4">
        <v>70</v>
      </c>
      <c r="I12" s="4">
        <v>85</v>
      </c>
      <c r="J12" s="4">
        <v>65</v>
      </c>
      <c r="K12" s="5">
        <f t="shared" si="0"/>
        <v>73.333333333333329</v>
      </c>
      <c r="L12" s="6">
        <f t="shared" si="1"/>
        <v>7.3684210526315824E-2</v>
      </c>
      <c r="M12" s="45">
        <v>1</v>
      </c>
      <c r="N12" s="4">
        <v>0</v>
      </c>
      <c r="O12" s="4">
        <v>70</v>
      </c>
      <c r="P12" s="4">
        <v>70</v>
      </c>
      <c r="Q12" s="4">
        <v>40</v>
      </c>
      <c r="R12" s="4">
        <v>0.38</v>
      </c>
      <c r="T12">
        <v>-0.24</v>
      </c>
      <c r="U12">
        <v>-0.21</v>
      </c>
      <c r="V12">
        <v>-0.19</v>
      </c>
      <c r="W12">
        <v>-0.26</v>
      </c>
      <c r="X12">
        <v>-0.19</v>
      </c>
      <c r="Y12">
        <v>-0.22</v>
      </c>
      <c r="Z12">
        <v>-0.08</v>
      </c>
      <c r="AA12">
        <v>0.04</v>
      </c>
      <c r="AC12">
        <v>0.28000000000000003</v>
      </c>
      <c r="AD12">
        <v>0.23</v>
      </c>
      <c r="AE12">
        <v>0.32</v>
      </c>
      <c r="AF12">
        <v>0.36</v>
      </c>
      <c r="AG12">
        <v>0.28000000000000003</v>
      </c>
      <c r="AH12">
        <v>0.22</v>
      </c>
      <c r="AI12">
        <v>7.0000000000000007E-2</v>
      </c>
      <c r="AJ12">
        <v>0.02</v>
      </c>
    </row>
    <row r="13" spans="1:69" x14ac:dyDescent="0.3">
      <c r="A13" t="s">
        <v>89</v>
      </c>
      <c r="B13" t="s">
        <v>88</v>
      </c>
      <c r="C13" s="1">
        <v>12</v>
      </c>
      <c r="D13" t="s">
        <v>10</v>
      </c>
      <c r="E13" t="s">
        <v>10</v>
      </c>
      <c r="F13" t="s">
        <v>11</v>
      </c>
      <c r="G13" s="4">
        <v>65</v>
      </c>
      <c r="H13" s="4">
        <v>55</v>
      </c>
      <c r="I13" s="4">
        <v>65</v>
      </c>
      <c r="J13" s="4">
        <v>40</v>
      </c>
      <c r="K13" s="5">
        <f t="shared" si="0"/>
        <v>53.333333333333336</v>
      </c>
      <c r="L13" s="6">
        <f t="shared" si="1"/>
        <v>9.8591549295774614E-2</v>
      </c>
      <c r="M13" s="45">
        <v>0</v>
      </c>
      <c r="N13" s="4">
        <v>0</v>
      </c>
      <c r="O13" s="4">
        <v>60</v>
      </c>
      <c r="P13" s="4">
        <v>80</v>
      </c>
      <c r="Q13" s="4">
        <v>60</v>
      </c>
      <c r="R13" s="4">
        <v>0.44</v>
      </c>
      <c r="T13">
        <v>-0.21</v>
      </c>
      <c r="U13">
        <v>-0.14000000000000001</v>
      </c>
      <c r="V13">
        <v>-0.17</v>
      </c>
      <c r="W13">
        <v>-0.31</v>
      </c>
      <c r="X13">
        <v>-0.22</v>
      </c>
      <c r="Y13">
        <v>-0.14000000000000001</v>
      </c>
      <c r="Z13">
        <v>-0.17</v>
      </c>
      <c r="AA13">
        <v>-0.19</v>
      </c>
      <c r="AC13">
        <v>0.26</v>
      </c>
      <c r="AD13">
        <v>0.25</v>
      </c>
      <c r="AE13">
        <v>0.25</v>
      </c>
      <c r="AF13">
        <v>0.3</v>
      </c>
      <c r="AG13">
        <v>0.33</v>
      </c>
      <c r="AH13">
        <v>0.28000000000000003</v>
      </c>
      <c r="AI13">
        <v>0.31</v>
      </c>
      <c r="AJ13">
        <v>0.31</v>
      </c>
    </row>
    <row r="14" spans="1:69" x14ac:dyDescent="0.3">
      <c r="A14" t="s">
        <v>90</v>
      </c>
      <c r="B14" t="s">
        <v>77</v>
      </c>
      <c r="C14" s="1">
        <v>13</v>
      </c>
      <c r="D14" t="s">
        <v>10</v>
      </c>
      <c r="E14" t="s">
        <v>10</v>
      </c>
      <c r="F14" t="s">
        <v>11</v>
      </c>
      <c r="G14" s="4">
        <v>90</v>
      </c>
      <c r="H14" s="4">
        <v>85</v>
      </c>
      <c r="I14" s="4">
        <v>80</v>
      </c>
      <c r="J14" s="4">
        <v>70</v>
      </c>
      <c r="K14" s="5">
        <f t="shared" si="0"/>
        <v>78.333333333333329</v>
      </c>
      <c r="L14" s="6">
        <f t="shared" si="1"/>
        <v>6.9306930693069341E-2</v>
      </c>
      <c r="M14" s="45">
        <v>1</v>
      </c>
      <c r="N14" s="4">
        <v>0</v>
      </c>
      <c r="O14" s="4">
        <v>25</v>
      </c>
      <c r="P14" s="4">
        <v>45</v>
      </c>
      <c r="Q14" s="4">
        <v>60</v>
      </c>
      <c r="R14" s="4">
        <v>0.19</v>
      </c>
      <c r="T14">
        <v>-0.18</v>
      </c>
      <c r="U14">
        <v>-0.23</v>
      </c>
      <c r="V14">
        <v>-0.27</v>
      </c>
      <c r="W14">
        <v>-0.24</v>
      </c>
      <c r="X14">
        <v>-0.12</v>
      </c>
      <c r="Y14">
        <v>-0.2</v>
      </c>
      <c r="Z14">
        <v>-0.13</v>
      </c>
      <c r="AA14">
        <v>-0.17</v>
      </c>
      <c r="AC14">
        <v>0.26</v>
      </c>
      <c r="AD14">
        <v>0.22</v>
      </c>
      <c r="AE14">
        <v>0.25</v>
      </c>
      <c r="AF14">
        <v>0.26</v>
      </c>
      <c r="AG14">
        <v>0.35</v>
      </c>
      <c r="AH14">
        <v>0.15</v>
      </c>
      <c r="AI14">
        <v>0.28000000000000003</v>
      </c>
      <c r="AJ14">
        <v>0.16</v>
      </c>
    </row>
    <row r="15" spans="1:69" s="35" customFormat="1" ht="16.2" thickBot="1" x14ac:dyDescent="0.35">
      <c r="A15" s="35" t="s">
        <v>90</v>
      </c>
      <c r="B15" s="35" t="s">
        <v>78</v>
      </c>
      <c r="C15" s="2">
        <v>14</v>
      </c>
      <c r="D15" s="35" t="s">
        <v>10</v>
      </c>
      <c r="E15" s="35" t="s">
        <v>10</v>
      </c>
      <c r="F15" s="35" t="s">
        <v>11</v>
      </c>
      <c r="G15" s="36">
        <v>100</v>
      </c>
      <c r="H15" s="36">
        <v>90</v>
      </c>
      <c r="I15" s="36">
        <v>95</v>
      </c>
      <c r="J15" s="36">
        <v>95</v>
      </c>
      <c r="K15" s="37">
        <f t="shared" si="0"/>
        <v>93.333333333333329</v>
      </c>
      <c r="L15" s="38">
        <f t="shared" si="1"/>
        <v>3.4482758620689682E-2</v>
      </c>
      <c r="M15" s="46">
        <v>1</v>
      </c>
      <c r="N15" s="36">
        <v>0</v>
      </c>
      <c r="O15" s="36">
        <v>25</v>
      </c>
      <c r="P15" s="36">
        <v>30</v>
      </c>
      <c r="Q15" s="36">
        <v>80</v>
      </c>
      <c r="R15" s="36">
        <v>0.42</v>
      </c>
      <c r="T15" s="35">
        <v>-0.26</v>
      </c>
      <c r="U15" s="35">
        <v>-0.28000000000000003</v>
      </c>
      <c r="V15" s="35">
        <v>-0.19</v>
      </c>
      <c r="W15" s="35">
        <v>-0.19</v>
      </c>
      <c r="X15" t="s">
        <v>14</v>
      </c>
      <c r="Y15" s="35">
        <v>-0.35</v>
      </c>
      <c r="Z15" s="35">
        <v>-0.3</v>
      </c>
      <c r="AA15" s="35">
        <v>-0.27</v>
      </c>
      <c r="AC15" s="35">
        <v>0.34</v>
      </c>
      <c r="AD15" s="35">
        <v>0.31</v>
      </c>
      <c r="AE15" s="35">
        <v>0.27</v>
      </c>
      <c r="AF15" s="35">
        <v>0.39</v>
      </c>
      <c r="AG15" t="s">
        <v>14</v>
      </c>
      <c r="AH15" s="35">
        <v>0.51</v>
      </c>
      <c r="AI15" s="35">
        <v>0.49</v>
      </c>
      <c r="AJ15" s="35">
        <v>0.31</v>
      </c>
    </row>
    <row r="16" spans="1:69" ht="16.2" thickTop="1" x14ac:dyDescent="0.3">
      <c r="A16" t="s">
        <v>75</v>
      </c>
      <c r="B16" t="s">
        <v>77</v>
      </c>
      <c r="C16" s="3">
        <v>15</v>
      </c>
      <c r="D16" t="s">
        <v>12</v>
      </c>
      <c r="E16" t="s">
        <v>13</v>
      </c>
      <c r="F16" t="s">
        <v>11</v>
      </c>
      <c r="G16" s="4">
        <v>75</v>
      </c>
      <c r="H16" s="4">
        <v>15</v>
      </c>
      <c r="I16" s="4">
        <v>5</v>
      </c>
      <c r="J16" s="4">
        <v>10</v>
      </c>
      <c r="K16" s="5">
        <f t="shared" si="0"/>
        <v>10</v>
      </c>
      <c r="L16" s="6">
        <f>(G16-K16)/(G16+K16)</f>
        <v>0.76470588235294112</v>
      </c>
      <c r="M16" s="45">
        <v>0</v>
      </c>
      <c r="N16" s="48">
        <v>1</v>
      </c>
      <c r="O16" s="4">
        <v>0</v>
      </c>
      <c r="P16" s="4">
        <v>20</v>
      </c>
      <c r="Q16" s="4">
        <v>5</v>
      </c>
      <c r="R16" s="4">
        <v>-0.02</v>
      </c>
      <c r="T16">
        <v>-0.24</v>
      </c>
      <c r="U16">
        <v>0.65</v>
      </c>
      <c r="V16">
        <v>-0.28000000000000003</v>
      </c>
      <c r="W16">
        <v>-0.28999999999999998</v>
      </c>
      <c r="X16">
        <v>-0.21</v>
      </c>
      <c r="Y16">
        <v>-0.21</v>
      </c>
      <c r="Z16">
        <v>-0.21</v>
      </c>
      <c r="AA16">
        <v>-0.13</v>
      </c>
      <c r="AC16">
        <v>0.28999999999999998</v>
      </c>
      <c r="AD16">
        <v>0</v>
      </c>
      <c r="AE16">
        <v>0.31</v>
      </c>
      <c r="AF16">
        <v>0.28000000000000003</v>
      </c>
      <c r="AG16">
        <v>0.35</v>
      </c>
      <c r="AH16">
        <v>0.3</v>
      </c>
      <c r="AI16">
        <v>0.34</v>
      </c>
      <c r="AJ16">
        <v>0.24</v>
      </c>
      <c r="AL16">
        <v>2.3199999999999998</v>
      </c>
      <c r="AM16">
        <v>17.75</v>
      </c>
      <c r="AN16">
        <v>50.95</v>
      </c>
      <c r="AO16">
        <v>39.82</v>
      </c>
      <c r="AP16">
        <v>44.32</v>
      </c>
      <c r="BJ16">
        <v>1.19</v>
      </c>
      <c r="BK16">
        <v>1.55</v>
      </c>
      <c r="BL16">
        <v>1.6</v>
      </c>
      <c r="BM16">
        <v>1.57</v>
      </c>
      <c r="BN16">
        <v>1.18</v>
      </c>
      <c r="BO16">
        <v>1.76</v>
      </c>
      <c r="BP16">
        <v>1.56</v>
      </c>
      <c r="BQ16">
        <v>1.38</v>
      </c>
    </row>
    <row r="17" spans="1:69" x14ac:dyDescent="0.3">
      <c r="A17" t="s">
        <v>75</v>
      </c>
      <c r="B17" t="s">
        <v>78</v>
      </c>
      <c r="C17" s="1">
        <v>16</v>
      </c>
      <c r="D17" t="s">
        <v>12</v>
      </c>
      <c r="E17" t="s">
        <v>13</v>
      </c>
      <c r="F17" t="s">
        <v>11</v>
      </c>
      <c r="G17" s="4">
        <v>60</v>
      </c>
      <c r="H17" s="4">
        <v>35</v>
      </c>
      <c r="I17" s="4">
        <v>45</v>
      </c>
      <c r="J17" s="4">
        <v>60</v>
      </c>
      <c r="K17" s="5">
        <f t="shared" si="0"/>
        <v>46.666666666666664</v>
      </c>
      <c r="L17" s="6">
        <f>(G17-K17)/(G17+K17)</f>
        <v>0.12500000000000003</v>
      </c>
      <c r="M17" s="45">
        <v>1</v>
      </c>
      <c r="N17" s="48">
        <v>0</v>
      </c>
      <c r="O17" s="4">
        <v>45</v>
      </c>
      <c r="P17" s="4">
        <v>85</v>
      </c>
      <c r="Q17" s="4">
        <v>75</v>
      </c>
      <c r="R17" s="4">
        <v>0.47</v>
      </c>
      <c r="T17">
        <v>-0.15</v>
      </c>
      <c r="U17">
        <v>-0.13</v>
      </c>
      <c r="V17">
        <v>-0.24</v>
      </c>
      <c r="W17">
        <v>-0.25</v>
      </c>
      <c r="X17">
        <v>-0.22</v>
      </c>
      <c r="Y17">
        <v>-0.24</v>
      </c>
      <c r="Z17">
        <v>-0.25</v>
      </c>
      <c r="AA17">
        <v>-0.24</v>
      </c>
      <c r="AC17">
        <v>0.22</v>
      </c>
      <c r="AD17">
        <v>0.09</v>
      </c>
      <c r="AE17">
        <v>0.19</v>
      </c>
      <c r="AF17">
        <v>0.27</v>
      </c>
      <c r="AG17">
        <v>0.2</v>
      </c>
      <c r="AH17">
        <v>0.28999999999999998</v>
      </c>
      <c r="AI17">
        <v>0.23</v>
      </c>
      <c r="AJ17">
        <v>0.28000000000000003</v>
      </c>
      <c r="AL17">
        <v>4.3</v>
      </c>
      <c r="AM17">
        <v>1.87</v>
      </c>
      <c r="AN17">
        <v>19.86</v>
      </c>
      <c r="AO17">
        <v>32.369999999999997</v>
      </c>
      <c r="AP17">
        <v>47.9</v>
      </c>
      <c r="BJ17">
        <v>1.22</v>
      </c>
      <c r="BK17">
        <v>1.63</v>
      </c>
      <c r="BL17">
        <v>1.47</v>
      </c>
      <c r="BM17">
        <v>1.26</v>
      </c>
      <c r="BN17">
        <v>1.21</v>
      </c>
      <c r="BO17">
        <v>1.47</v>
      </c>
      <c r="BP17">
        <v>1.41</v>
      </c>
      <c r="BQ17">
        <v>1.17</v>
      </c>
    </row>
    <row r="18" spans="1:69" x14ac:dyDescent="0.3">
      <c r="A18" t="s">
        <v>75</v>
      </c>
      <c r="B18" t="s">
        <v>79</v>
      </c>
      <c r="C18" s="1">
        <v>17</v>
      </c>
      <c r="D18" t="s">
        <v>12</v>
      </c>
      <c r="E18" t="s">
        <v>13</v>
      </c>
      <c r="F18" t="s">
        <v>11</v>
      </c>
      <c r="G18" s="4">
        <v>50</v>
      </c>
      <c r="H18" s="4">
        <v>45</v>
      </c>
      <c r="I18" s="4">
        <v>40</v>
      </c>
      <c r="J18" s="4">
        <v>40</v>
      </c>
      <c r="K18" s="5">
        <f t="shared" si="0"/>
        <v>41.666666666666664</v>
      </c>
      <c r="L18" s="6">
        <f t="shared" si="1"/>
        <v>9.0909090909090939E-2</v>
      </c>
      <c r="M18" s="45">
        <v>1</v>
      </c>
      <c r="N18" s="48">
        <v>0</v>
      </c>
      <c r="O18" s="4">
        <v>65</v>
      </c>
      <c r="P18" s="4">
        <v>65</v>
      </c>
      <c r="Q18" s="4">
        <v>85</v>
      </c>
      <c r="R18" s="4">
        <v>0.53</v>
      </c>
      <c r="T18">
        <v>-0.36</v>
      </c>
      <c r="U18">
        <v>-0.38</v>
      </c>
      <c r="V18">
        <v>-0.39</v>
      </c>
      <c r="W18">
        <v>-0.4</v>
      </c>
      <c r="X18">
        <v>-0.23</v>
      </c>
      <c r="Y18">
        <v>-0.27</v>
      </c>
      <c r="Z18">
        <v>-0.24</v>
      </c>
      <c r="AA18">
        <v>-0.24</v>
      </c>
      <c r="AC18">
        <v>0.34</v>
      </c>
      <c r="AD18">
        <v>0.2</v>
      </c>
      <c r="AE18">
        <v>0.26</v>
      </c>
      <c r="AF18">
        <v>0.28000000000000003</v>
      </c>
      <c r="AG18">
        <v>0.21</v>
      </c>
      <c r="AH18">
        <v>0.25</v>
      </c>
      <c r="AI18">
        <v>0.22</v>
      </c>
      <c r="AJ18">
        <v>0.2</v>
      </c>
      <c r="AL18">
        <v>0</v>
      </c>
      <c r="AM18">
        <v>10.84</v>
      </c>
      <c r="AN18">
        <v>14.38</v>
      </c>
      <c r="AO18">
        <v>26.28</v>
      </c>
      <c r="AP18">
        <v>21.31</v>
      </c>
      <c r="BJ18">
        <v>1.17</v>
      </c>
      <c r="BK18">
        <v>1.21</v>
      </c>
      <c r="BL18">
        <v>1.18</v>
      </c>
      <c r="BM18">
        <v>1.22</v>
      </c>
      <c r="BN18">
        <v>1.1499999999999999</v>
      </c>
      <c r="BO18">
        <v>1.1599999999999999</v>
      </c>
      <c r="BP18">
        <v>1.19</v>
      </c>
      <c r="BQ18">
        <v>1.2</v>
      </c>
    </row>
    <row r="19" spans="1:69" x14ac:dyDescent="0.3">
      <c r="A19" t="s">
        <v>75</v>
      </c>
      <c r="B19" t="s">
        <v>80</v>
      </c>
      <c r="C19" s="1">
        <v>18</v>
      </c>
      <c r="D19" t="s">
        <v>12</v>
      </c>
      <c r="E19" t="s">
        <v>13</v>
      </c>
      <c r="F19" t="s">
        <v>11</v>
      </c>
      <c r="G19" s="4">
        <v>55</v>
      </c>
      <c r="H19" s="4">
        <v>10</v>
      </c>
      <c r="I19" s="4">
        <v>15</v>
      </c>
      <c r="J19" s="4">
        <v>15</v>
      </c>
      <c r="K19" s="5">
        <f t="shared" si="0"/>
        <v>13.333333333333334</v>
      </c>
      <c r="L19" s="6">
        <f t="shared" si="1"/>
        <v>0.6097560975609756</v>
      </c>
      <c r="M19" s="45">
        <v>0</v>
      </c>
      <c r="N19" s="48">
        <v>1</v>
      </c>
      <c r="O19" s="4">
        <v>0</v>
      </c>
      <c r="P19" s="4">
        <v>50</v>
      </c>
      <c r="Q19" s="4">
        <v>75</v>
      </c>
      <c r="R19" s="4">
        <v>0.31</v>
      </c>
      <c r="T19">
        <v>-0.14000000000000001</v>
      </c>
      <c r="U19">
        <v>0.47</v>
      </c>
      <c r="V19">
        <v>-0.23</v>
      </c>
      <c r="W19">
        <v>-0.24</v>
      </c>
      <c r="X19">
        <v>-0.14000000000000001</v>
      </c>
      <c r="Y19">
        <v>-0.13</v>
      </c>
      <c r="Z19">
        <v>-0.18</v>
      </c>
      <c r="AA19">
        <v>-0.19</v>
      </c>
      <c r="AC19">
        <v>0.37</v>
      </c>
      <c r="AD19">
        <v>-0.11</v>
      </c>
      <c r="AE19">
        <v>0.33</v>
      </c>
      <c r="AF19">
        <v>0.34</v>
      </c>
      <c r="AG19">
        <v>0.41</v>
      </c>
      <c r="AH19">
        <v>0.4</v>
      </c>
      <c r="AI19">
        <v>0.24</v>
      </c>
      <c r="AJ19">
        <v>0.31</v>
      </c>
      <c r="AL19">
        <v>3.73</v>
      </c>
      <c r="AM19">
        <v>28.01</v>
      </c>
      <c r="AN19">
        <v>76.150000000000006</v>
      </c>
      <c r="AO19">
        <v>96.7</v>
      </c>
      <c r="AP19">
        <v>85.44</v>
      </c>
      <c r="BJ19">
        <v>1.52</v>
      </c>
      <c r="BK19">
        <v>1.91</v>
      </c>
      <c r="BL19">
        <v>1.33</v>
      </c>
      <c r="BM19">
        <v>1.39</v>
      </c>
      <c r="BN19">
        <v>1.55</v>
      </c>
      <c r="BO19">
        <v>1.51</v>
      </c>
      <c r="BP19">
        <v>1.42</v>
      </c>
      <c r="BQ19">
        <v>1.67</v>
      </c>
    </row>
    <row r="20" spans="1:69" x14ac:dyDescent="0.3">
      <c r="A20" t="s">
        <v>75</v>
      </c>
      <c r="B20" t="s">
        <v>81</v>
      </c>
      <c r="C20" s="1">
        <v>19</v>
      </c>
      <c r="D20" t="s">
        <v>12</v>
      </c>
      <c r="E20" t="s">
        <v>13</v>
      </c>
      <c r="F20" t="s">
        <v>11</v>
      </c>
      <c r="G20" s="4">
        <v>100</v>
      </c>
      <c r="H20" s="4">
        <v>80</v>
      </c>
      <c r="I20" s="4">
        <v>63.16</v>
      </c>
      <c r="J20" s="4">
        <v>60</v>
      </c>
      <c r="K20" s="5">
        <f t="shared" si="0"/>
        <v>67.72</v>
      </c>
      <c r="L20" s="6">
        <f t="shared" si="1"/>
        <v>0.1924636298592893</v>
      </c>
      <c r="M20" s="45">
        <v>1</v>
      </c>
      <c r="N20" s="48">
        <v>1</v>
      </c>
      <c r="O20" s="4">
        <v>70</v>
      </c>
      <c r="P20" s="4">
        <v>75</v>
      </c>
      <c r="Q20" s="4">
        <v>94.12</v>
      </c>
      <c r="R20" s="4">
        <v>0.66</v>
      </c>
      <c r="T20">
        <v>-0.11</v>
      </c>
      <c r="U20">
        <v>-0.08</v>
      </c>
      <c r="V20">
        <v>-0.04</v>
      </c>
      <c r="W20">
        <v>-0.08</v>
      </c>
      <c r="X20" t="s">
        <v>14</v>
      </c>
      <c r="Y20">
        <v>0.08</v>
      </c>
      <c r="Z20">
        <v>0.03</v>
      </c>
      <c r="AA20">
        <v>7.0000000000000007E-2</v>
      </c>
      <c r="AC20">
        <v>0.22</v>
      </c>
      <c r="AD20">
        <v>0.22</v>
      </c>
      <c r="AE20">
        <v>0.23</v>
      </c>
      <c r="AF20">
        <v>0.32</v>
      </c>
      <c r="AG20" t="s">
        <v>14</v>
      </c>
      <c r="AH20">
        <v>0.14000000000000001</v>
      </c>
      <c r="AI20">
        <v>0.24</v>
      </c>
      <c r="AJ20">
        <v>0.24</v>
      </c>
      <c r="AL20">
        <v>0.92</v>
      </c>
      <c r="AM20">
        <v>23.1</v>
      </c>
      <c r="AN20">
        <v>30.3</v>
      </c>
      <c r="AO20">
        <v>70.31</v>
      </c>
      <c r="AP20">
        <v>15.34</v>
      </c>
      <c r="BJ20">
        <v>1.19</v>
      </c>
      <c r="BK20">
        <v>1.28</v>
      </c>
      <c r="BL20">
        <v>1.43</v>
      </c>
      <c r="BM20">
        <v>1.31</v>
      </c>
      <c r="BN20">
        <v>1.1399999999999999</v>
      </c>
      <c r="BO20">
        <v>1.47</v>
      </c>
      <c r="BP20">
        <v>2.13</v>
      </c>
      <c r="BQ20">
        <v>1.22</v>
      </c>
    </row>
    <row r="21" spans="1:69" x14ac:dyDescent="0.3">
      <c r="A21" t="s">
        <v>75</v>
      </c>
      <c r="B21" t="s">
        <v>82</v>
      </c>
      <c r="C21" s="1">
        <v>20</v>
      </c>
      <c r="D21" t="s">
        <v>12</v>
      </c>
      <c r="E21" t="s">
        <v>13</v>
      </c>
      <c r="F21" t="s">
        <v>11</v>
      </c>
      <c r="G21" s="4">
        <v>65</v>
      </c>
      <c r="H21" s="4">
        <v>55</v>
      </c>
      <c r="I21" s="4">
        <v>73.680000000000007</v>
      </c>
      <c r="J21" s="4">
        <v>75</v>
      </c>
      <c r="K21" s="5">
        <f t="shared" si="0"/>
        <v>67.893333333333331</v>
      </c>
      <c r="L21" s="6">
        <f t="shared" si="1"/>
        <v>-2.1771847095414854E-2</v>
      </c>
      <c r="M21" s="45">
        <v>0</v>
      </c>
      <c r="N21" s="48">
        <v>0</v>
      </c>
      <c r="O21" s="4">
        <v>50</v>
      </c>
      <c r="P21" s="4">
        <v>70</v>
      </c>
      <c r="Q21" s="4">
        <v>85</v>
      </c>
      <c r="R21" s="4">
        <v>0.57999999999999996</v>
      </c>
      <c r="T21">
        <v>-0.12</v>
      </c>
      <c r="U21">
        <v>-0.15</v>
      </c>
      <c r="V21">
        <v>-0.21</v>
      </c>
      <c r="W21">
        <v>-0.2</v>
      </c>
      <c r="X21">
        <v>-0.17</v>
      </c>
      <c r="Y21">
        <v>-0.12</v>
      </c>
      <c r="Z21">
        <v>-0.18</v>
      </c>
      <c r="AA21">
        <v>-0.17</v>
      </c>
      <c r="AC21">
        <v>0.26</v>
      </c>
      <c r="AD21">
        <v>0.4</v>
      </c>
      <c r="AE21">
        <v>0.25</v>
      </c>
      <c r="AF21">
        <v>0.28999999999999998</v>
      </c>
      <c r="AG21">
        <v>0.25</v>
      </c>
      <c r="AH21">
        <v>0.31</v>
      </c>
      <c r="AI21">
        <v>0.33</v>
      </c>
      <c r="AJ21">
        <v>0.24</v>
      </c>
      <c r="AL21">
        <v>0.3</v>
      </c>
      <c r="AM21">
        <v>23.52</v>
      </c>
      <c r="AN21">
        <v>67.02</v>
      </c>
      <c r="AO21">
        <v>60.6</v>
      </c>
      <c r="AP21">
        <v>65.31</v>
      </c>
      <c r="BJ21">
        <v>1.23</v>
      </c>
      <c r="BK21">
        <v>1.33</v>
      </c>
      <c r="BL21">
        <v>1.29</v>
      </c>
      <c r="BM21">
        <v>1.33</v>
      </c>
      <c r="BN21">
        <v>1.18</v>
      </c>
      <c r="BO21">
        <v>1.26</v>
      </c>
      <c r="BP21">
        <v>1.28</v>
      </c>
      <c r="BQ21">
        <v>1.4</v>
      </c>
    </row>
    <row r="22" spans="1:69" x14ac:dyDescent="0.3">
      <c r="A22" t="s">
        <v>76</v>
      </c>
      <c r="B22" t="s">
        <v>77</v>
      </c>
      <c r="C22" s="1">
        <v>21</v>
      </c>
      <c r="D22" t="s">
        <v>12</v>
      </c>
      <c r="E22" t="s">
        <v>13</v>
      </c>
      <c r="F22" t="s">
        <v>11</v>
      </c>
      <c r="G22" s="4">
        <v>60</v>
      </c>
      <c r="H22" s="4">
        <v>60</v>
      </c>
      <c r="I22" s="4">
        <v>55</v>
      </c>
      <c r="J22" s="4">
        <v>40</v>
      </c>
      <c r="K22" s="5">
        <f t="shared" si="0"/>
        <v>51.666666666666664</v>
      </c>
      <c r="L22" s="6">
        <f t="shared" si="1"/>
        <v>7.4626865671641812E-2</v>
      </c>
      <c r="M22" s="45">
        <v>0</v>
      </c>
      <c r="N22" s="48">
        <v>0</v>
      </c>
      <c r="O22" s="4">
        <v>55</v>
      </c>
      <c r="P22" s="4">
        <v>75</v>
      </c>
      <c r="Q22" s="4">
        <v>80</v>
      </c>
      <c r="R22" s="4">
        <v>0.5</v>
      </c>
      <c r="T22">
        <v>-0.18</v>
      </c>
      <c r="U22">
        <v>-0.23</v>
      </c>
      <c r="V22">
        <v>-0.24</v>
      </c>
      <c r="W22">
        <v>-0.18</v>
      </c>
      <c r="X22">
        <v>-0.12</v>
      </c>
      <c r="Y22">
        <v>-0.2</v>
      </c>
      <c r="Z22">
        <v>-0.08</v>
      </c>
      <c r="AA22">
        <v>-0.19</v>
      </c>
      <c r="AC22">
        <v>0.35</v>
      </c>
      <c r="AD22">
        <v>0.28999999999999998</v>
      </c>
      <c r="AE22">
        <v>0.28999999999999998</v>
      </c>
      <c r="AF22">
        <v>0.2</v>
      </c>
      <c r="AG22">
        <v>0.23</v>
      </c>
      <c r="AH22">
        <v>0.28000000000000003</v>
      </c>
      <c r="AI22">
        <v>0.27</v>
      </c>
      <c r="AJ22">
        <v>0.25</v>
      </c>
      <c r="AL22">
        <v>0.83</v>
      </c>
      <c r="AM22">
        <v>0</v>
      </c>
      <c r="AN22">
        <v>4.24</v>
      </c>
      <c r="AO22">
        <v>21.5</v>
      </c>
      <c r="AP22">
        <v>14.81</v>
      </c>
      <c r="BJ22">
        <v>1.18</v>
      </c>
      <c r="BK22">
        <v>1.1599999999999999</v>
      </c>
      <c r="BL22">
        <v>1.32</v>
      </c>
      <c r="BM22">
        <v>1.33</v>
      </c>
      <c r="BN22">
        <v>1.22</v>
      </c>
      <c r="BO22">
        <v>1.33</v>
      </c>
      <c r="BP22">
        <v>1.23</v>
      </c>
      <c r="BQ22">
        <v>1.25</v>
      </c>
    </row>
    <row r="23" spans="1:69" x14ac:dyDescent="0.3">
      <c r="A23" t="s">
        <v>76</v>
      </c>
      <c r="B23" t="s">
        <v>78</v>
      </c>
      <c r="C23" s="1">
        <v>22</v>
      </c>
      <c r="D23" t="s">
        <v>12</v>
      </c>
      <c r="E23" t="s">
        <v>13</v>
      </c>
      <c r="F23" t="s">
        <v>11</v>
      </c>
      <c r="G23" s="4">
        <v>75</v>
      </c>
      <c r="H23" s="4">
        <v>35</v>
      </c>
      <c r="I23" s="4">
        <v>25</v>
      </c>
      <c r="J23" s="4">
        <v>5</v>
      </c>
      <c r="K23" s="5">
        <f t="shared" si="0"/>
        <v>21.666666666666668</v>
      </c>
      <c r="L23" s="6">
        <f t="shared" si="1"/>
        <v>0.55172413793103436</v>
      </c>
      <c r="M23" s="45">
        <v>0</v>
      </c>
      <c r="N23" s="48">
        <v>1</v>
      </c>
      <c r="O23" s="4" t="s">
        <v>14</v>
      </c>
      <c r="P23" s="4" t="s">
        <v>14</v>
      </c>
      <c r="Q23" s="4" t="s">
        <v>14</v>
      </c>
      <c r="R23" s="4" t="s">
        <v>14</v>
      </c>
      <c r="T23">
        <v>-0.19</v>
      </c>
      <c r="U23">
        <v>-0.11</v>
      </c>
      <c r="V23">
        <v>-0.28999999999999998</v>
      </c>
      <c r="W23">
        <v>-0.27</v>
      </c>
      <c r="X23">
        <v>-0.32</v>
      </c>
      <c r="Y23">
        <v>-0.32</v>
      </c>
      <c r="Z23">
        <v>-0.33</v>
      </c>
      <c r="AA23">
        <v>-0.33</v>
      </c>
      <c r="AC23">
        <v>0.28999999999999998</v>
      </c>
      <c r="AD23">
        <v>0.34</v>
      </c>
      <c r="AE23">
        <v>0.28999999999999998</v>
      </c>
      <c r="AF23">
        <v>0.39</v>
      </c>
      <c r="AG23">
        <v>0.35</v>
      </c>
      <c r="AH23">
        <v>0.33</v>
      </c>
      <c r="AI23">
        <v>0.28999999999999998</v>
      </c>
      <c r="AJ23">
        <v>0.34</v>
      </c>
      <c r="AL23">
        <v>4.41</v>
      </c>
      <c r="AM23">
        <v>22.07</v>
      </c>
      <c r="AN23">
        <v>23.95</v>
      </c>
      <c r="AO23">
        <v>29.08</v>
      </c>
      <c r="AP23">
        <v>43.03</v>
      </c>
      <c r="BJ23">
        <v>1.18</v>
      </c>
      <c r="BK23">
        <v>1.19</v>
      </c>
      <c r="BL23">
        <v>1.19</v>
      </c>
      <c r="BM23">
        <v>1.34</v>
      </c>
      <c r="BN23">
        <v>1.23</v>
      </c>
      <c r="BO23">
        <v>1.17</v>
      </c>
      <c r="BP23">
        <v>1.1399999999999999</v>
      </c>
      <c r="BQ23">
        <v>1.17</v>
      </c>
    </row>
    <row r="24" spans="1:69" x14ac:dyDescent="0.3">
      <c r="A24" t="s">
        <v>76</v>
      </c>
      <c r="B24" t="s">
        <v>79</v>
      </c>
      <c r="C24" s="1">
        <v>23</v>
      </c>
      <c r="D24" t="s">
        <v>12</v>
      </c>
      <c r="E24" t="s">
        <v>13</v>
      </c>
      <c r="F24" t="s">
        <v>11</v>
      </c>
      <c r="G24" s="4">
        <v>100</v>
      </c>
      <c r="H24" s="4">
        <v>85</v>
      </c>
      <c r="I24" s="4">
        <v>85</v>
      </c>
      <c r="J24" s="4">
        <v>85</v>
      </c>
      <c r="K24" s="5">
        <f t="shared" si="0"/>
        <v>85</v>
      </c>
      <c r="L24" s="6">
        <f t="shared" si="1"/>
        <v>8.1081081081081086E-2</v>
      </c>
      <c r="M24" s="45">
        <v>1</v>
      </c>
      <c r="N24" s="48">
        <v>0</v>
      </c>
      <c r="O24" s="4">
        <v>57.89</v>
      </c>
      <c r="P24" s="4">
        <v>45</v>
      </c>
      <c r="Q24" s="4">
        <v>45</v>
      </c>
      <c r="R24" s="4">
        <v>0.4</v>
      </c>
      <c r="T24">
        <v>-0.19</v>
      </c>
      <c r="U24">
        <v>-0.2</v>
      </c>
      <c r="V24">
        <v>-0.3</v>
      </c>
      <c r="W24">
        <v>-0.34</v>
      </c>
      <c r="X24" t="s">
        <v>14</v>
      </c>
      <c r="Y24">
        <v>-0.26</v>
      </c>
      <c r="Z24">
        <v>-0.35</v>
      </c>
      <c r="AA24">
        <v>-0.36</v>
      </c>
      <c r="AC24">
        <v>0.24</v>
      </c>
      <c r="AD24">
        <v>0.3</v>
      </c>
      <c r="AE24">
        <v>0.31</v>
      </c>
      <c r="AF24">
        <v>0.32</v>
      </c>
      <c r="AG24" t="s">
        <v>14</v>
      </c>
      <c r="AH24">
        <v>0.27</v>
      </c>
      <c r="AI24">
        <v>0.33</v>
      </c>
      <c r="AJ24">
        <v>0.24</v>
      </c>
      <c r="AL24">
        <v>2.21</v>
      </c>
      <c r="AM24">
        <v>5.69</v>
      </c>
      <c r="AN24">
        <v>24.68</v>
      </c>
      <c r="AO24">
        <v>47.57</v>
      </c>
      <c r="AP24">
        <v>38.869999999999997</v>
      </c>
      <c r="BJ24">
        <v>1.1599999999999999</v>
      </c>
      <c r="BK24">
        <v>1.59</v>
      </c>
      <c r="BL24">
        <v>1.22</v>
      </c>
      <c r="BM24">
        <v>1.17</v>
      </c>
      <c r="BN24">
        <v>1.24</v>
      </c>
      <c r="BO24">
        <v>1.19</v>
      </c>
      <c r="BP24">
        <v>1.18</v>
      </c>
      <c r="BQ24">
        <v>1.23</v>
      </c>
    </row>
    <row r="25" spans="1:69" x14ac:dyDescent="0.3">
      <c r="A25" t="s">
        <v>76</v>
      </c>
      <c r="B25" t="s">
        <v>80</v>
      </c>
      <c r="C25" s="1">
        <v>24</v>
      </c>
      <c r="D25" t="s">
        <v>12</v>
      </c>
      <c r="E25" t="s">
        <v>13</v>
      </c>
      <c r="F25" t="s">
        <v>11</v>
      </c>
      <c r="G25" s="4">
        <v>85</v>
      </c>
      <c r="H25" s="4">
        <v>75</v>
      </c>
      <c r="I25" s="4">
        <v>85</v>
      </c>
      <c r="J25" s="4">
        <v>75</v>
      </c>
      <c r="K25" s="5">
        <f t="shared" si="0"/>
        <v>78.333333333333329</v>
      </c>
      <c r="L25" s="6">
        <f t="shared" si="1"/>
        <v>4.0816326530612276E-2</v>
      </c>
      <c r="M25" s="45">
        <v>1</v>
      </c>
      <c r="N25" s="48">
        <v>0</v>
      </c>
      <c r="O25" s="4">
        <v>35</v>
      </c>
      <c r="P25" s="4">
        <v>35</v>
      </c>
      <c r="Q25" s="4">
        <v>90</v>
      </c>
      <c r="R25" s="4">
        <v>0.38</v>
      </c>
      <c r="T25">
        <v>-0.22</v>
      </c>
      <c r="U25">
        <v>-0.17</v>
      </c>
      <c r="V25">
        <v>-0.24</v>
      </c>
      <c r="W25">
        <v>-0.28000000000000003</v>
      </c>
      <c r="X25">
        <v>-0.24</v>
      </c>
      <c r="Y25">
        <v>-0.27</v>
      </c>
      <c r="Z25">
        <v>-0.25</v>
      </c>
      <c r="AA25">
        <v>-0.28000000000000003</v>
      </c>
      <c r="AC25">
        <v>0.27</v>
      </c>
      <c r="AD25">
        <v>0.31</v>
      </c>
      <c r="AE25">
        <v>0.26</v>
      </c>
      <c r="AF25">
        <v>0.28000000000000003</v>
      </c>
      <c r="AG25">
        <v>0.23</v>
      </c>
      <c r="AH25">
        <v>0.28999999999999998</v>
      </c>
      <c r="AI25">
        <v>0.26</v>
      </c>
      <c r="AJ25">
        <v>0.32</v>
      </c>
      <c r="AL25">
        <v>4.5999999999999996</v>
      </c>
      <c r="AM25">
        <v>10.02</v>
      </c>
      <c r="AN25">
        <v>51.71</v>
      </c>
      <c r="AO25">
        <v>57.65</v>
      </c>
      <c r="AP25">
        <v>41.67</v>
      </c>
      <c r="BJ25">
        <v>1.19</v>
      </c>
      <c r="BK25">
        <v>1.1100000000000001</v>
      </c>
      <c r="BL25">
        <v>1.1299999999999999</v>
      </c>
      <c r="BM25">
        <v>1.1100000000000001</v>
      </c>
      <c r="BN25">
        <v>1.32</v>
      </c>
      <c r="BO25">
        <v>1.1499999999999999</v>
      </c>
      <c r="BP25">
        <v>1.1599999999999999</v>
      </c>
      <c r="BQ25">
        <v>1.1000000000000001</v>
      </c>
    </row>
    <row r="26" spans="1:69" x14ac:dyDescent="0.3">
      <c r="A26" t="s">
        <v>76</v>
      </c>
      <c r="B26" t="s">
        <v>81</v>
      </c>
      <c r="C26" s="1">
        <v>25</v>
      </c>
      <c r="D26" t="s">
        <v>12</v>
      </c>
      <c r="E26" t="s">
        <v>13</v>
      </c>
      <c r="F26" t="s">
        <v>11</v>
      </c>
      <c r="G26" s="4">
        <v>95</v>
      </c>
      <c r="H26" s="4">
        <v>100</v>
      </c>
      <c r="I26" s="4">
        <v>100</v>
      </c>
      <c r="J26" s="4">
        <v>100</v>
      </c>
      <c r="K26" s="5">
        <f t="shared" si="0"/>
        <v>100</v>
      </c>
      <c r="L26" s="6">
        <f t="shared" si="1"/>
        <v>-2.564102564102564E-2</v>
      </c>
      <c r="M26" s="45">
        <v>1</v>
      </c>
      <c r="N26" s="48">
        <v>0</v>
      </c>
      <c r="O26" s="4">
        <v>45</v>
      </c>
      <c r="P26" s="4">
        <v>45</v>
      </c>
      <c r="Q26" s="4">
        <v>65</v>
      </c>
      <c r="R26" s="4">
        <v>0.52</v>
      </c>
      <c r="T26">
        <v>-0.18</v>
      </c>
      <c r="U26">
        <v>-0.21</v>
      </c>
      <c r="V26">
        <v>-0.21</v>
      </c>
      <c r="W26">
        <v>-0.21</v>
      </c>
      <c r="X26">
        <v>-0.04</v>
      </c>
      <c r="Y26" t="s">
        <v>14</v>
      </c>
      <c r="Z26" t="s">
        <v>14</v>
      </c>
      <c r="AA26" t="s">
        <v>14</v>
      </c>
      <c r="AC26">
        <v>0.27</v>
      </c>
      <c r="AD26">
        <v>0.24</v>
      </c>
      <c r="AE26">
        <v>0.28999999999999998</v>
      </c>
      <c r="AF26">
        <v>0.28999999999999998</v>
      </c>
      <c r="AG26">
        <v>0.17</v>
      </c>
      <c r="AH26" t="s">
        <v>14</v>
      </c>
      <c r="AI26" t="s">
        <v>14</v>
      </c>
      <c r="AJ26" t="s">
        <v>14</v>
      </c>
      <c r="AL26">
        <v>0.35</v>
      </c>
      <c r="AM26">
        <v>10.78</v>
      </c>
      <c r="AN26">
        <v>26.78</v>
      </c>
      <c r="AO26">
        <v>27.25</v>
      </c>
      <c r="AP26">
        <v>49.65</v>
      </c>
      <c r="BJ26">
        <v>1.26</v>
      </c>
      <c r="BK26">
        <v>1.27</v>
      </c>
      <c r="BL26">
        <v>1.2</v>
      </c>
      <c r="BM26">
        <v>1.33</v>
      </c>
      <c r="BN26">
        <v>1.31</v>
      </c>
      <c r="BO26">
        <v>1.32</v>
      </c>
      <c r="BP26">
        <v>1.1299999999999999</v>
      </c>
      <c r="BQ26">
        <v>1.23</v>
      </c>
    </row>
    <row r="27" spans="1:69" x14ac:dyDescent="0.3">
      <c r="A27" t="s">
        <v>76</v>
      </c>
      <c r="B27" t="s">
        <v>82</v>
      </c>
      <c r="C27" s="1">
        <v>26</v>
      </c>
      <c r="D27" t="s">
        <v>12</v>
      </c>
      <c r="E27" t="s">
        <v>13</v>
      </c>
      <c r="F27" t="s">
        <v>11</v>
      </c>
      <c r="G27" s="4">
        <v>55</v>
      </c>
      <c r="H27" s="4">
        <v>40</v>
      </c>
      <c r="I27" s="4">
        <v>45</v>
      </c>
      <c r="J27" s="4">
        <v>10</v>
      </c>
      <c r="K27" s="5">
        <f t="shared" si="0"/>
        <v>31.666666666666668</v>
      </c>
      <c r="L27" s="6">
        <f t="shared" si="1"/>
        <v>0.26923076923076922</v>
      </c>
      <c r="M27" s="45">
        <v>1</v>
      </c>
      <c r="N27" s="48">
        <v>0</v>
      </c>
      <c r="O27" s="4">
        <v>0</v>
      </c>
      <c r="P27" s="4">
        <v>35</v>
      </c>
      <c r="Q27" s="4">
        <v>55</v>
      </c>
      <c r="R27" s="4">
        <v>0.22</v>
      </c>
      <c r="T27">
        <v>-0.22</v>
      </c>
      <c r="U27">
        <v>-0.27</v>
      </c>
      <c r="V27">
        <v>-0.26</v>
      </c>
      <c r="W27">
        <v>-0.26</v>
      </c>
      <c r="X27">
        <v>-0.22</v>
      </c>
      <c r="Y27">
        <v>-0.22</v>
      </c>
      <c r="Z27">
        <v>-0.17</v>
      </c>
      <c r="AA27">
        <v>-0.2</v>
      </c>
      <c r="AC27">
        <v>0.32</v>
      </c>
      <c r="AD27">
        <v>0.31</v>
      </c>
      <c r="AE27">
        <v>0.38</v>
      </c>
      <c r="AF27">
        <v>0.23</v>
      </c>
      <c r="AG27">
        <v>0.44</v>
      </c>
      <c r="AH27">
        <v>0.35</v>
      </c>
      <c r="AI27">
        <v>0.37</v>
      </c>
      <c r="AJ27">
        <v>0.37</v>
      </c>
      <c r="AL27">
        <v>0.42</v>
      </c>
      <c r="AM27">
        <v>0.84</v>
      </c>
      <c r="AN27">
        <v>21.44</v>
      </c>
      <c r="AO27">
        <v>49.94</v>
      </c>
      <c r="AP27">
        <v>21.59</v>
      </c>
      <c r="BJ27">
        <v>1.23</v>
      </c>
      <c r="BK27">
        <v>1.23</v>
      </c>
      <c r="BL27">
        <v>1.27</v>
      </c>
      <c r="BM27">
        <v>1.36</v>
      </c>
      <c r="BN27">
        <v>1.18</v>
      </c>
      <c r="BO27">
        <v>1.19</v>
      </c>
      <c r="BP27">
        <v>1.1499999999999999</v>
      </c>
      <c r="BQ27">
        <v>1.2</v>
      </c>
    </row>
    <row r="28" spans="1:69" x14ac:dyDescent="0.3">
      <c r="A28" t="s">
        <v>74</v>
      </c>
      <c r="B28" t="s">
        <v>77</v>
      </c>
      <c r="C28" s="1">
        <v>27</v>
      </c>
      <c r="D28" t="s">
        <v>12</v>
      </c>
      <c r="E28" t="s">
        <v>15</v>
      </c>
      <c r="F28" t="s">
        <v>16</v>
      </c>
      <c r="G28" s="4">
        <v>100</v>
      </c>
      <c r="H28" s="4">
        <v>85</v>
      </c>
      <c r="I28" s="4">
        <v>85</v>
      </c>
      <c r="J28" s="4">
        <v>65</v>
      </c>
      <c r="K28" s="5">
        <f t="shared" si="0"/>
        <v>78.333333333333329</v>
      </c>
      <c r="L28" s="6">
        <f t="shared" si="1"/>
        <v>0.12149532710280378</v>
      </c>
      <c r="M28" s="45">
        <v>1</v>
      </c>
      <c r="N28" s="48">
        <v>1</v>
      </c>
      <c r="O28" s="4">
        <v>35</v>
      </c>
      <c r="P28" s="4">
        <v>50</v>
      </c>
      <c r="Q28" s="4">
        <v>55</v>
      </c>
      <c r="R28" s="4">
        <v>0.18</v>
      </c>
      <c r="T28">
        <v>0.08</v>
      </c>
      <c r="U28">
        <v>0.1</v>
      </c>
      <c r="V28">
        <v>0.03</v>
      </c>
      <c r="W28">
        <v>0.08</v>
      </c>
      <c r="X28" t="s">
        <v>14</v>
      </c>
      <c r="Y28">
        <v>-0.15</v>
      </c>
      <c r="Z28">
        <v>0</v>
      </c>
      <c r="AA28">
        <v>-0.11</v>
      </c>
      <c r="AC28">
        <v>0.06</v>
      </c>
      <c r="AD28">
        <v>-0.04</v>
      </c>
      <c r="AE28">
        <v>0.01</v>
      </c>
      <c r="AF28">
        <v>0.06</v>
      </c>
      <c r="AG28" t="s">
        <v>14</v>
      </c>
      <c r="AH28">
        <v>0.16</v>
      </c>
      <c r="AI28">
        <v>0.2</v>
      </c>
      <c r="AJ28">
        <v>0.21</v>
      </c>
      <c r="AL28">
        <v>1.21</v>
      </c>
      <c r="AM28">
        <v>7.04</v>
      </c>
      <c r="AN28">
        <v>2.2000000000000002</v>
      </c>
      <c r="AO28">
        <v>5.12</v>
      </c>
      <c r="AP28">
        <v>10.48</v>
      </c>
      <c r="BJ28">
        <v>1.51</v>
      </c>
      <c r="BK28">
        <v>1.51</v>
      </c>
      <c r="BL28">
        <v>1.41</v>
      </c>
      <c r="BM28">
        <v>1.51</v>
      </c>
      <c r="BN28">
        <v>2.0699999999999998</v>
      </c>
      <c r="BO28">
        <v>1.37</v>
      </c>
      <c r="BP28">
        <v>1.3</v>
      </c>
      <c r="BQ28">
        <v>1.52</v>
      </c>
    </row>
    <row r="29" spans="1:69" x14ac:dyDescent="0.3">
      <c r="A29" t="s">
        <v>74</v>
      </c>
      <c r="B29" t="s">
        <v>78</v>
      </c>
      <c r="C29" s="1">
        <v>28</v>
      </c>
      <c r="D29" t="s">
        <v>12</v>
      </c>
      <c r="E29" t="s">
        <v>15</v>
      </c>
      <c r="F29" t="s">
        <v>16</v>
      </c>
      <c r="G29" s="4">
        <v>60</v>
      </c>
      <c r="H29" s="4">
        <v>28.57</v>
      </c>
      <c r="I29" s="4">
        <v>6.25</v>
      </c>
      <c r="J29" s="4">
        <v>0</v>
      </c>
      <c r="K29" s="5">
        <f t="shared" si="0"/>
        <v>11.606666666666667</v>
      </c>
      <c r="L29" s="6">
        <v>0.75609999999999999</v>
      </c>
      <c r="M29" s="45">
        <v>0</v>
      </c>
      <c r="N29" s="48">
        <v>1</v>
      </c>
      <c r="O29" s="4">
        <v>50</v>
      </c>
      <c r="P29" s="4">
        <v>5</v>
      </c>
      <c r="Q29" s="4">
        <v>45</v>
      </c>
      <c r="R29" s="4">
        <v>0.33</v>
      </c>
      <c r="T29">
        <v>-0.11</v>
      </c>
      <c r="U29">
        <v>1.08</v>
      </c>
      <c r="V29">
        <v>1.08</v>
      </c>
      <c r="W29" t="s">
        <v>14</v>
      </c>
      <c r="X29">
        <v>-0.22</v>
      </c>
      <c r="Y29">
        <v>-0.28999999999999998</v>
      </c>
      <c r="Z29">
        <v>-0.28000000000000003</v>
      </c>
      <c r="AA29">
        <v>-0.12</v>
      </c>
      <c r="AC29">
        <v>0.22</v>
      </c>
      <c r="AD29">
        <v>-0.9</v>
      </c>
      <c r="AE29" t="s">
        <v>14</v>
      </c>
      <c r="AF29" t="s">
        <v>14</v>
      </c>
      <c r="AG29">
        <v>0.28999999999999998</v>
      </c>
      <c r="AH29">
        <v>0.28000000000000003</v>
      </c>
      <c r="AI29">
        <v>0.25</v>
      </c>
      <c r="AJ29">
        <v>0.24</v>
      </c>
      <c r="AL29">
        <v>0.55000000000000004</v>
      </c>
      <c r="AM29">
        <v>8.64</v>
      </c>
      <c r="AN29">
        <v>37.549999999999997</v>
      </c>
      <c r="AO29">
        <v>47</v>
      </c>
      <c r="AP29">
        <v>50.6</v>
      </c>
      <c r="BJ29">
        <v>1.39</v>
      </c>
      <c r="BK29">
        <v>2.2000000000000002</v>
      </c>
      <c r="BL29">
        <v>2.61</v>
      </c>
      <c r="BM29">
        <v>2.33</v>
      </c>
      <c r="BN29">
        <v>1.28</v>
      </c>
      <c r="BO29">
        <v>1.77</v>
      </c>
      <c r="BP29">
        <v>1.53</v>
      </c>
      <c r="BQ29">
        <v>1.3</v>
      </c>
    </row>
    <row r="30" spans="1:69" x14ac:dyDescent="0.3">
      <c r="A30" t="s">
        <v>74</v>
      </c>
      <c r="B30" t="s">
        <v>79</v>
      </c>
      <c r="C30" s="1">
        <v>29</v>
      </c>
      <c r="D30" t="s">
        <v>12</v>
      </c>
      <c r="E30" t="s">
        <v>15</v>
      </c>
      <c r="F30" t="s">
        <v>16</v>
      </c>
      <c r="G30" s="4">
        <v>60</v>
      </c>
      <c r="H30" s="4">
        <v>65</v>
      </c>
      <c r="I30" s="4">
        <v>45</v>
      </c>
      <c r="J30" s="4">
        <v>75</v>
      </c>
      <c r="K30" s="5">
        <f t="shared" si="0"/>
        <v>61.666666666666664</v>
      </c>
      <c r="L30" s="6">
        <f t="shared" si="1"/>
        <v>-1.3698630136986283E-2</v>
      </c>
      <c r="M30" s="45">
        <v>0</v>
      </c>
      <c r="N30" s="48">
        <v>0</v>
      </c>
      <c r="O30" s="4">
        <v>50</v>
      </c>
      <c r="P30" s="4">
        <v>45</v>
      </c>
      <c r="Q30" s="4">
        <v>70</v>
      </c>
      <c r="R30" s="4">
        <v>0.4</v>
      </c>
      <c r="T30">
        <v>-0.16</v>
      </c>
      <c r="U30">
        <v>-0.14000000000000001</v>
      </c>
      <c r="V30">
        <v>-0.19</v>
      </c>
      <c r="W30">
        <v>-0.23</v>
      </c>
      <c r="X30">
        <v>-0.08</v>
      </c>
      <c r="Y30">
        <v>-0.14000000000000001</v>
      </c>
      <c r="Z30">
        <v>-0.11</v>
      </c>
      <c r="AA30">
        <v>-0.13</v>
      </c>
      <c r="AC30">
        <v>0.26</v>
      </c>
      <c r="AD30">
        <v>0.09</v>
      </c>
      <c r="AE30">
        <v>0.47</v>
      </c>
      <c r="AF30">
        <v>0.22</v>
      </c>
      <c r="AG30">
        <v>0.32</v>
      </c>
      <c r="AH30">
        <v>0.34</v>
      </c>
      <c r="AI30">
        <v>0.24</v>
      </c>
      <c r="AJ30">
        <v>0.25</v>
      </c>
      <c r="AL30">
        <v>0</v>
      </c>
      <c r="AM30">
        <v>0</v>
      </c>
      <c r="AN30">
        <v>35.229999999999997</v>
      </c>
      <c r="AO30">
        <v>35.049999999999997</v>
      </c>
      <c r="AP30">
        <v>35.630000000000003</v>
      </c>
      <c r="BJ30">
        <v>1.27</v>
      </c>
      <c r="BK30">
        <v>1.75</v>
      </c>
      <c r="BL30">
        <v>1.38</v>
      </c>
      <c r="BM30">
        <v>1.45</v>
      </c>
      <c r="BN30">
        <v>1.34</v>
      </c>
      <c r="BO30">
        <v>1.45</v>
      </c>
      <c r="BP30">
        <v>1.37</v>
      </c>
      <c r="BQ30">
        <v>1.35</v>
      </c>
    </row>
    <row r="31" spans="1:69" x14ac:dyDescent="0.3">
      <c r="A31" t="s">
        <v>74</v>
      </c>
      <c r="B31" t="s">
        <v>80</v>
      </c>
      <c r="C31" s="1">
        <v>30</v>
      </c>
      <c r="D31" t="s">
        <v>12</v>
      </c>
      <c r="E31" t="s">
        <v>15</v>
      </c>
      <c r="F31" t="s">
        <v>16</v>
      </c>
      <c r="G31" s="4">
        <v>100</v>
      </c>
      <c r="H31" s="4">
        <v>95</v>
      </c>
      <c r="I31" s="4">
        <v>100</v>
      </c>
      <c r="J31" s="4">
        <v>100</v>
      </c>
      <c r="K31" s="5">
        <f t="shared" si="0"/>
        <v>98.333333333333329</v>
      </c>
      <c r="L31" s="6">
        <f t="shared" si="1"/>
        <v>8.403361344537839E-3</v>
      </c>
      <c r="M31" s="45">
        <v>1</v>
      </c>
      <c r="N31" s="48">
        <v>0</v>
      </c>
      <c r="O31" s="4">
        <v>13.33</v>
      </c>
      <c r="P31" s="4">
        <v>6.67</v>
      </c>
      <c r="Q31" s="4">
        <v>0</v>
      </c>
      <c r="R31" s="4">
        <v>7.0000000000000007E-2</v>
      </c>
      <c r="T31">
        <v>-0.14000000000000001</v>
      </c>
      <c r="U31">
        <v>-0.22</v>
      </c>
      <c r="V31">
        <v>-0.22</v>
      </c>
      <c r="W31">
        <v>-0.19</v>
      </c>
      <c r="X31" t="s">
        <v>14</v>
      </c>
      <c r="Y31">
        <v>-0.11</v>
      </c>
      <c r="Z31" t="s">
        <v>14</v>
      </c>
      <c r="AA31" t="s">
        <v>14</v>
      </c>
      <c r="AC31">
        <v>0.39</v>
      </c>
      <c r="AD31">
        <v>0.37</v>
      </c>
      <c r="AE31">
        <v>0.39</v>
      </c>
      <c r="AF31">
        <v>0.39</v>
      </c>
      <c r="AH31">
        <v>0.19</v>
      </c>
      <c r="AI31" t="s">
        <v>14</v>
      </c>
      <c r="AJ31" t="s">
        <v>14</v>
      </c>
      <c r="AL31">
        <v>0</v>
      </c>
      <c r="AM31">
        <v>6.31</v>
      </c>
      <c r="AN31">
        <v>58.04</v>
      </c>
      <c r="AO31">
        <v>79.900000000000006</v>
      </c>
      <c r="AP31">
        <v>4.4800000000000004</v>
      </c>
      <c r="BJ31">
        <v>1.28</v>
      </c>
      <c r="BK31">
        <v>1.47</v>
      </c>
      <c r="BL31">
        <v>1.23</v>
      </c>
      <c r="BM31">
        <v>1.89</v>
      </c>
      <c r="BN31">
        <v>1.54</v>
      </c>
      <c r="BO31">
        <v>1.8</v>
      </c>
      <c r="BP31">
        <v>1.64</v>
      </c>
      <c r="BQ31">
        <v>1.78</v>
      </c>
    </row>
    <row r="32" spans="1:69" x14ac:dyDescent="0.3">
      <c r="A32" t="s">
        <v>74</v>
      </c>
      <c r="B32" t="s">
        <v>81</v>
      </c>
      <c r="C32" s="1">
        <v>31</v>
      </c>
      <c r="D32" t="s">
        <v>12</v>
      </c>
      <c r="E32" t="s">
        <v>15</v>
      </c>
      <c r="F32" t="s">
        <v>16</v>
      </c>
      <c r="G32" s="4">
        <v>80</v>
      </c>
      <c r="H32" s="4">
        <v>70</v>
      </c>
      <c r="I32" s="4">
        <v>80</v>
      </c>
      <c r="J32" s="4">
        <v>45</v>
      </c>
      <c r="K32" s="5">
        <f t="shared" si="0"/>
        <v>65</v>
      </c>
      <c r="L32" s="6">
        <f t="shared" si="1"/>
        <v>0.10344827586206896</v>
      </c>
      <c r="M32" s="45">
        <v>1</v>
      </c>
      <c r="N32" s="48">
        <v>0</v>
      </c>
      <c r="O32" s="4">
        <v>55</v>
      </c>
      <c r="P32" s="4">
        <v>65</v>
      </c>
      <c r="Q32" s="4">
        <v>75</v>
      </c>
      <c r="R32" s="4">
        <v>0.36</v>
      </c>
      <c r="T32">
        <v>-0.24</v>
      </c>
      <c r="U32">
        <v>-0.21</v>
      </c>
      <c r="V32">
        <v>-0.35</v>
      </c>
      <c r="W32">
        <v>-0.32</v>
      </c>
      <c r="X32">
        <v>-0.11</v>
      </c>
      <c r="Y32">
        <v>-0.26</v>
      </c>
      <c r="Z32">
        <v>-0.22</v>
      </c>
      <c r="AA32">
        <v>-0.19</v>
      </c>
      <c r="AC32">
        <v>0.28999999999999998</v>
      </c>
      <c r="AD32">
        <v>0.2</v>
      </c>
      <c r="AE32">
        <v>0.25</v>
      </c>
      <c r="AF32">
        <v>0.28999999999999998</v>
      </c>
      <c r="AG32">
        <v>0.33</v>
      </c>
      <c r="AH32">
        <v>0.33</v>
      </c>
      <c r="AI32">
        <v>0.22</v>
      </c>
      <c r="AJ32">
        <v>0.25</v>
      </c>
      <c r="AL32">
        <v>0</v>
      </c>
      <c r="AM32">
        <v>5.56</v>
      </c>
      <c r="AN32">
        <v>1.53</v>
      </c>
      <c r="AO32">
        <v>3.59</v>
      </c>
      <c r="AP32">
        <v>15.95</v>
      </c>
      <c r="BJ32">
        <v>1.22</v>
      </c>
      <c r="BK32">
        <v>1.52</v>
      </c>
      <c r="BL32">
        <v>1.42</v>
      </c>
      <c r="BM32">
        <v>1.35</v>
      </c>
      <c r="BN32">
        <v>1.25</v>
      </c>
      <c r="BO32">
        <v>1.55</v>
      </c>
      <c r="BP32">
        <v>1.3</v>
      </c>
      <c r="BQ32">
        <v>1.24</v>
      </c>
    </row>
    <row r="33" spans="1:69" x14ac:dyDescent="0.3">
      <c r="A33" t="s">
        <v>74</v>
      </c>
      <c r="B33" t="s">
        <v>82</v>
      </c>
      <c r="C33" s="1">
        <v>32</v>
      </c>
      <c r="D33" t="s">
        <v>12</v>
      </c>
      <c r="E33" t="s">
        <v>15</v>
      </c>
      <c r="F33" t="s">
        <v>16</v>
      </c>
      <c r="G33" s="4">
        <v>100</v>
      </c>
      <c r="H33" s="4">
        <v>100</v>
      </c>
      <c r="I33" s="4">
        <v>100</v>
      </c>
      <c r="J33" s="4">
        <v>95</v>
      </c>
      <c r="K33" s="5">
        <f t="shared" si="0"/>
        <v>98.333333333333329</v>
      </c>
      <c r="L33" s="6">
        <f t="shared" si="1"/>
        <v>8.403361344537839E-3</v>
      </c>
      <c r="M33" s="45">
        <v>1</v>
      </c>
      <c r="N33" s="48">
        <v>0</v>
      </c>
      <c r="O33" s="4">
        <v>20</v>
      </c>
      <c r="P33" s="4">
        <v>0</v>
      </c>
      <c r="Q33" s="4">
        <v>25</v>
      </c>
      <c r="R33" s="4">
        <v>0.11</v>
      </c>
      <c r="T33">
        <v>-0.25</v>
      </c>
      <c r="U33">
        <v>-0.2</v>
      </c>
      <c r="V33">
        <v>-0.21</v>
      </c>
      <c r="W33">
        <v>-0.16</v>
      </c>
      <c r="X33" t="s">
        <v>14</v>
      </c>
      <c r="Y33" t="s">
        <v>14</v>
      </c>
      <c r="Z33" t="s">
        <v>14</v>
      </c>
      <c r="AA33">
        <v>-0.11</v>
      </c>
      <c r="AC33">
        <v>0.28000000000000003</v>
      </c>
      <c r="AD33">
        <v>0.23</v>
      </c>
      <c r="AE33">
        <v>0.25</v>
      </c>
      <c r="AF33">
        <v>0.23</v>
      </c>
      <c r="AG33" t="s">
        <v>14</v>
      </c>
      <c r="AH33" t="s">
        <v>14</v>
      </c>
      <c r="AI33" t="s">
        <v>14</v>
      </c>
      <c r="AJ33">
        <v>0.25</v>
      </c>
      <c r="AL33">
        <v>0.43</v>
      </c>
      <c r="AM33">
        <v>4.16</v>
      </c>
      <c r="AN33">
        <v>19.5</v>
      </c>
      <c r="AO33">
        <v>44.37</v>
      </c>
      <c r="AP33">
        <v>31.51</v>
      </c>
      <c r="BJ33">
        <v>1.45</v>
      </c>
      <c r="BK33">
        <v>1.53</v>
      </c>
      <c r="BL33">
        <v>1.46</v>
      </c>
      <c r="BM33">
        <v>1.27</v>
      </c>
      <c r="BN33">
        <v>1.56</v>
      </c>
      <c r="BO33">
        <v>2.0099999999999998</v>
      </c>
      <c r="BP33">
        <v>2.04</v>
      </c>
      <c r="BQ33">
        <v>1.67</v>
      </c>
    </row>
    <row r="34" spans="1:69" x14ac:dyDescent="0.3">
      <c r="A34" t="s">
        <v>74</v>
      </c>
      <c r="B34" t="s">
        <v>83</v>
      </c>
      <c r="C34" s="1">
        <v>33</v>
      </c>
      <c r="D34" t="s">
        <v>12</v>
      </c>
      <c r="E34" t="s">
        <v>15</v>
      </c>
      <c r="F34" t="s">
        <v>16</v>
      </c>
      <c r="G34" s="4">
        <v>65</v>
      </c>
      <c r="H34" s="4">
        <v>15</v>
      </c>
      <c r="I34" s="4">
        <v>35</v>
      </c>
      <c r="J34" s="4">
        <v>20</v>
      </c>
      <c r="K34" s="5">
        <f t="shared" si="0"/>
        <v>23.333333333333332</v>
      </c>
      <c r="L34" s="6">
        <f t="shared" si="1"/>
        <v>0.47169811320754723</v>
      </c>
      <c r="M34" s="45">
        <v>1</v>
      </c>
      <c r="N34" s="48">
        <v>1</v>
      </c>
      <c r="O34" s="4">
        <v>30</v>
      </c>
      <c r="P34" s="4">
        <v>60</v>
      </c>
      <c r="Q34" s="4">
        <v>70</v>
      </c>
      <c r="R34" s="4">
        <v>0.42</v>
      </c>
      <c r="T34">
        <v>-0.2</v>
      </c>
      <c r="U34">
        <v>1.08</v>
      </c>
      <c r="V34">
        <v>1.08</v>
      </c>
      <c r="W34">
        <v>-0.2</v>
      </c>
      <c r="X34">
        <v>-0.23</v>
      </c>
      <c r="Y34">
        <v>-0.28000000000000003</v>
      </c>
      <c r="Z34">
        <v>-0.26</v>
      </c>
      <c r="AA34">
        <v>-0.27</v>
      </c>
      <c r="AC34">
        <v>0.27</v>
      </c>
      <c r="AD34" t="s">
        <v>14</v>
      </c>
      <c r="AE34" t="s">
        <v>14</v>
      </c>
      <c r="AF34">
        <v>0.19</v>
      </c>
      <c r="AG34">
        <v>0.45</v>
      </c>
      <c r="AH34">
        <v>0.32</v>
      </c>
      <c r="AI34">
        <v>0.34</v>
      </c>
      <c r="AJ34">
        <v>0.34</v>
      </c>
      <c r="AL34">
        <v>0</v>
      </c>
      <c r="AM34">
        <v>0</v>
      </c>
      <c r="AN34">
        <v>0</v>
      </c>
      <c r="AO34">
        <v>31.75</v>
      </c>
      <c r="AP34">
        <v>57.09</v>
      </c>
      <c r="BJ34">
        <v>1.36</v>
      </c>
      <c r="BK34">
        <v>1.6</v>
      </c>
      <c r="BL34">
        <v>1.56</v>
      </c>
      <c r="BM34">
        <v>1.42</v>
      </c>
      <c r="BN34">
        <v>1.29</v>
      </c>
      <c r="BO34">
        <v>1.43</v>
      </c>
      <c r="BP34">
        <v>1.49</v>
      </c>
      <c r="BQ34">
        <v>1.34</v>
      </c>
    </row>
    <row r="35" spans="1:69" x14ac:dyDescent="0.3">
      <c r="A35" t="s">
        <v>74</v>
      </c>
      <c r="B35" t="s">
        <v>84</v>
      </c>
      <c r="C35" s="1">
        <v>34</v>
      </c>
      <c r="D35" t="s">
        <v>12</v>
      </c>
      <c r="E35" t="s">
        <v>15</v>
      </c>
      <c r="F35" t="s">
        <v>16</v>
      </c>
      <c r="G35" s="4">
        <v>90</v>
      </c>
      <c r="H35" s="4">
        <v>65</v>
      </c>
      <c r="I35" s="4">
        <v>80</v>
      </c>
      <c r="J35" s="4">
        <v>100</v>
      </c>
      <c r="K35" s="5">
        <f t="shared" si="0"/>
        <v>81.666666666666671</v>
      </c>
      <c r="L35" s="6">
        <f t="shared" si="1"/>
        <v>4.8543689320388314E-2</v>
      </c>
      <c r="M35" s="45">
        <v>1</v>
      </c>
      <c r="N35" s="48">
        <v>0</v>
      </c>
      <c r="O35" s="4">
        <v>40</v>
      </c>
      <c r="P35" s="4">
        <v>60</v>
      </c>
      <c r="Q35" s="4">
        <v>75</v>
      </c>
      <c r="R35" s="4">
        <v>0.57999999999999996</v>
      </c>
      <c r="T35">
        <v>-0.13</v>
      </c>
      <c r="U35">
        <v>-0.25</v>
      </c>
      <c r="V35">
        <v>-0.3</v>
      </c>
      <c r="W35">
        <v>-0.23</v>
      </c>
      <c r="X35">
        <v>0.03</v>
      </c>
      <c r="Y35">
        <v>-0.23</v>
      </c>
      <c r="Z35">
        <v>-0.21</v>
      </c>
      <c r="AA35" t="s">
        <v>14</v>
      </c>
      <c r="AC35">
        <v>0.22</v>
      </c>
      <c r="AD35">
        <v>0.26</v>
      </c>
      <c r="AE35">
        <v>0.3</v>
      </c>
      <c r="AF35">
        <v>0.22</v>
      </c>
      <c r="AG35">
        <v>0.06</v>
      </c>
      <c r="AH35">
        <v>0.32</v>
      </c>
      <c r="AI35">
        <v>0.26</v>
      </c>
      <c r="AJ35" t="s">
        <v>14</v>
      </c>
      <c r="AL35">
        <v>0</v>
      </c>
      <c r="AM35">
        <v>0</v>
      </c>
      <c r="AN35">
        <v>0</v>
      </c>
      <c r="AO35">
        <v>43.64</v>
      </c>
      <c r="AP35">
        <v>4.28</v>
      </c>
      <c r="BJ35">
        <v>1.37</v>
      </c>
      <c r="BK35">
        <v>1.36</v>
      </c>
      <c r="BL35">
        <v>1.44</v>
      </c>
      <c r="BM35">
        <v>1.32</v>
      </c>
      <c r="BN35">
        <v>1.72</v>
      </c>
      <c r="BO35">
        <v>1.43</v>
      </c>
      <c r="BP35">
        <v>1.45</v>
      </c>
      <c r="BQ35">
        <v>1.36</v>
      </c>
    </row>
    <row r="36" spans="1:69" x14ac:dyDescent="0.3">
      <c r="A36" t="s">
        <v>74</v>
      </c>
      <c r="B36" t="s">
        <v>85</v>
      </c>
      <c r="C36" s="1">
        <v>35</v>
      </c>
      <c r="D36" t="s">
        <v>12</v>
      </c>
      <c r="E36" t="s">
        <v>15</v>
      </c>
      <c r="F36" t="s">
        <v>16</v>
      </c>
      <c r="G36" s="4">
        <v>60</v>
      </c>
      <c r="H36" s="4">
        <v>0</v>
      </c>
      <c r="I36" s="4">
        <v>0</v>
      </c>
      <c r="J36" s="4">
        <v>31.58</v>
      </c>
      <c r="K36" s="5">
        <f t="shared" si="0"/>
        <v>10.526666666666666</v>
      </c>
      <c r="L36" s="6">
        <f t="shared" si="1"/>
        <v>0.70148407221854614</v>
      </c>
      <c r="M36" s="45">
        <v>0</v>
      </c>
      <c r="N36" s="48">
        <v>1</v>
      </c>
      <c r="O36" s="4">
        <v>10</v>
      </c>
      <c r="P36" s="4">
        <v>21.05</v>
      </c>
      <c r="Q36" s="4">
        <v>31.58</v>
      </c>
      <c r="R36" s="4">
        <v>-0.16</v>
      </c>
      <c r="T36">
        <v>-0.19</v>
      </c>
      <c r="U36" t="s">
        <v>14</v>
      </c>
      <c r="V36" t="s">
        <v>14</v>
      </c>
      <c r="W36">
        <v>-0.08</v>
      </c>
      <c r="X36">
        <v>-0.19</v>
      </c>
      <c r="Y36" t="s">
        <v>14</v>
      </c>
      <c r="Z36" t="s">
        <v>14</v>
      </c>
      <c r="AA36">
        <v>-0.31</v>
      </c>
      <c r="AC36">
        <v>0.33</v>
      </c>
      <c r="AD36" t="s">
        <v>14</v>
      </c>
      <c r="AE36" t="s">
        <v>14</v>
      </c>
      <c r="AF36">
        <v>0.17</v>
      </c>
      <c r="AG36">
        <v>0.32</v>
      </c>
      <c r="AH36" t="s">
        <v>14</v>
      </c>
      <c r="AI36" t="s">
        <v>14</v>
      </c>
      <c r="AJ36">
        <v>0.35</v>
      </c>
      <c r="AL36">
        <v>0.25</v>
      </c>
      <c r="AM36">
        <v>19.47</v>
      </c>
      <c r="AN36">
        <v>48.39</v>
      </c>
      <c r="AO36">
        <v>61.65</v>
      </c>
      <c r="AP36">
        <v>42.63</v>
      </c>
      <c r="BJ36">
        <v>1.56</v>
      </c>
      <c r="BK36">
        <v>2.11</v>
      </c>
      <c r="BL36">
        <v>2.74</v>
      </c>
      <c r="BM36">
        <v>1.68</v>
      </c>
      <c r="BN36">
        <v>1.49</v>
      </c>
      <c r="BO36">
        <v>2.17</v>
      </c>
      <c r="BP36">
        <v>1.76</v>
      </c>
      <c r="BQ36">
        <v>1.54</v>
      </c>
    </row>
    <row r="37" spans="1:69" x14ac:dyDescent="0.3">
      <c r="A37" t="s">
        <v>74</v>
      </c>
      <c r="B37" t="s">
        <v>86</v>
      </c>
      <c r="C37" s="1">
        <v>36</v>
      </c>
      <c r="D37" t="s">
        <v>12</v>
      </c>
      <c r="E37" t="s">
        <v>15</v>
      </c>
      <c r="F37" t="s">
        <v>16</v>
      </c>
      <c r="G37" s="4">
        <v>85</v>
      </c>
      <c r="H37" s="4">
        <v>40</v>
      </c>
      <c r="I37" s="4">
        <v>35</v>
      </c>
      <c r="J37" s="4">
        <v>30</v>
      </c>
      <c r="K37" s="5">
        <f t="shared" si="0"/>
        <v>35</v>
      </c>
      <c r="L37" s="6">
        <f t="shared" si="1"/>
        <v>0.41666666666666669</v>
      </c>
      <c r="M37" s="45">
        <v>1</v>
      </c>
      <c r="N37" s="48">
        <v>1</v>
      </c>
      <c r="O37" s="4">
        <v>35</v>
      </c>
      <c r="P37" s="4">
        <v>40</v>
      </c>
      <c r="Q37" s="4">
        <v>70</v>
      </c>
      <c r="R37" s="4">
        <v>0.26</v>
      </c>
      <c r="T37">
        <v>-0.16</v>
      </c>
      <c r="U37">
        <v>-0.12</v>
      </c>
      <c r="V37">
        <v>-0.24</v>
      </c>
      <c r="W37">
        <v>-0.23</v>
      </c>
      <c r="X37">
        <v>-0.13</v>
      </c>
      <c r="Y37">
        <v>-0.18</v>
      </c>
      <c r="Z37">
        <v>-0.22</v>
      </c>
      <c r="AA37">
        <v>-0.25</v>
      </c>
      <c r="AC37">
        <v>0.32</v>
      </c>
      <c r="AD37">
        <v>0.18</v>
      </c>
      <c r="AE37">
        <v>0.26</v>
      </c>
      <c r="AF37">
        <v>0.37</v>
      </c>
      <c r="AG37">
        <v>0.54</v>
      </c>
      <c r="AH37">
        <v>0.44</v>
      </c>
      <c r="AI37">
        <v>0.47</v>
      </c>
      <c r="AJ37">
        <v>0.33</v>
      </c>
      <c r="AL37">
        <v>0</v>
      </c>
      <c r="AM37">
        <v>24.74</v>
      </c>
      <c r="AN37">
        <v>21.42</v>
      </c>
      <c r="AO37">
        <v>45.23</v>
      </c>
      <c r="AP37">
        <v>64.010000000000005</v>
      </c>
      <c r="BJ37">
        <v>1.29</v>
      </c>
      <c r="BK37">
        <v>1.81</v>
      </c>
      <c r="BL37">
        <v>1.35</v>
      </c>
      <c r="BM37">
        <v>1.36</v>
      </c>
      <c r="BN37">
        <v>1.29</v>
      </c>
      <c r="BO37">
        <v>1.58</v>
      </c>
      <c r="BP37">
        <v>1.35</v>
      </c>
      <c r="BQ37">
        <v>1.32</v>
      </c>
    </row>
    <row r="38" spans="1:69" x14ac:dyDescent="0.3">
      <c r="A38" t="s">
        <v>74</v>
      </c>
      <c r="B38" t="s">
        <v>87</v>
      </c>
      <c r="C38" s="1">
        <v>37</v>
      </c>
      <c r="D38" t="s">
        <v>12</v>
      </c>
      <c r="E38" t="s">
        <v>15</v>
      </c>
      <c r="F38" t="s">
        <v>16</v>
      </c>
      <c r="G38" s="4">
        <v>85</v>
      </c>
      <c r="H38" s="4">
        <v>95</v>
      </c>
      <c r="I38" s="4">
        <v>100</v>
      </c>
      <c r="J38" s="4" t="s">
        <v>14</v>
      </c>
      <c r="K38" s="5">
        <f t="shared" si="0"/>
        <v>97.5</v>
      </c>
      <c r="L38" s="6">
        <f t="shared" si="1"/>
        <v>-6.8493150684931503E-2</v>
      </c>
      <c r="M38" s="45">
        <v>1</v>
      </c>
      <c r="N38" s="48">
        <v>0</v>
      </c>
      <c r="O38" s="4">
        <v>100</v>
      </c>
      <c r="P38" s="4">
        <v>100</v>
      </c>
      <c r="Q38" s="4">
        <v>100</v>
      </c>
      <c r="R38" s="4">
        <v>1</v>
      </c>
      <c r="T38">
        <v>-0.21</v>
      </c>
      <c r="U38">
        <v>-0.27</v>
      </c>
      <c r="V38">
        <v>-0.28000000000000003</v>
      </c>
      <c r="W38" t="s">
        <v>14</v>
      </c>
      <c r="X38">
        <v>-0.28000000000000003</v>
      </c>
      <c r="Y38">
        <v>-0.2</v>
      </c>
      <c r="Z38" t="s">
        <v>14</v>
      </c>
      <c r="AA38" t="s">
        <v>14</v>
      </c>
      <c r="AC38">
        <v>0.31</v>
      </c>
      <c r="AD38">
        <v>0.28999999999999998</v>
      </c>
      <c r="AE38">
        <v>0.28999999999999998</v>
      </c>
      <c r="AF38" t="s">
        <v>14</v>
      </c>
      <c r="AG38">
        <v>0.3</v>
      </c>
      <c r="AH38">
        <v>0.17</v>
      </c>
      <c r="AI38" t="s">
        <v>14</v>
      </c>
      <c r="AJ38" t="s">
        <v>14</v>
      </c>
      <c r="AL38">
        <v>4.2</v>
      </c>
      <c r="AM38">
        <v>20.55</v>
      </c>
      <c r="AN38">
        <v>59.62</v>
      </c>
      <c r="AO38">
        <v>54.92</v>
      </c>
      <c r="AP38">
        <v>18.739999999999998</v>
      </c>
      <c r="BJ38">
        <v>1.41</v>
      </c>
      <c r="BK38">
        <v>1.4</v>
      </c>
      <c r="BL38">
        <v>1.35</v>
      </c>
      <c r="BM38">
        <v>1.22</v>
      </c>
      <c r="BN38">
        <v>2.02</v>
      </c>
      <c r="BO38">
        <v>2.14</v>
      </c>
      <c r="BP38">
        <v>1.72</v>
      </c>
      <c r="BQ38">
        <v>2.2200000000000002</v>
      </c>
    </row>
    <row r="39" spans="1:69" s="35" customFormat="1" ht="16.2" thickBot="1" x14ac:dyDescent="0.35">
      <c r="A39" s="35" t="s">
        <v>74</v>
      </c>
      <c r="B39" s="35" t="s">
        <v>88</v>
      </c>
      <c r="C39" s="2">
        <v>38</v>
      </c>
      <c r="D39" s="35" t="s">
        <v>12</v>
      </c>
      <c r="E39" s="35" t="s">
        <v>15</v>
      </c>
      <c r="F39" s="35" t="s">
        <v>16</v>
      </c>
      <c r="G39" s="36">
        <v>70</v>
      </c>
      <c r="H39" s="36">
        <v>45</v>
      </c>
      <c r="I39" s="36">
        <v>70</v>
      </c>
      <c r="J39" s="36">
        <v>65</v>
      </c>
      <c r="K39" s="37">
        <f t="shared" si="0"/>
        <v>60</v>
      </c>
      <c r="L39" s="38">
        <f t="shared" si="1"/>
        <v>7.6923076923076927E-2</v>
      </c>
      <c r="M39" s="46">
        <v>0</v>
      </c>
      <c r="N39" s="49">
        <v>0</v>
      </c>
      <c r="O39" s="36">
        <v>45</v>
      </c>
      <c r="P39" s="36">
        <v>30</v>
      </c>
      <c r="Q39" s="36">
        <v>45</v>
      </c>
      <c r="R39" s="36">
        <v>0.08</v>
      </c>
      <c r="T39" s="35">
        <v>-0.2</v>
      </c>
      <c r="U39" s="35">
        <v>-0.22</v>
      </c>
      <c r="V39" s="35">
        <v>-0.22</v>
      </c>
      <c r="W39" s="35">
        <v>-0.23</v>
      </c>
      <c r="X39" s="35">
        <v>-0.16</v>
      </c>
      <c r="Y39" s="35">
        <v>-7.0000000000000007E-2</v>
      </c>
      <c r="Z39" s="35">
        <v>-0.13</v>
      </c>
      <c r="AA39" s="35">
        <v>-0.13</v>
      </c>
      <c r="AC39" s="35">
        <v>0.36</v>
      </c>
      <c r="AD39" s="35">
        <v>0.36</v>
      </c>
      <c r="AE39" s="35">
        <v>0.27</v>
      </c>
      <c r="AF39" s="35">
        <v>0.49</v>
      </c>
      <c r="AG39" s="35">
        <v>0.23</v>
      </c>
      <c r="AH39" s="35">
        <v>0.14000000000000001</v>
      </c>
      <c r="AI39" s="35">
        <v>0.34</v>
      </c>
      <c r="AJ39" s="35">
        <v>0.21</v>
      </c>
      <c r="AL39" s="35">
        <v>1.21</v>
      </c>
      <c r="AM39" s="35">
        <v>3.61</v>
      </c>
      <c r="AN39" s="35">
        <v>13.77</v>
      </c>
      <c r="AO39" s="35">
        <v>26.62</v>
      </c>
      <c r="AP39" s="35">
        <v>20.68</v>
      </c>
      <c r="BJ39" s="35">
        <v>1.37</v>
      </c>
      <c r="BK39" s="35">
        <v>1.55</v>
      </c>
      <c r="BL39" s="35">
        <v>1.35</v>
      </c>
      <c r="BM39" s="35">
        <v>1.44</v>
      </c>
      <c r="BN39" s="35">
        <v>1.28</v>
      </c>
      <c r="BO39" s="35">
        <v>1.3</v>
      </c>
      <c r="BP39" s="35">
        <v>1.33</v>
      </c>
      <c r="BQ39" s="35">
        <v>1.32</v>
      </c>
    </row>
    <row r="40" spans="1:69" ht="16.2" thickTop="1" x14ac:dyDescent="0.3">
      <c r="A40" s="34" t="s">
        <v>92</v>
      </c>
      <c r="B40" t="s">
        <v>77</v>
      </c>
      <c r="C40" s="3">
        <v>39</v>
      </c>
      <c r="D40" t="s">
        <v>17</v>
      </c>
      <c r="E40" t="s">
        <v>17</v>
      </c>
      <c r="F40" t="s">
        <v>11</v>
      </c>
      <c r="G40" s="4">
        <v>55</v>
      </c>
      <c r="H40" s="4">
        <v>90</v>
      </c>
      <c r="I40" s="4">
        <v>95</v>
      </c>
      <c r="J40" s="4">
        <v>90</v>
      </c>
      <c r="K40" s="5">
        <f t="shared" si="0"/>
        <v>91.666666666666671</v>
      </c>
      <c r="L40" s="6">
        <f t="shared" si="1"/>
        <v>-0.25</v>
      </c>
      <c r="M40" s="45">
        <v>1</v>
      </c>
      <c r="N40" s="4">
        <v>0</v>
      </c>
      <c r="O40" s="4">
        <v>10</v>
      </c>
      <c r="P40" s="4">
        <v>0</v>
      </c>
      <c r="Q40" s="4">
        <v>10</v>
      </c>
      <c r="R40" s="4">
        <v>-0.14000000000000001</v>
      </c>
      <c r="T40">
        <v>-0.38</v>
      </c>
      <c r="U40">
        <v>-0.31</v>
      </c>
      <c r="V40">
        <v>-0.35</v>
      </c>
      <c r="W40">
        <v>-0.35</v>
      </c>
      <c r="X40">
        <v>-0.26</v>
      </c>
      <c r="Y40">
        <v>-0.23</v>
      </c>
      <c r="Z40">
        <v>-0.28000000000000003</v>
      </c>
      <c r="AA40">
        <v>-0.27</v>
      </c>
      <c r="AC40">
        <v>0.4</v>
      </c>
      <c r="AD40">
        <v>0.38</v>
      </c>
      <c r="AE40">
        <v>0.47</v>
      </c>
      <c r="AF40">
        <v>0.38</v>
      </c>
      <c r="AG40">
        <v>0.42</v>
      </c>
      <c r="AH40">
        <v>0.61</v>
      </c>
      <c r="AI40">
        <v>0.54</v>
      </c>
      <c r="AJ40">
        <v>0.66</v>
      </c>
    </row>
    <row r="41" spans="1:69" x14ac:dyDescent="0.3">
      <c r="A41" s="34" t="s">
        <v>92</v>
      </c>
      <c r="B41" t="s">
        <v>78</v>
      </c>
      <c r="C41" s="1">
        <v>40</v>
      </c>
      <c r="D41" t="s">
        <v>17</v>
      </c>
      <c r="E41" t="s">
        <v>17</v>
      </c>
      <c r="F41" t="s">
        <v>11</v>
      </c>
      <c r="G41" s="4">
        <v>100</v>
      </c>
      <c r="H41" s="4">
        <v>95</v>
      </c>
      <c r="I41" s="4">
        <v>100</v>
      </c>
      <c r="J41" s="4">
        <v>100</v>
      </c>
      <c r="K41" s="5">
        <f t="shared" si="0"/>
        <v>98.333333333333329</v>
      </c>
      <c r="L41" s="6">
        <f t="shared" si="1"/>
        <v>8.403361344537839E-3</v>
      </c>
      <c r="M41" s="45">
        <v>1</v>
      </c>
      <c r="N41" s="4">
        <v>0</v>
      </c>
      <c r="O41" s="4">
        <v>5</v>
      </c>
      <c r="P41" s="4">
        <v>30</v>
      </c>
      <c r="Q41" s="4">
        <v>55</v>
      </c>
      <c r="R41" s="4">
        <v>-0.13</v>
      </c>
      <c r="T41">
        <v>-0.11</v>
      </c>
      <c r="U41">
        <v>-0.01</v>
      </c>
      <c r="V41">
        <v>-0.08</v>
      </c>
      <c r="W41">
        <v>-7.0000000000000007E-2</v>
      </c>
      <c r="X41" t="s">
        <v>14</v>
      </c>
      <c r="Y41">
        <v>-0.27</v>
      </c>
      <c r="Z41" t="s">
        <v>14</v>
      </c>
      <c r="AA41" t="s">
        <v>14</v>
      </c>
      <c r="AC41">
        <v>0.26</v>
      </c>
      <c r="AD41">
        <v>0.25</v>
      </c>
      <c r="AE41">
        <v>0.23</v>
      </c>
      <c r="AF41">
        <v>0.28999999999999998</v>
      </c>
      <c r="AG41" t="s">
        <v>14</v>
      </c>
      <c r="AH41">
        <v>0.34</v>
      </c>
      <c r="AI41" t="s">
        <v>14</v>
      </c>
      <c r="AJ41" t="s">
        <v>14</v>
      </c>
    </row>
    <row r="42" spans="1:69" x14ac:dyDescent="0.3">
      <c r="A42" s="34" t="s">
        <v>92</v>
      </c>
      <c r="B42" t="s">
        <v>79</v>
      </c>
      <c r="C42" s="1">
        <v>41</v>
      </c>
      <c r="D42" t="s">
        <v>17</v>
      </c>
      <c r="E42" t="s">
        <v>17</v>
      </c>
      <c r="F42" t="s">
        <v>11</v>
      </c>
      <c r="G42" s="4">
        <v>90</v>
      </c>
      <c r="H42" s="4">
        <v>84.21</v>
      </c>
      <c r="I42" s="4">
        <v>50</v>
      </c>
      <c r="J42" s="4">
        <v>80</v>
      </c>
      <c r="K42" s="5">
        <f t="shared" si="0"/>
        <v>71.403333333333322</v>
      </c>
      <c r="L42" s="6">
        <f t="shared" si="1"/>
        <v>0.11521860349848215</v>
      </c>
      <c r="M42" s="45">
        <v>1</v>
      </c>
      <c r="N42" s="4">
        <v>0</v>
      </c>
      <c r="O42" s="4">
        <v>25</v>
      </c>
      <c r="P42" s="4">
        <v>55</v>
      </c>
      <c r="Q42" s="4">
        <v>80</v>
      </c>
      <c r="R42" s="4">
        <v>0.54</v>
      </c>
      <c r="T42">
        <v>-0.18</v>
      </c>
      <c r="U42">
        <v>-0.15</v>
      </c>
      <c r="V42">
        <v>-0.11</v>
      </c>
      <c r="W42">
        <v>-0.16</v>
      </c>
      <c r="X42">
        <v>-0.17</v>
      </c>
      <c r="Y42">
        <v>-0.12</v>
      </c>
      <c r="Z42">
        <v>0.05</v>
      </c>
      <c r="AA42">
        <v>-0.15</v>
      </c>
      <c r="AC42">
        <v>0.38</v>
      </c>
      <c r="AD42">
        <v>0.42</v>
      </c>
      <c r="AE42">
        <v>0.38</v>
      </c>
      <c r="AF42">
        <v>0.41</v>
      </c>
      <c r="AG42">
        <v>0.45</v>
      </c>
      <c r="AH42">
        <v>0.26</v>
      </c>
      <c r="AI42">
        <v>0.25</v>
      </c>
      <c r="AJ42">
        <v>0.36</v>
      </c>
    </row>
    <row r="43" spans="1:69" x14ac:dyDescent="0.3">
      <c r="A43" s="34" t="s">
        <v>92</v>
      </c>
      <c r="B43" t="s">
        <v>80</v>
      </c>
      <c r="C43" s="1">
        <v>42</v>
      </c>
      <c r="D43" t="s">
        <v>17</v>
      </c>
      <c r="E43" t="s">
        <v>17</v>
      </c>
      <c r="F43" t="s">
        <v>11</v>
      </c>
      <c r="G43" s="4">
        <v>85</v>
      </c>
      <c r="H43" s="4">
        <v>90</v>
      </c>
      <c r="I43" s="4">
        <v>85</v>
      </c>
      <c r="J43" s="4">
        <v>65</v>
      </c>
      <c r="K43" s="5">
        <f t="shared" si="0"/>
        <v>80</v>
      </c>
      <c r="L43" s="6">
        <f t="shared" si="1"/>
        <v>3.0303030303030304E-2</v>
      </c>
      <c r="M43" s="45">
        <v>1</v>
      </c>
      <c r="N43" s="4">
        <v>0</v>
      </c>
      <c r="O43" s="4">
        <v>20</v>
      </c>
      <c r="P43" s="4">
        <v>20</v>
      </c>
      <c r="Q43" s="4">
        <v>25</v>
      </c>
      <c r="R43" s="4">
        <v>0.69</v>
      </c>
      <c r="T43">
        <v>-0.15</v>
      </c>
      <c r="U43">
        <v>-0.18</v>
      </c>
      <c r="V43">
        <v>-0.22</v>
      </c>
      <c r="W43">
        <v>-0.24</v>
      </c>
      <c r="X43">
        <v>-0.09</v>
      </c>
      <c r="Y43">
        <v>-0.06</v>
      </c>
      <c r="Z43">
        <v>-0.15</v>
      </c>
      <c r="AA43">
        <v>-0.2</v>
      </c>
      <c r="AC43">
        <v>0.52</v>
      </c>
      <c r="AD43">
        <v>0.49</v>
      </c>
      <c r="AE43">
        <v>0.43</v>
      </c>
      <c r="AF43">
        <v>0.47</v>
      </c>
      <c r="AG43">
        <v>0.3</v>
      </c>
      <c r="AH43">
        <v>0.39</v>
      </c>
      <c r="AI43">
        <v>0.39</v>
      </c>
      <c r="AJ43">
        <v>0.49</v>
      </c>
    </row>
    <row r="44" spans="1:69" x14ac:dyDescent="0.3">
      <c r="A44" s="34" t="s">
        <v>92</v>
      </c>
      <c r="B44" t="s">
        <v>81</v>
      </c>
      <c r="C44" s="1">
        <v>43</v>
      </c>
      <c r="D44" t="s">
        <v>17</v>
      </c>
      <c r="E44" t="s">
        <v>17</v>
      </c>
      <c r="F44" t="s">
        <v>11</v>
      </c>
      <c r="G44" s="4">
        <v>85</v>
      </c>
      <c r="H44" s="4">
        <v>65</v>
      </c>
      <c r="I44" s="4">
        <v>85</v>
      </c>
      <c r="J44" s="4">
        <v>100</v>
      </c>
      <c r="K44" s="5">
        <f t="shared" si="0"/>
        <v>83.333333333333329</v>
      </c>
      <c r="L44" s="6">
        <f t="shared" si="1"/>
        <v>9.9009900990099306E-3</v>
      </c>
      <c r="M44" s="45">
        <v>1</v>
      </c>
      <c r="N44" s="4">
        <v>0</v>
      </c>
      <c r="O44" s="4">
        <v>30</v>
      </c>
      <c r="P44" s="4">
        <v>5</v>
      </c>
      <c r="Q44" s="4">
        <v>60</v>
      </c>
      <c r="R44" s="4">
        <v>-0.05</v>
      </c>
      <c r="T44">
        <v>-0.12</v>
      </c>
      <c r="U44">
        <v>-0.21</v>
      </c>
      <c r="V44">
        <v>-0.19</v>
      </c>
      <c r="W44">
        <v>-0.2</v>
      </c>
      <c r="X44">
        <v>-0.22</v>
      </c>
      <c r="Y44">
        <v>-0.3</v>
      </c>
      <c r="Z44">
        <v>-0.39</v>
      </c>
      <c r="AA44" t="s">
        <v>14</v>
      </c>
      <c r="AC44">
        <v>0.36</v>
      </c>
      <c r="AD44">
        <v>0.47</v>
      </c>
      <c r="AE44">
        <v>0.33</v>
      </c>
      <c r="AF44">
        <v>0.44</v>
      </c>
      <c r="AG44">
        <v>0.44</v>
      </c>
      <c r="AH44">
        <v>0.44</v>
      </c>
      <c r="AI44">
        <v>0.45</v>
      </c>
      <c r="AJ44">
        <v>0.44</v>
      </c>
    </row>
    <row r="45" spans="1:69" x14ac:dyDescent="0.3">
      <c r="A45" s="34" t="s">
        <v>92</v>
      </c>
      <c r="B45" t="s">
        <v>82</v>
      </c>
      <c r="C45" s="1">
        <v>44</v>
      </c>
      <c r="D45" t="s">
        <v>17</v>
      </c>
      <c r="E45" t="s">
        <v>17</v>
      </c>
      <c r="F45" t="s">
        <v>11</v>
      </c>
      <c r="G45" s="4">
        <v>100</v>
      </c>
      <c r="H45" s="4">
        <v>95</v>
      </c>
      <c r="I45" s="4">
        <v>90</v>
      </c>
      <c r="J45" s="4">
        <v>95</v>
      </c>
      <c r="K45" s="5">
        <f t="shared" si="0"/>
        <v>93.333333333333329</v>
      </c>
      <c r="L45" s="6">
        <f t="shared" si="1"/>
        <v>3.4482758620689682E-2</v>
      </c>
      <c r="M45" s="45">
        <v>1</v>
      </c>
      <c r="N45" s="4">
        <v>0</v>
      </c>
      <c r="O45" s="4">
        <v>0</v>
      </c>
      <c r="P45" s="4">
        <v>0</v>
      </c>
      <c r="Q45" s="4">
        <v>5</v>
      </c>
      <c r="R45" s="4">
        <v>0.5</v>
      </c>
      <c r="T45">
        <v>-0.2</v>
      </c>
      <c r="U45">
        <v>-0.24</v>
      </c>
      <c r="V45">
        <v>-0.24</v>
      </c>
      <c r="W45">
        <v>-0.25</v>
      </c>
      <c r="X45" t="s">
        <v>14</v>
      </c>
      <c r="Y45">
        <v>-0.24</v>
      </c>
      <c r="Z45">
        <v>-0.21</v>
      </c>
      <c r="AA45">
        <v>-0.24</v>
      </c>
      <c r="AC45">
        <v>0.3</v>
      </c>
      <c r="AD45">
        <v>0.32</v>
      </c>
      <c r="AE45">
        <v>0.3</v>
      </c>
      <c r="AF45">
        <v>0.37</v>
      </c>
      <c r="AG45" t="s">
        <v>14</v>
      </c>
      <c r="AH45">
        <v>0.32</v>
      </c>
      <c r="AI45">
        <v>0.36</v>
      </c>
      <c r="AJ45">
        <v>0.4</v>
      </c>
    </row>
    <row r="46" spans="1:69" x14ac:dyDescent="0.3">
      <c r="A46" s="34" t="s">
        <v>92</v>
      </c>
      <c r="B46" t="s">
        <v>83</v>
      </c>
      <c r="C46" s="1">
        <v>45</v>
      </c>
      <c r="D46" t="s">
        <v>17</v>
      </c>
      <c r="E46" t="s">
        <v>17</v>
      </c>
      <c r="F46" t="s">
        <v>11</v>
      </c>
      <c r="G46" s="4">
        <v>65</v>
      </c>
      <c r="H46" s="4">
        <v>70</v>
      </c>
      <c r="I46" s="4">
        <v>70</v>
      </c>
      <c r="J46" s="4">
        <v>75</v>
      </c>
      <c r="K46" s="5">
        <f t="shared" si="0"/>
        <v>71.666666666666671</v>
      </c>
      <c r="L46" s="6">
        <f t="shared" si="1"/>
        <v>-4.8780487804878078E-2</v>
      </c>
      <c r="M46" s="45">
        <v>1</v>
      </c>
      <c r="N46" s="4">
        <v>0</v>
      </c>
      <c r="O46" s="4">
        <v>55</v>
      </c>
      <c r="P46" s="4">
        <v>70</v>
      </c>
      <c r="Q46" s="4">
        <v>80</v>
      </c>
      <c r="R46" s="4">
        <v>0.06</v>
      </c>
      <c r="T46">
        <v>-0.13</v>
      </c>
      <c r="U46">
        <v>-0.11</v>
      </c>
      <c r="V46">
        <v>-0.12</v>
      </c>
      <c r="W46">
        <v>-0.17</v>
      </c>
      <c r="X46">
        <v>0.09</v>
      </c>
      <c r="Y46">
        <v>-0.05</v>
      </c>
      <c r="Z46">
        <v>0</v>
      </c>
      <c r="AA46">
        <v>-0.14000000000000001</v>
      </c>
      <c r="AC46">
        <v>0.28999999999999998</v>
      </c>
      <c r="AD46">
        <v>0.36</v>
      </c>
      <c r="AE46">
        <v>0.32</v>
      </c>
      <c r="AF46">
        <v>0.33</v>
      </c>
      <c r="AG46">
        <v>0.15</v>
      </c>
      <c r="AH46">
        <v>0.28000000000000003</v>
      </c>
      <c r="AI46">
        <v>0.28000000000000003</v>
      </c>
      <c r="AJ46">
        <v>0.59</v>
      </c>
    </row>
    <row r="47" spans="1:69" s="35" customFormat="1" ht="16.2" thickBot="1" x14ac:dyDescent="0.35">
      <c r="A47" s="39" t="s">
        <v>92</v>
      </c>
      <c r="B47" s="35" t="s">
        <v>84</v>
      </c>
      <c r="C47" s="2">
        <v>46</v>
      </c>
      <c r="D47" s="35" t="s">
        <v>17</v>
      </c>
      <c r="E47" s="35" t="s">
        <v>17</v>
      </c>
      <c r="F47" s="35" t="s">
        <v>11</v>
      </c>
      <c r="G47" s="36">
        <v>100</v>
      </c>
      <c r="H47" s="36">
        <v>100</v>
      </c>
      <c r="I47" s="36">
        <v>100</v>
      </c>
      <c r="J47" s="36">
        <v>100</v>
      </c>
      <c r="K47" s="37">
        <f t="shared" si="0"/>
        <v>100</v>
      </c>
      <c r="L47" s="38">
        <f t="shared" si="1"/>
        <v>0</v>
      </c>
      <c r="M47" s="46">
        <v>1</v>
      </c>
      <c r="N47" s="36">
        <v>0</v>
      </c>
      <c r="O47" s="36">
        <v>0</v>
      </c>
      <c r="P47" s="36">
        <v>15</v>
      </c>
      <c r="Q47" s="36">
        <v>25</v>
      </c>
      <c r="R47" s="36">
        <v>0.69</v>
      </c>
      <c r="T47" s="35">
        <v>0.02</v>
      </c>
      <c r="U47" s="35">
        <v>0.12</v>
      </c>
      <c r="V47" s="35">
        <v>0.19</v>
      </c>
      <c r="W47" s="35">
        <v>7.0000000000000007E-2</v>
      </c>
      <c r="X47" s="35" t="s">
        <v>14</v>
      </c>
      <c r="Y47" s="35" t="s">
        <v>14</v>
      </c>
      <c r="Z47" s="35" t="s">
        <v>14</v>
      </c>
      <c r="AA47" s="35" t="s">
        <v>14</v>
      </c>
      <c r="AC47" s="35">
        <v>0.21</v>
      </c>
      <c r="AD47" s="35">
        <v>0.28999999999999998</v>
      </c>
      <c r="AE47" s="35">
        <v>0.14000000000000001</v>
      </c>
      <c r="AF47" s="35">
        <v>0.24</v>
      </c>
      <c r="AG47" s="35" t="s">
        <v>14</v>
      </c>
      <c r="AH47" s="35" t="s">
        <v>14</v>
      </c>
      <c r="AI47" s="35" t="s">
        <v>14</v>
      </c>
      <c r="AJ47" s="35" t="s">
        <v>14</v>
      </c>
    </row>
    <row r="48" spans="1:69" ht="16.2" thickTop="1" x14ac:dyDescent="0.3">
      <c r="A48" s="40" t="s">
        <v>93</v>
      </c>
      <c r="B48" t="s">
        <v>77</v>
      </c>
      <c r="C48" s="3">
        <v>47</v>
      </c>
      <c r="D48" t="s">
        <v>18</v>
      </c>
      <c r="E48" t="s">
        <v>18</v>
      </c>
      <c r="F48" t="s">
        <v>11</v>
      </c>
      <c r="G48" s="4">
        <v>50</v>
      </c>
      <c r="H48" s="4">
        <v>80</v>
      </c>
      <c r="I48" s="4">
        <v>30</v>
      </c>
      <c r="J48" s="4">
        <v>25</v>
      </c>
      <c r="K48" s="5">
        <f t="shared" si="0"/>
        <v>45</v>
      </c>
      <c r="L48" s="6">
        <f t="shared" si="1"/>
        <v>5.2631578947368418E-2</v>
      </c>
      <c r="M48" s="6"/>
      <c r="N48" s="4">
        <v>0</v>
      </c>
    </row>
    <row r="49" spans="1:18" x14ac:dyDescent="0.3">
      <c r="A49" s="40" t="s">
        <v>93</v>
      </c>
      <c r="B49" t="s">
        <v>78</v>
      </c>
      <c r="C49" s="1">
        <v>48</v>
      </c>
      <c r="D49" t="s">
        <v>18</v>
      </c>
      <c r="E49" t="s">
        <v>18</v>
      </c>
      <c r="F49" t="s">
        <v>11</v>
      </c>
      <c r="G49" s="4">
        <v>95</v>
      </c>
      <c r="H49" s="4">
        <v>60</v>
      </c>
      <c r="I49" s="4">
        <v>45</v>
      </c>
      <c r="J49" s="4">
        <v>35</v>
      </c>
      <c r="K49" s="5">
        <f t="shared" si="0"/>
        <v>46.666666666666664</v>
      </c>
      <c r="L49" s="6">
        <f t="shared" si="1"/>
        <v>0.34117647058823536</v>
      </c>
      <c r="M49" s="6"/>
      <c r="N49" s="4">
        <v>1</v>
      </c>
    </row>
    <row r="50" spans="1:18" x14ac:dyDescent="0.3">
      <c r="A50" s="40" t="s">
        <v>93</v>
      </c>
      <c r="B50" t="s">
        <v>79</v>
      </c>
      <c r="C50" s="1">
        <v>49</v>
      </c>
      <c r="D50" t="s">
        <v>18</v>
      </c>
      <c r="E50" t="s">
        <v>18</v>
      </c>
      <c r="F50" t="s">
        <v>11</v>
      </c>
      <c r="G50" s="4">
        <v>85</v>
      </c>
      <c r="H50" s="4">
        <v>90</v>
      </c>
      <c r="I50" s="4">
        <v>90</v>
      </c>
      <c r="J50" s="4">
        <v>90</v>
      </c>
      <c r="K50" s="5">
        <f t="shared" si="0"/>
        <v>90</v>
      </c>
      <c r="L50" s="6">
        <f t="shared" si="1"/>
        <v>-2.8571428571428571E-2</v>
      </c>
      <c r="M50" s="6"/>
      <c r="N50" s="4">
        <v>0</v>
      </c>
    </row>
    <row r="51" spans="1:18" x14ac:dyDescent="0.3">
      <c r="A51" s="40" t="s">
        <v>93</v>
      </c>
      <c r="B51" t="s">
        <v>80</v>
      </c>
      <c r="C51" s="1">
        <v>50</v>
      </c>
      <c r="D51" t="s">
        <v>18</v>
      </c>
      <c r="E51" t="s">
        <v>18</v>
      </c>
      <c r="F51" t="s">
        <v>11</v>
      </c>
      <c r="G51" s="4">
        <v>90</v>
      </c>
      <c r="H51" s="4">
        <v>95</v>
      </c>
      <c r="I51" s="4">
        <v>100</v>
      </c>
      <c r="J51" s="4">
        <v>85</v>
      </c>
      <c r="K51" s="5">
        <f t="shared" si="0"/>
        <v>93.333333333333329</v>
      </c>
      <c r="L51" s="6">
        <f t="shared" si="1"/>
        <v>-1.8181818181818157E-2</v>
      </c>
      <c r="M51" s="6"/>
      <c r="N51" s="4">
        <v>0</v>
      </c>
    </row>
    <row r="52" spans="1:18" x14ac:dyDescent="0.3">
      <c r="A52" s="40" t="s">
        <v>93</v>
      </c>
      <c r="B52" t="s">
        <v>81</v>
      </c>
      <c r="C52" s="1">
        <v>51</v>
      </c>
      <c r="D52" t="s">
        <v>18</v>
      </c>
      <c r="E52" t="s">
        <v>18</v>
      </c>
      <c r="F52" t="s">
        <v>11</v>
      </c>
      <c r="G52" s="4">
        <v>60</v>
      </c>
      <c r="H52" s="4">
        <v>55</v>
      </c>
      <c r="I52" s="4">
        <v>55</v>
      </c>
      <c r="J52" s="4">
        <v>95</v>
      </c>
      <c r="K52" s="5">
        <f t="shared" si="0"/>
        <v>68.333333333333329</v>
      </c>
      <c r="L52" s="6">
        <f t="shared" si="1"/>
        <v>-6.4935064935064901E-2</v>
      </c>
      <c r="M52" s="6"/>
      <c r="N52" s="4">
        <v>0</v>
      </c>
    </row>
    <row r="53" spans="1:18" x14ac:dyDescent="0.3">
      <c r="A53" s="40" t="s">
        <v>93</v>
      </c>
      <c r="B53" t="s">
        <v>82</v>
      </c>
      <c r="C53" s="1">
        <v>52</v>
      </c>
      <c r="D53" t="s">
        <v>18</v>
      </c>
      <c r="E53" t="s">
        <v>18</v>
      </c>
      <c r="F53" t="s">
        <v>11</v>
      </c>
      <c r="G53" s="4">
        <v>65</v>
      </c>
      <c r="H53" s="4">
        <v>40</v>
      </c>
      <c r="I53" s="4">
        <v>35</v>
      </c>
      <c r="J53" s="4">
        <v>40</v>
      </c>
      <c r="K53" s="5">
        <f t="shared" si="0"/>
        <v>38.333333333333336</v>
      </c>
      <c r="L53" s="6">
        <f t="shared" si="1"/>
        <v>0.2580645161290322</v>
      </c>
      <c r="M53" s="6"/>
      <c r="N53" s="4">
        <v>0</v>
      </c>
    </row>
    <row r="54" spans="1:18" x14ac:dyDescent="0.3">
      <c r="A54" s="40" t="s">
        <v>93</v>
      </c>
      <c r="B54" t="s">
        <v>83</v>
      </c>
      <c r="C54" s="1">
        <v>53</v>
      </c>
      <c r="D54" t="s">
        <v>18</v>
      </c>
      <c r="E54" t="s">
        <v>18</v>
      </c>
      <c r="F54" t="s">
        <v>11</v>
      </c>
      <c r="G54" s="4">
        <v>80</v>
      </c>
      <c r="H54" s="4">
        <v>75</v>
      </c>
      <c r="I54" s="4">
        <v>70</v>
      </c>
      <c r="J54" s="4">
        <v>55</v>
      </c>
      <c r="K54" s="5">
        <f t="shared" si="0"/>
        <v>66.666666666666671</v>
      </c>
      <c r="L54" s="6">
        <f t="shared" si="1"/>
        <v>9.090909090909087E-2</v>
      </c>
      <c r="M54" s="6"/>
      <c r="N54" s="4">
        <v>0</v>
      </c>
    </row>
    <row r="55" spans="1:18" x14ac:dyDescent="0.3">
      <c r="A55" s="40" t="s">
        <v>93</v>
      </c>
      <c r="B55" t="s">
        <v>84</v>
      </c>
      <c r="C55" s="1">
        <v>54</v>
      </c>
      <c r="D55" t="s">
        <v>18</v>
      </c>
      <c r="E55" t="s">
        <v>18</v>
      </c>
      <c r="F55" t="s">
        <v>11</v>
      </c>
      <c r="G55" s="4">
        <v>75</v>
      </c>
      <c r="H55" s="4">
        <v>85</v>
      </c>
      <c r="I55" s="4">
        <v>85</v>
      </c>
      <c r="J55" s="4">
        <v>60</v>
      </c>
      <c r="K55" s="5">
        <f t="shared" si="0"/>
        <v>76.666666666666671</v>
      </c>
      <c r="L55" s="6">
        <f t="shared" si="1"/>
        <v>-1.0989010989011019E-2</v>
      </c>
      <c r="M55" s="6"/>
      <c r="N55" s="4">
        <v>0</v>
      </c>
    </row>
    <row r="56" spans="1:18" x14ac:dyDescent="0.3">
      <c r="A56" s="40" t="s">
        <v>93</v>
      </c>
      <c r="B56" t="s">
        <v>85</v>
      </c>
      <c r="C56" s="1">
        <v>55</v>
      </c>
      <c r="D56" t="s">
        <v>18</v>
      </c>
      <c r="E56" t="s">
        <v>18</v>
      </c>
      <c r="F56" t="s">
        <v>11</v>
      </c>
      <c r="G56" s="4">
        <v>40</v>
      </c>
      <c r="H56" s="4">
        <v>60</v>
      </c>
      <c r="I56" s="4">
        <v>30</v>
      </c>
      <c r="J56" s="4">
        <v>25</v>
      </c>
      <c r="K56" s="5">
        <f t="shared" si="0"/>
        <v>38.333333333333336</v>
      </c>
      <c r="L56" s="6">
        <f t="shared" si="1"/>
        <v>2.1276595744680819E-2</v>
      </c>
      <c r="M56" s="6"/>
      <c r="N56" s="4">
        <v>0</v>
      </c>
    </row>
    <row r="57" spans="1:18" x14ac:dyDescent="0.3">
      <c r="A57" s="40" t="s">
        <v>93</v>
      </c>
      <c r="B57" t="s">
        <v>86</v>
      </c>
      <c r="C57" s="1">
        <v>56</v>
      </c>
      <c r="D57" t="s">
        <v>18</v>
      </c>
      <c r="E57" t="s">
        <v>18</v>
      </c>
      <c r="F57" t="s">
        <v>11</v>
      </c>
      <c r="G57" s="4">
        <v>80</v>
      </c>
      <c r="H57" s="4">
        <v>85</v>
      </c>
      <c r="I57" s="4">
        <v>90</v>
      </c>
      <c r="J57" s="4">
        <v>95</v>
      </c>
      <c r="K57" s="5">
        <f t="shared" si="0"/>
        <v>90</v>
      </c>
      <c r="L57" s="6">
        <f t="shared" si="1"/>
        <v>-5.8823529411764705E-2</v>
      </c>
      <c r="M57" s="6"/>
      <c r="N57" s="4">
        <v>0</v>
      </c>
    </row>
    <row r="58" spans="1:18" x14ac:dyDescent="0.3">
      <c r="A58" s="40" t="s">
        <v>94</v>
      </c>
      <c r="B58" t="s">
        <v>77</v>
      </c>
      <c r="C58" s="1">
        <v>57</v>
      </c>
      <c r="D58" t="s">
        <v>18</v>
      </c>
      <c r="E58" t="s">
        <v>18</v>
      </c>
      <c r="F58" t="s">
        <v>11</v>
      </c>
      <c r="G58" s="4">
        <v>100</v>
      </c>
      <c r="H58" s="4">
        <v>100</v>
      </c>
      <c r="I58" s="4">
        <v>100</v>
      </c>
      <c r="J58" s="4">
        <v>100</v>
      </c>
      <c r="K58" s="5">
        <f t="shared" si="0"/>
        <v>100</v>
      </c>
      <c r="L58" s="6">
        <f t="shared" si="1"/>
        <v>0</v>
      </c>
      <c r="M58" s="6"/>
      <c r="N58" s="4">
        <v>0</v>
      </c>
    </row>
    <row r="59" spans="1:18" x14ac:dyDescent="0.3">
      <c r="A59" s="40" t="s">
        <v>94</v>
      </c>
      <c r="B59" t="s">
        <v>78</v>
      </c>
      <c r="C59" s="1">
        <v>58</v>
      </c>
      <c r="D59" t="s">
        <v>18</v>
      </c>
      <c r="E59" t="s">
        <v>18</v>
      </c>
      <c r="F59" t="s">
        <v>11</v>
      </c>
      <c r="G59" s="4">
        <v>50</v>
      </c>
      <c r="H59" s="4">
        <v>80</v>
      </c>
      <c r="I59" s="4">
        <v>80</v>
      </c>
      <c r="J59" s="4">
        <v>70</v>
      </c>
      <c r="K59" s="5">
        <f t="shared" si="0"/>
        <v>76.666666666666671</v>
      </c>
      <c r="L59" s="6">
        <f t="shared" si="1"/>
        <v>-0.2105263157894737</v>
      </c>
      <c r="M59" s="6"/>
      <c r="N59" s="4">
        <v>0</v>
      </c>
    </row>
    <row r="60" spans="1:18" x14ac:dyDescent="0.3">
      <c r="A60" s="40" t="s">
        <v>94</v>
      </c>
      <c r="B60" t="s">
        <v>79</v>
      </c>
      <c r="C60" s="1">
        <v>59</v>
      </c>
      <c r="D60" t="s">
        <v>18</v>
      </c>
      <c r="E60" t="s">
        <v>18</v>
      </c>
      <c r="F60" t="s">
        <v>11</v>
      </c>
      <c r="G60" s="4">
        <v>70</v>
      </c>
      <c r="H60" s="4">
        <v>35</v>
      </c>
      <c r="I60" s="4">
        <v>40</v>
      </c>
      <c r="J60" s="4">
        <v>25</v>
      </c>
      <c r="K60" s="5">
        <f t="shared" si="0"/>
        <v>33.333333333333336</v>
      </c>
      <c r="L60" s="6">
        <f t="shared" si="1"/>
        <v>0.35483870967741932</v>
      </c>
      <c r="M60" s="6"/>
      <c r="N60" s="4">
        <v>1</v>
      </c>
    </row>
    <row r="61" spans="1:18" s="35" customFormat="1" ht="16.2" thickBot="1" x14ac:dyDescent="0.35">
      <c r="A61" s="41" t="s">
        <v>94</v>
      </c>
      <c r="B61" s="35" t="s">
        <v>80</v>
      </c>
      <c r="C61" s="2">
        <v>60</v>
      </c>
      <c r="D61" s="35" t="s">
        <v>18</v>
      </c>
      <c r="E61" s="35" t="s">
        <v>18</v>
      </c>
      <c r="F61" s="35" t="s">
        <v>11</v>
      </c>
      <c r="G61" s="36">
        <v>70</v>
      </c>
      <c r="H61" s="36">
        <v>70</v>
      </c>
      <c r="I61" s="36">
        <v>70</v>
      </c>
      <c r="J61" s="36">
        <v>80</v>
      </c>
      <c r="K61" s="37">
        <f t="shared" si="0"/>
        <v>73.333333333333329</v>
      </c>
      <c r="L61" s="38">
        <f t="shared" si="1"/>
        <v>-2.3255813953488341E-2</v>
      </c>
      <c r="M61" s="38"/>
      <c r="N61" s="36">
        <v>0</v>
      </c>
      <c r="O61" s="36"/>
      <c r="P61" s="36"/>
      <c r="Q61" s="36"/>
      <c r="R61" s="36"/>
    </row>
    <row r="62" spans="1:18" ht="16.2" thickTop="1" x14ac:dyDescent="0.3">
      <c r="A62" s="40" t="s">
        <v>95</v>
      </c>
      <c r="B62" t="s">
        <v>77</v>
      </c>
      <c r="C62" s="3">
        <v>61</v>
      </c>
      <c r="D62" t="s">
        <v>19</v>
      </c>
      <c r="E62" t="s">
        <v>19</v>
      </c>
      <c r="F62" t="s">
        <v>11</v>
      </c>
      <c r="G62" s="4">
        <v>90</v>
      </c>
      <c r="H62" s="4">
        <v>100</v>
      </c>
      <c r="I62" s="4">
        <v>90</v>
      </c>
      <c r="J62" s="4">
        <v>100</v>
      </c>
      <c r="K62" s="5">
        <f t="shared" si="0"/>
        <v>96.666666666666671</v>
      </c>
      <c r="L62" s="6">
        <f t="shared" si="1"/>
        <v>-3.5714285714285733E-2</v>
      </c>
      <c r="M62" s="6"/>
    </row>
    <row r="63" spans="1:18" x14ac:dyDescent="0.3">
      <c r="A63" s="40" t="s">
        <v>95</v>
      </c>
      <c r="B63" t="s">
        <v>78</v>
      </c>
      <c r="C63" s="1">
        <v>62</v>
      </c>
      <c r="D63" t="s">
        <v>19</v>
      </c>
      <c r="E63" t="s">
        <v>19</v>
      </c>
      <c r="F63" t="s">
        <v>11</v>
      </c>
      <c r="G63" s="4">
        <v>95</v>
      </c>
      <c r="H63" s="4">
        <v>95</v>
      </c>
      <c r="I63" s="4">
        <v>90</v>
      </c>
      <c r="J63" s="4">
        <v>85</v>
      </c>
      <c r="K63" s="5">
        <f t="shared" si="0"/>
        <v>90</v>
      </c>
      <c r="L63" s="6">
        <f t="shared" si="1"/>
        <v>2.7027027027027029E-2</v>
      </c>
      <c r="M63" s="6"/>
    </row>
    <row r="64" spans="1:18" x14ac:dyDescent="0.3">
      <c r="A64" s="40" t="s">
        <v>95</v>
      </c>
      <c r="B64" t="s">
        <v>79</v>
      </c>
      <c r="C64" s="1">
        <v>63</v>
      </c>
      <c r="D64" t="s">
        <v>19</v>
      </c>
      <c r="E64" t="s">
        <v>19</v>
      </c>
      <c r="F64" t="s">
        <v>11</v>
      </c>
      <c r="G64" s="4">
        <v>70</v>
      </c>
      <c r="H64" s="4">
        <v>70</v>
      </c>
      <c r="I64" s="4">
        <v>55</v>
      </c>
      <c r="J64" s="4">
        <v>80</v>
      </c>
      <c r="K64" s="5">
        <f t="shared" si="0"/>
        <v>68.333333333333329</v>
      </c>
      <c r="L64" s="6">
        <f t="shared" si="1"/>
        <v>1.2048192771084373E-2</v>
      </c>
      <c r="M64" s="6"/>
    </row>
    <row r="65" spans="1:42" x14ac:dyDescent="0.3">
      <c r="A65" s="40" t="s">
        <v>95</v>
      </c>
      <c r="B65" t="s">
        <v>80</v>
      </c>
      <c r="C65" s="1">
        <v>64</v>
      </c>
      <c r="D65" t="s">
        <v>19</v>
      </c>
      <c r="E65" t="s">
        <v>19</v>
      </c>
      <c r="F65" t="s">
        <v>11</v>
      </c>
      <c r="G65" s="4">
        <v>100</v>
      </c>
      <c r="H65" s="4">
        <v>85</v>
      </c>
      <c r="I65" s="4">
        <v>70</v>
      </c>
      <c r="J65" s="4">
        <v>80</v>
      </c>
      <c r="K65" s="5">
        <f t="shared" si="0"/>
        <v>78.333333333333329</v>
      </c>
      <c r="L65" s="6">
        <f t="shared" si="1"/>
        <v>0.12149532710280378</v>
      </c>
      <c r="M65" s="6"/>
    </row>
    <row r="66" spans="1:42" x14ac:dyDescent="0.3">
      <c r="A66" s="40" t="s">
        <v>95</v>
      </c>
      <c r="B66" t="s">
        <v>81</v>
      </c>
      <c r="C66" s="1">
        <v>65</v>
      </c>
      <c r="D66" t="s">
        <v>19</v>
      </c>
      <c r="E66" t="s">
        <v>19</v>
      </c>
      <c r="F66" t="s">
        <v>11</v>
      </c>
      <c r="G66" s="4">
        <v>100</v>
      </c>
      <c r="H66" s="4">
        <v>90</v>
      </c>
      <c r="I66" s="4">
        <v>90</v>
      </c>
      <c r="J66" s="4">
        <v>85</v>
      </c>
      <c r="K66" s="5">
        <f t="shared" si="0"/>
        <v>88.333333333333329</v>
      </c>
      <c r="L66" s="6">
        <f t="shared" si="1"/>
        <v>6.194690265486729E-2</v>
      </c>
      <c r="M66" s="6"/>
    </row>
    <row r="67" spans="1:42" x14ac:dyDescent="0.3">
      <c r="A67" s="40" t="s">
        <v>95</v>
      </c>
      <c r="B67" t="s">
        <v>82</v>
      </c>
      <c r="C67" s="1">
        <v>66</v>
      </c>
      <c r="D67" t="s">
        <v>19</v>
      </c>
      <c r="E67" t="s">
        <v>19</v>
      </c>
      <c r="F67" t="s">
        <v>11</v>
      </c>
      <c r="G67" s="4">
        <v>85</v>
      </c>
      <c r="H67" s="4">
        <v>75</v>
      </c>
      <c r="I67" s="4">
        <v>90</v>
      </c>
      <c r="J67" s="4">
        <v>70</v>
      </c>
      <c r="K67" s="5">
        <f t="shared" ref="K67:K79" si="2">AVERAGE(H67:J67)</f>
        <v>78.333333333333329</v>
      </c>
      <c r="L67" s="6">
        <f t="shared" ref="L67:L130" si="3">(G67-K67)/(G67+K67)</f>
        <v>4.0816326530612276E-2</v>
      </c>
      <c r="M67" s="6"/>
    </row>
    <row r="68" spans="1:42" s="35" customFormat="1" ht="16.2" thickBot="1" x14ac:dyDescent="0.35">
      <c r="A68" s="41" t="s">
        <v>95</v>
      </c>
      <c r="B68" s="35" t="s">
        <v>83</v>
      </c>
      <c r="C68" s="2">
        <v>67</v>
      </c>
      <c r="D68" s="35" t="s">
        <v>19</v>
      </c>
      <c r="E68" s="35" t="s">
        <v>19</v>
      </c>
      <c r="F68" s="35" t="s">
        <v>11</v>
      </c>
      <c r="G68" s="36">
        <v>90</v>
      </c>
      <c r="H68" s="36">
        <v>90</v>
      </c>
      <c r="I68" s="36">
        <v>80</v>
      </c>
      <c r="J68" s="36">
        <v>60</v>
      </c>
      <c r="K68" s="37">
        <f t="shared" si="2"/>
        <v>76.666666666666671</v>
      </c>
      <c r="L68" s="38">
        <f t="shared" si="3"/>
        <v>7.999999999999996E-2</v>
      </c>
      <c r="M68" s="38"/>
      <c r="N68" s="36"/>
      <c r="O68" s="36"/>
      <c r="P68" s="36"/>
      <c r="Q68" s="36"/>
      <c r="R68" s="36"/>
    </row>
    <row r="69" spans="1:42" ht="16.2" thickTop="1" x14ac:dyDescent="0.3">
      <c r="A69" s="40" t="s">
        <v>96</v>
      </c>
      <c r="B69" t="s">
        <v>77</v>
      </c>
      <c r="C69" s="3">
        <v>68</v>
      </c>
      <c r="D69" t="s">
        <v>20</v>
      </c>
      <c r="E69" t="s">
        <v>20</v>
      </c>
      <c r="F69" t="s">
        <v>21</v>
      </c>
      <c r="G69" s="4">
        <v>100</v>
      </c>
      <c r="H69" s="4">
        <v>90</v>
      </c>
      <c r="I69" s="4">
        <v>95</v>
      </c>
      <c r="J69" s="4">
        <v>100</v>
      </c>
      <c r="K69" s="5">
        <f t="shared" si="2"/>
        <v>95</v>
      </c>
      <c r="L69" s="6">
        <f t="shared" si="3"/>
        <v>2.564102564102564E-2</v>
      </c>
      <c r="M69" s="6"/>
    </row>
    <row r="70" spans="1:42" x14ac:dyDescent="0.3">
      <c r="A70" s="40" t="s">
        <v>96</v>
      </c>
      <c r="B70" t="s">
        <v>78</v>
      </c>
      <c r="C70" s="1">
        <v>69</v>
      </c>
      <c r="D70" t="s">
        <v>20</v>
      </c>
      <c r="E70" t="s">
        <v>20</v>
      </c>
      <c r="F70" t="s">
        <v>21</v>
      </c>
      <c r="G70" s="4">
        <v>95</v>
      </c>
      <c r="H70" s="4">
        <v>75</v>
      </c>
      <c r="I70" s="4">
        <v>100</v>
      </c>
      <c r="J70" s="4">
        <v>85</v>
      </c>
      <c r="K70" s="5">
        <f t="shared" si="2"/>
        <v>86.666666666666671</v>
      </c>
      <c r="L70" s="6">
        <f t="shared" si="3"/>
        <v>4.5871559633027491E-2</v>
      </c>
      <c r="M70" s="6"/>
    </row>
    <row r="71" spans="1:42" x14ac:dyDescent="0.3">
      <c r="A71" s="40" t="s">
        <v>96</v>
      </c>
      <c r="B71" t="s">
        <v>79</v>
      </c>
      <c r="C71" s="1">
        <v>70</v>
      </c>
      <c r="D71" t="s">
        <v>20</v>
      </c>
      <c r="E71" t="s">
        <v>20</v>
      </c>
      <c r="F71" t="s">
        <v>21</v>
      </c>
      <c r="G71" s="4">
        <v>85</v>
      </c>
      <c r="H71" s="4">
        <v>85</v>
      </c>
      <c r="I71" s="4">
        <v>90</v>
      </c>
      <c r="J71" s="4">
        <v>85</v>
      </c>
      <c r="K71" s="5">
        <f t="shared" si="2"/>
        <v>86.666666666666671</v>
      </c>
      <c r="L71" s="6">
        <f t="shared" si="3"/>
        <v>-9.7087378640776968E-3</v>
      </c>
      <c r="M71" s="6"/>
    </row>
    <row r="72" spans="1:42" x14ac:dyDescent="0.3">
      <c r="A72" s="40" t="s">
        <v>96</v>
      </c>
      <c r="B72" t="s">
        <v>80</v>
      </c>
      <c r="C72" s="1">
        <v>71</v>
      </c>
      <c r="D72" t="s">
        <v>20</v>
      </c>
      <c r="E72" t="s">
        <v>20</v>
      </c>
      <c r="F72" t="s">
        <v>21</v>
      </c>
      <c r="G72" s="4">
        <v>95</v>
      </c>
      <c r="H72" s="4">
        <v>100</v>
      </c>
      <c r="I72" s="4">
        <v>100</v>
      </c>
      <c r="J72" s="4">
        <v>100</v>
      </c>
      <c r="K72" s="5">
        <f t="shared" si="2"/>
        <v>100</v>
      </c>
      <c r="L72" s="6">
        <f t="shared" si="3"/>
        <v>-2.564102564102564E-2</v>
      </c>
      <c r="M72" s="6"/>
    </row>
    <row r="73" spans="1:42" x14ac:dyDescent="0.3">
      <c r="A73" s="40" t="s">
        <v>96</v>
      </c>
      <c r="B73" t="s">
        <v>81</v>
      </c>
      <c r="C73" s="1">
        <v>72</v>
      </c>
      <c r="D73" t="s">
        <v>20</v>
      </c>
      <c r="E73" t="s">
        <v>20</v>
      </c>
      <c r="F73" t="s">
        <v>21</v>
      </c>
      <c r="G73" s="4">
        <v>90</v>
      </c>
      <c r="H73" s="4">
        <v>95</v>
      </c>
      <c r="I73" s="4">
        <v>90</v>
      </c>
      <c r="J73" s="4">
        <v>85</v>
      </c>
      <c r="K73" s="5">
        <f t="shared" si="2"/>
        <v>90</v>
      </c>
      <c r="L73" s="6">
        <f t="shared" si="3"/>
        <v>0</v>
      </c>
      <c r="M73" s="6"/>
    </row>
    <row r="74" spans="1:42" x14ac:dyDescent="0.3">
      <c r="A74" s="40" t="s">
        <v>96</v>
      </c>
      <c r="B74" t="s">
        <v>82</v>
      </c>
      <c r="C74" s="1">
        <v>73</v>
      </c>
      <c r="D74" t="s">
        <v>20</v>
      </c>
      <c r="E74" t="s">
        <v>20</v>
      </c>
      <c r="F74" t="s">
        <v>21</v>
      </c>
      <c r="G74" s="4">
        <v>95</v>
      </c>
      <c r="H74" s="4">
        <v>100</v>
      </c>
      <c r="I74" s="4">
        <v>85</v>
      </c>
      <c r="J74" s="4">
        <v>80</v>
      </c>
      <c r="K74" s="5">
        <f t="shared" si="2"/>
        <v>88.333333333333329</v>
      </c>
      <c r="L74" s="6">
        <f t="shared" si="3"/>
        <v>3.6363636363636397E-2</v>
      </c>
      <c r="M74" s="6"/>
    </row>
    <row r="75" spans="1:42" x14ac:dyDescent="0.3">
      <c r="A75" s="40" t="s">
        <v>96</v>
      </c>
      <c r="B75" t="s">
        <v>83</v>
      </c>
      <c r="C75" s="1">
        <v>74</v>
      </c>
      <c r="D75" t="s">
        <v>20</v>
      </c>
      <c r="E75" t="s">
        <v>20</v>
      </c>
      <c r="F75" t="s">
        <v>21</v>
      </c>
      <c r="G75" s="4">
        <v>85</v>
      </c>
      <c r="H75" s="4">
        <v>85</v>
      </c>
      <c r="I75" s="4">
        <v>100</v>
      </c>
      <c r="J75" s="4">
        <v>95</v>
      </c>
      <c r="K75" s="5">
        <f t="shared" si="2"/>
        <v>93.333333333333329</v>
      </c>
      <c r="L75" s="6">
        <f t="shared" si="3"/>
        <v>-4.67289719626168E-2</v>
      </c>
      <c r="M75" s="6"/>
    </row>
    <row r="76" spans="1:42" x14ac:dyDescent="0.3">
      <c r="A76" s="40" t="s">
        <v>96</v>
      </c>
      <c r="B76" t="s">
        <v>84</v>
      </c>
      <c r="C76" s="1">
        <v>75</v>
      </c>
      <c r="D76" t="s">
        <v>20</v>
      </c>
      <c r="E76" t="s">
        <v>20</v>
      </c>
      <c r="F76" t="s">
        <v>21</v>
      </c>
      <c r="G76" s="4">
        <v>95</v>
      </c>
      <c r="H76" s="4">
        <v>100</v>
      </c>
      <c r="I76" s="4">
        <v>100</v>
      </c>
      <c r="J76" s="4">
        <v>100</v>
      </c>
      <c r="K76" s="5">
        <f t="shared" si="2"/>
        <v>100</v>
      </c>
      <c r="L76" s="6">
        <f t="shared" si="3"/>
        <v>-2.564102564102564E-2</v>
      </c>
      <c r="M76" s="6"/>
    </row>
    <row r="77" spans="1:42" x14ac:dyDescent="0.3">
      <c r="A77" s="40" t="s">
        <v>96</v>
      </c>
      <c r="B77" t="s">
        <v>85</v>
      </c>
      <c r="C77" s="1">
        <v>76</v>
      </c>
      <c r="D77" t="s">
        <v>20</v>
      </c>
      <c r="E77" t="s">
        <v>20</v>
      </c>
      <c r="F77" t="s">
        <v>21</v>
      </c>
      <c r="G77" s="4">
        <v>100</v>
      </c>
      <c r="H77" s="4">
        <v>95</v>
      </c>
      <c r="I77" s="4">
        <v>90</v>
      </c>
      <c r="J77" s="4">
        <v>95</v>
      </c>
      <c r="K77" s="5">
        <f t="shared" si="2"/>
        <v>93.333333333333329</v>
      </c>
      <c r="L77" s="6">
        <f t="shared" si="3"/>
        <v>3.4482758620689682E-2</v>
      </c>
      <c r="M77" s="6"/>
    </row>
    <row r="78" spans="1:42" x14ac:dyDescent="0.3">
      <c r="A78" s="40" t="s">
        <v>96</v>
      </c>
      <c r="B78" t="s">
        <v>86</v>
      </c>
      <c r="C78" s="28">
        <v>77</v>
      </c>
      <c r="D78" t="s">
        <v>20</v>
      </c>
      <c r="E78" t="s">
        <v>20</v>
      </c>
      <c r="F78" t="s">
        <v>21</v>
      </c>
      <c r="G78" s="4">
        <v>95</v>
      </c>
      <c r="H78" s="4">
        <v>100</v>
      </c>
      <c r="I78" s="4">
        <v>100</v>
      </c>
      <c r="J78" s="4">
        <v>85</v>
      </c>
      <c r="K78" s="5">
        <f t="shared" si="2"/>
        <v>95</v>
      </c>
      <c r="L78" s="6">
        <f t="shared" si="3"/>
        <v>0</v>
      </c>
      <c r="M78" s="6"/>
    </row>
    <row r="79" spans="1:42" s="35" customFormat="1" ht="16.2" thickBot="1" x14ac:dyDescent="0.35">
      <c r="A79" s="41" t="s">
        <v>96</v>
      </c>
      <c r="B79" s="35" t="s">
        <v>77</v>
      </c>
      <c r="C79" s="42">
        <v>78</v>
      </c>
      <c r="D79" s="35" t="s">
        <v>20</v>
      </c>
      <c r="E79" s="35" t="s">
        <v>20</v>
      </c>
      <c r="F79" s="35" t="s">
        <v>21</v>
      </c>
      <c r="G79" s="36">
        <v>90</v>
      </c>
      <c r="H79" s="36">
        <v>100</v>
      </c>
      <c r="I79" s="36">
        <v>100</v>
      </c>
      <c r="J79" s="36">
        <v>65</v>
      </c>
      <c r="K79" s="37">
        <f t="shared" si="2"/>
        <v>88.333333333333329</v>
      </c>
      <c r="L79" s="38">
        <f t="shared" si="3"/>
        <v>9.3457943925233915E-3</v>
      </c>
      <c r="M79" s="38"/>
      <c r="N79" s="36"/>
      <c r="O79" s="36"/>
      <c r="P79" s="36"/>
      <c r="Q79" s="36"/>
      <c r="R79" s="36"/>
    </row>
    <row r="80" spans="1:42" ht="16.2" thickTop="1" x14ac:dyDescent="0.3">
      <c r="A80" s="40" t="s">
        <v>97</v>
      </c>
      <c r="B80" t="s">
        <v>77</v>
      </c>
      <c r="C80" s="3">
        <v>79</v>
      </c>
      <c r="D80" s="29" t="s">
        <v>22</v>
      </c>
      <c r="E80" s="29" t="s">
        <v>22</v>
      </c>
      <c r="F80" s="29" t="s">
        <v>11</v>
      </c>
      <c r="G80" s="30">
        <v>75</v>
      </c>
      <c r="H80" s="30">
        <v>50</v>
      </c>
      <c r="I80" s="30">
        <v>25</v>
      </c>
      <c r="J80" s="30" t="s">
        <v>14</v>
      </c>
      <c r="K80" s="31">
        <f>AVERAGE(H80:J80)</f>
        <v>37.5</v>
      </c>
      <c r="L80" s="32">
        <f t="shared" si="3"/>
        <v>0.33333333333333331</v>
      </c>
      <c r="M80" s="32"/>
      <c r="N80" s="30">
        <v>0</v>
      </c>
      <c r="O80" s="30"/>
      <c r="P80" s="30"/>
      <c r="Q80" s="30"/>
      <c r="R80" s="30"/>
      <c r="AL80">
        <v>29.9</v>
      </c>
      <c r="AM80" t="s">
        <v>14</v>
      </c>
      <c r="AN80" t="s">
        <v>14</v>
      </c>
      <c r="AO80">
        <v>93.92</v>
      </c>
      <c r="AP80">
        <v>38.71</v>
      </c>
    </row>
    <row r="81" spans="1:60" x14ac:dyDescent="0.3">
      <c r="A81" s="40" t="s">
        <v>97</v>
      </c>
      <c r="B81" t="s">
        <v>78</v>
      </c>
      <c r="C81" s="1">
        <v>80</v>
      </c>
      <c r="D81" s="29" t="s">
        <v>22</v>
      </c>
      <c r="E81" s="29" t="s">
        <v>22</v>
      </c>
      <c r="F81" s="29" t="s">
        <v>11</v>
      </c>
      <c r="G81" s="30">
        <v>50</v>
      </c>
      <c r="H81" s="30">
        <v>37.5</v>
      </c>
      <c r="I81" s="30">
        <v>25</v>
      </c>
      <c r="J81" s="30" t="s">
        <v>14</v>
      </c>
      <c r="K81" s="31">
        <f t="shared" ref="K81:K143" si="4">AVERAGE(H81:J81)</f>
        <v>31.25</v>
      </c>
      <c r="L81" s="32">
        <f t="shared" si="3"/>
        <v>0.23076923076923078</v>
      </c>
      <c r="M81" s="32"/>
      <c r="N81" s="30">
        <v>0</v>
      </c>
      <c r="O81" s="30"/>
      <c r="P81" s="30"/>
      <c r="Q81" s="30"/>
      <c r="R81" s="30"/>
      <c r="AL81">
        <v>0.33</v>
      </c>
      <c r="AM81">
        <v>55.42</v>
      </c>
      <c r="AN81">
        <v>69.8</v>
      </c>
      <c r="AO81">
        <v>52.6</v>
      </c>
      <c r="AP81">
        <v>22.5</v>
      </c>
    </row>
    <row r="82" spans="1:60" x14ac:dyDescent="0.3">
      <c r="A82" s="40" t="s">
        <v>97</v>
      </c>
      <c r="B82" t="s">
        <v>79</v>
      </c>
      <c r="C82" s="1">
        <v>81</v>
      </c>
      <c r="D82" s="29" t="s">
        <v>22</v>
      </c>
      <c r="E82" s="29" t="s">
        <v>22</v>
      </c>
      <c r="F82" s="29" t="s">
        <v>11</v>
      </c>
      <c r="G82" s="30">
        <v>50</v>
      </c>
      <c r="H82" s="30">
        <v>62.5</v>
      </c>
      <c r="I82" s="30">
        <v>25</v>
      </c>
      <c r="J82" s="30" t="s">
        <v>14</v>
      </c>
      <c r="K82" s="31">
        <f t="shared" si="4"/>
        <v>43.75</v>
      </c>
      <c r="L82" s="32">
        <f t="shared" si="3"/>
        <v>6.6666666666666666E-2</v>
      </c>
      <c r="M82" s="32"/>
      <c r="N82" s="30">
        <v>0</v>
      </c>
      <c r="O82" s="30"/>
      <c r="P82" s="30"/>
      <c r="Q82" s="30"/>
      <c r="R82" s="30"/>
      <c r="AL82">
        <v>1.48</v>
      </c>
      <c r="AM82">
        <v>65.47</v>
      </c>
      <c r="AN82">
        <v>87.18</v>
      </c>
      <c r="AO82">
        <v>54.04</v>
      </c>
      <c r="AP82">
        <v>45.81</v>
      </c>
    </row>
    <row r="83" spans="1:60" x14ac:dyDescent="0.3">
      <c r="A83" s="40" t="s">
        <v>97</v>
      </c>
      <c r="B83" t="s">
        <v>80</v>
      </c>
      <c r="C83" s="1">
        <v>82</v>
      </c>
      <c r="D83" s="29" t="s">
        <v>22</v>
      </c>
      <c r="E83" s="29" t="s">
        <v>22</v>
      </c>
      <c r="F83" s="29" t="s">
        <v>11</v>
      </c>
      <c r="G83" s="30">
        <v>56.25</v>
      </c>
      <c r="H83" s="30">
        <v>50</v>
      </c>
      <c r="I83" s="30">
        <v>25</v>
      </c>
      <c r="J83" s="30" t="s">
        <v>14</v>
      </c>
      <c r="K83" s="31">
        <f t="shared" si="4"/>
        <v>37.5</v>
      </c>
      <c r="L83" s="32">
        <f t="shared" si="3"/>
        <v>0.2</v>
      </c>
      <c r="M83" s="32"/>
      <c r="N83" s="30">
        <v>0</v>
      </c>
      <c r="O83" s="30"/>
      <c r="P83" s="30"/>
      <c r="Q83" s="30"/>
      <c r="R83" s="30"/>
      <c r="AL83">
        <v>18.989999999999998</v>
      </c>
      <c r="AM83">
        <v>19.71</v>
      </c>
      <c r="AN83">
        <v>44.27</v>
      </c>
      <c r="AO83">
        <v>22.95</v>
      </c>
      <c r="AP83">
        <v>10.48</v>
      </c>
    </row>
    <row r="84" spans="1:60" x14ac:dyDescent="0.3">
      <c r="A84" s="40" t="s">
        <v>97</v>
      </c>
      <c r="B84" t="s">
        <v>81</v>
      </c>
      <c r="C84" s="1">
        <v>83</v>
      </c>
      <c r="D84" s="29" t="s">
        <v>22</v>
      </c>
      <c r="E84" s="29" t="s">
        <v>22</v>
      </c>
      <c r="F84" s="29" t="s">
        <v>11</v>
      </c>
      <c r="G84" s="30">
        <v>65</v>
      </c>
      <c r="H84" s="30">
        <v>50</v>
      </c>
      <c r="I84" s="30">
        <v>25</v>
      </c>
      <c r="J84" s="30" t="s">
        <v>14</v>
      </c>
      <c r="K84" s="31">
        <f t="shared" si="4"/>
        <v>37.5</v>
      </c>
      <c r="L84" s="32">
        <f t="shared" si="3"/>
        <v>0.26829268292682928</v>
      </c>
      <c r="M84" s="32"/>
      <c r="N84" s="30">
        <v>0</v>
      </c>
      <c r="O84" s="30"/>
      <c r="P84" s="30"/>
      <c r="Q84" s="30"/>
      <c r="R84" s="30"/>
      <c r="AL84">
        <v>0.66</v>
      </c>
      <c r="AM84">
        <v>15.02</v>
      </c>
      <c r="AN84">
        <v>46.17</v>
      </c>
      <c r="AO84">
        <v>9.01</v>
      </c>
      <c r="AP84">
        <v>34.44</v>
      </c>
    </row>
    <row r="85" spans="1:60" x14ac:dyDescent="0.3">
      <c r="A85" s="40" t="s">
        <v>97</v>
      </c>
      <c r="B85" t="s">
        <v>82</v>
      </c>
      <c r="C85" s="1">
        <v>84</v>
      </c>
      <c r="D85" s="29" t="s">
        <v>22</v>
      </c>
      <c r="E85" s="29" t="s">
        <v>22</v>
      </c>
      <c r="F85" s="29" t="s">
        <v>11</v>
      </c>
      <c r="G85" s="30">
        <v>72.319999999999993</v>
      </c>
      <c r="H85" s="30">
        <v>37.5</v>
      </c>
      <c r="I85" s="30">
        <v>37.5</v>
      </c>
      <c r="J85" s="30" t="s">
        <v>14</v>
      </c>
      <c r="K85" s="31">
        <f t="shared" si="4"/>
        <v>37.5</v>
      </c>
      <c r="L85" s="32">
        <f t="shared" si="3"/>
        <v>0.31706428701511558</v>
      </c>
      <c r="M85" s="32"/>
      <c r="N85" s="30">
        <v>0</v>
      </c>
      <c r="O85" s="30"/>
      <c r="P85" s="30"/>
      <c r="Q85" s="30"/>
      <c r="R85" s="30"/>
      <c r="AL85">
        <v>1.07</v>
      </c>
      <c r="AM85">
        <v>25.75</v>
      </c>
      <c r="AN85">
        <v>50</v>
      </c>
      <c r="AO85">
        <v>72.02</v>
      </c>
      <c r="AP85">
        <v>51.56</v>
      </c>
    </row>
    <row r="86" spans="1:60" x14ac:dyDescent="0.3">
      <c r="A86" s="40" t="s">
        <v>106</v>
      </c>
      <c r="B86" t="s">
        <v>83</v>
      </c>
      <c r="C86" s="1">
        <v>85</v>
      </c>
      <c r="D86" s="29" t="s">
        <v>22</v>
      </c>
      <c r="E86" s="29" t="s">
        <v>22</v>
      </c>
      <c r="F86" s="29" t="s">
        <v>11</v>
      </c>
      <c r="G86" s="30">
        <v>68.75</v>
      </c>
      <c r="H86" s="30">
        <v>75</v>
      </c>
      <c r="I86" s="30">
        <v>62.5</v>
      </c>
      <c r="J86" s="30" t="s">
        <v>14</v>
      </c>
      <c r="K86" s="31">
        <f t="shared" si="4"/>
        <v>68.75</v>
      </c>
      <c r="L86" s="32">
        <f t="shared" si="3"/>
        <v>0</v>
      </c>
      <c r="M86" s="32"/>
      <c r="N86" s="30">
        <v>0</v>
      </c>
      <c r="O86" s="30"/>
      <c r="P86" s="30"/>
      <c r="Q86" s="30"/>
      <c r="R86" s="30"/>
      <c r="AL86">
        <v>0.13</v>
      </c>
      <c r="AM86">
        <v>19.920000000000002</v>
      </c>
      <c r="AN86">
        <v>38.11</v>
      </c>
      <c r="AO86">
        <v>34.24</v>
      </c>
      <c r="AP86">
        <v>63.76</v>
      </c>
    </row>
    <row r="87" spans="1:60" x14ac:dyDescent="0.3">
      <c r="A87" s="40" t="s">
        <v>106</v>
      </c>
      <c r="B87" t="s">
        <v>84</v>
      </c>
      <c r="C87" s="1">
        <v>86</v>
      </c>
      <c r="D87" s="29" t="s">
        <v>22</v>
      </c>
      <c r="E87" s="29" t="s">
        <v>22</v>
      </c>
      <c r="F87" s="29" t="s">
        <v>11</v>
      </c>
      <c r="G87" s="30">
        <v>75</v>
      </c>
      <c r="H87" s="30">
        <v>0</v>
      </c>
      <c r="I87" s="30">
        <v>25</v>
      </c>
      <c r="J87" s="30" t="s">
        <v>14</v>
      </c>
      <c r="K87" s="31">
        <f t="shared" si="4"/>
        <v>12.5</v>
      </c>
      <c r="L87" s="32">
        <f t="shared" si="3"/>
        <v>0.7142857142857143</v>
      </c>
      <c r="M87" s="32"/>
      <c r="N87" s="30">
        <v>1</v>
      </c>
      <c r="O87" s="30"/>
      <c r="P87" s="30"/>
      <c r="Q87" s="30"/>
      <c r="R87" s="30"/>
      <c r="AL87">
        <v>0.55000000000000004</v>
      </c>
      <c r="AM87">
        <v>34.340000000000003</v>
      </c>
      <c r="AN87">
        <v>47.43</v>
      </c>
      <c r="AO87">
        <v>69.2</v>
      </c>
      <c r="AP87">
        <v>57.43</v>
      </c>
    </row>
    <row r="88" spans="1:60" x14ac:dyDescent="0.3">
      <c r="A88" s="40" t="s">
        <v>106</v>
      </c>
      <c r="B88" t="s">
        <v>85</v>
      </c>
      <c r="C88" s="1">
        <v>87</v>
      </c>
      <c r="D88" s="29" t="s">
        <v>22</v>
      </c>
      <c r="E88" s="29" t="s">
        <v>22</v>
      </c>
      <c r="F88" s="29" t="s">
        <v>11</v>
      </c>
      <c r="G88" s="30">
        <v>68.75</v>
      </c>
      <c r="H88" s="30">
        <v>50</v>
      </c>
      <c r="I88" s="30">
        <v>50</v>
      </c>
      <c r="J88" s="30" t="s">
        <v>14</v>
      </c>
      <c r="K88" s="31">
        <f t="shared" si="4"/>
        <v>50</v>
      </c>
      <c r="L88" s="32">
        <f t="shared" si="3"/>
        <v>0.15789473684210525</v>
      </c>
      <c r="M88" s="32"/>
      <c r="N88" s="30">
        <v>0</v>
      </c>
      <c r="O88" s="30"/>
      <c r="P88" s="30"/>
      <c r="Q88" s="30"/>
      <c r="R88" s="30"/>
      <c r="AL88">
        <v>0</v>
      </c>
      <c r="AM88">
        <v>17.059999999999999</v>
      </c>
      <c r="AN88">
        <v>33.99</v>
      </c>
      <c r="AO88">
        <v>79.77</v>
      </c>
      <c r="AP88">
        <v>81.010000000000005</v>
      </c>
    </row>
    <row r="89" spans="1:60" x14ac:dyDescent="0.3">
      <c r="A89" s="40" t="s">
        <v>106</v>
      </c>
      <c r="B89" t="s">
        <v>86</v>
      </c>
      <c r="C89" s="1">
        <v>88</v>
      </c>
      <c r="D89" s="29" t="s">
        <v>22</v>
      </c>
      <c r="E89" s="29" t="s">
        <v>22</v>
      </c>
      <c r="F89" s="29" t="s">
        <v>11</v>
      </c>
      <c r="G89" s="30">
        <v>62.5</v>
      </c>
      <c r="H89" s="30">
        <v>62.5</v>
      </c>
      <c r="I89" s="30">
        <v>50</v>
      </c>
      <c r="J89" s="30" t="s">
        <v>14</v>
      </c>
      <c r="K89" s="31">
        <f t="shared" si="4"/>
        <v>56.25</v>
      </c>
      <c r="L89" s="32">
        <f t="shared" si="3"/>
        <v>5.2631578947368418E-2</v>
      </c>
      <c r="M89" s="32"/>
      <c r="N89" s="30">
        <v>0</v>
      </c>
      <c r="O89" s="30"/>
      <c r="P89" s="30"/>
      <c r="Q89" s="30"/>
      <c r="R89" s="30"/>
      <c r="AL89">
        <v>0.61</v>
      </c>
      <c r="AM89">
        <v>9.16</v>
      </c>
      <c r="AN89">
        <v>29.68</v>
      </c>
      <c r="AO89">
        <v>44.56</v>
      </c>
    </row>
    <row r="90" spans="1:60" x14ac:dyDescent="0.3">
      <c r="A90" s="40" t="s">
        <v>106</v>
      </c>
      <c r="B90" t="s">
        <v>87</v>
      </c>
      <c r="C90" s="1">
        <v>89</v>
      </c>
      <c r="D90" s="29" t="s">
        <v>22</v>
      </c>
      <c r="E90" s="29" t="s">
        <v>22</v>
      </c>
      <c r="F90" s="29" t="s">
        <v>11</v>
      </c>
      <c r="G90" s="30">
        <v>62.5</v>
      </c>
      <c r="H90" s="30">
        <v>100</v>
      </c>
      <c r="I90" s="30">
        <v>25</v>
      </c>
      <c r="J90" s="30" t="s">
        <v>14</v>
      </c>
      <c r="K90" s="31">
        <f t="shared" si="4"/>
        <v>62.5</v>
      </c>
      <c r="L90" s="32">
        <f t="shared" si="3"/>
        <v>0</v>
      </c>
      <c r="M90" s="32"/>
      <c r="N90" s="30">
        <v>0</v>
      </c>
      <c r="O90" s="30"/>
      <c r="P90" s="30"/>
      <c r="Q90" s="30"/>
      <c r="R90" s="30"/>
      <c r="AL90">
        <v>6.39</v>
      </c>
      <c r="AM90">
        <v>34.880000000000003</v>
      </c>
      <c r="AN90">
        <v>40.57</v>
      </c>
      <c r="AO90">
        <v>82.18</v>
      </c>
      <c r="AP90">
        <v>55.88</v>
      </c>
    </row>
    <row r="91" spans="1:60" s="35" customFormat="1" ht="16.2" thickBot="1" x14ac:dyDescent="0.35">
      <c r="A91" s="41" t="s">
        <v>106</v>
      </c>
      <c r="B91" s="35" t="s">
        <v>88</v>
      </c>
      <c r="C91" s="2">
        <v>90</v>
      </c>
      <c r="D91" s="19" t="s">
        <v>22</v>
      </c>
      <c r="E91" s="19" t="s">
        <v>22</v>
      </c>
      <c r="F91" s="19" t="s">
        <v>11</v>
      </c>
      <c r="G91" s="36">
        <v>87.5</v>
      </c>
      <c r="H91" s="36">
        <v>50</v>
      </c>
      <c r="I91" s="36">
        <v>12.5</v>
      </c>
      <c r="J91" s="36" t="s">
        <v>14</v>
      </c>
      <c r="K91" s="37">
        <f t="shared" si="4"/>
        <v>31.25</v>
      </c>
      <c r="L91" s="38">
        <f t="shared" si="3"/>
        <v>0.47368421052631576</v>
      </c>
      <c r="M91" s="38"/>
      <c r="N91" s="36">
        <v>1</v>
      </c>
      <c r="O91" s="36"/>
      <c r="P91" s="36"/>
      <c r="Q91" s="36"/>
      <c r="R91" s="36"/>
      <c r="AL91" s="35">
        <v>5.9</v>
      </c>
      <c r="AM91" s="35">
        <v>71.510000000000005</v>
      </c>
      <c r="AN91" s="35">
        <v>85.34</v>
      </c>
      <c r="AO91" s="35">
        <v>95.82</v>
      </c>
      <c r="AP91" s="35">
        <v>79.7</v>
      </c>
    </row>
    <row r="92" spans="1:60" ht="16.2" thickTop="1" x14ac:dyDescent="0.3">
      <c r="A92" s="40" t="s">
        <v>98</v>
      </c>
      <c r="B92" s="43" t="s">
        <v>77</v>
      </c>
      <c r="C92" s="3">
        <v>91</v>
      </c>
      <c r="D92" s="29" t="s">
        <v>23</v>
      </c>
      <c r="E92" s="29" t="s">
        <v>23</v>
      </c>
      <c r="F92" s="29" t="s">
        <v>11</v>
      </c>
      <c r="G92" s="30">
        <v>75</v>
      </c>
      <c r="H92" s="30">
        <v>85</v>
      </c>
      <c r="I92" s="30">
        <v>90</v>
      </c>
      <c r="J92" s="30">
        <v>95</v>
      </c>
      <c r="K92" s="31">
        <f t="shared" si="4"/>
        <v>90</v>
      </c>
      <c r="L92" s="32">
        <f t="shared" si="3"/>
        <v>-9.0909090909090912E-2</v>
      </c>
      <c r="M92" s="32"/>
      <c r="N92" s="30">
        <v>0</v>
      </c>
      <c r="O92" s="30">
        <v>20</v>
      </c>
      <c r="P92" s="30">
        <v>15</v>
      </c>
      <c r="Q92" s="30">
        <v>50</v>
      </c>
      <c r="R92" s="30">
        <v>0.25</v>
      </c>
      <c r="T92">
        <v>-0.08</v>
      </c>
      <c r="U92">
        <v>-0.06</v>
      </c>
      <c r="V92">
        <v>-0.14000000000000001</v>
      </c>
      <c r="W92">
        <v>-0.11</v>
      </c>
      <c r="X92">
        <v>-0.21</v>
      </c>
      <c r="Y92">
        <v>-0.18</v>
      </c>
      <c r="Z92">
        <v>-0.18</v>
      </c>
      <c r="AA92">
        <v>-0.24</v>
      </c>
      <c r="AC92">
        <v>0.21</v>
      </c>
      <c r="AD92">
        <v>0.24</v>
      </c>
      <c r="AE92">
        <v>0.26</v>
      </c>
      <c r="AF92">
        <v>0.26</v>
      </c>
      <c r="AG92">
        <v>0.32</v>
      </c>
      <c r="AH92">
        <v>0.45</v>
      </c>
      <c r="AI92">
        <v>0.48</v>
      </c>
      <c r="AJ92">
        <v>0.54</v>
      </c>
      <c r="AR92">
        <v>0</v>
      </c>
      <c r="AS92">
        <v>0</v>
      </c>
      <c r="AT92">
        <v>0</v>
      </c>
      <c r="AU92">
        <v>0.41</v>
      </c>
      <c r="AV92">
        <v>0</v>
      </c>
      <c r="AW92">
        <v>0</v>
      </c>
      <c r="AX92">
        <v>0</v>
      </c>
      <c r="AY92">
        <v>0</v>
      </c>
      <c r="BA92">
        <v>20.45</v>
      </c>
      <c r="BB92">
        <v>1.55</v>
      </c>
      <c r="BC92">
        <v>14.7</v>
      </c>
      <c r="BD92">
        <v>13.15</v>
      </c>
      <c r="BE92">
        <v>0</v>
      </c>
      <c r="BF92">
        <v>18.39</v>
      </c>
      <c r="BG92">
        <v>0</v>
      </c>
      <c r="BH92">
        <v>0</v>
      </c>
    </row>
    <row r="93" spans="1:60" x14ac:dyDescent="0.3">
      <c r="A93" s="40" t="s">
        <v>98</v>
      </c>
      <c r="B93" s="43" t="s">
        <v>79</v>
      </c>
      <c r="C93" s="1">
        <v>92</v>
      </c>
      <c r="D93" s="29" t="s">
        <v>23</v>
      </c>
      <c r="E93" s="29" t="s">
        <v>23</v>
      </c>
      <c r="F93" s="29" t="s">
        <v>11</v>
      </c>
      <c r="G93" s="30">
        <v>65</v>
      </c>
      <c r="H93" s="30">
        <v>95</v>
      </c>
      <c r="I93" s="30">
        <v>100</v>
      </c>
      <c r="J93" s="30">
        <v>100</v>
      </c>
      <c r="K93" s="31">
        <f t="shared" si="4"/>
        <v>98.333333333333329</v>
      </c>
      <c r="L93" s="32">
        <f t="shared" si="3"/>
        <v>-0.20408163265306123</v>
      </c>
      <c r="M93" s="32"/>
      <c r="N93" s="30">
        <v>0</v>
      </c>
      <c r="O93" s="30">
        <v>5</v>
      </c>
      <c r="P93" s="30">
        <v>5</v>
      </c>
      <c r="Q93" s="30">
        <v>0</v>
      </c>
      <c r="R93" s="30">
        <v>0.03</v>
      </c>
      <c r="T93">
        <v>-0.3</v>
      </c>
      <c r="U93">
        <v>-0.28999999999999998</v>
      </c>
      <c r="V93">
        <v>-0.3</v>
      </c>
      <c r="W93">
        <v>-0.31</v>
      </c>
      <c r="X93">
        <v>-0.3</v>
      </c>
      <c r="Y93">
        <v>-0.49</v>
      </c>
      <c r="Z93" t="s">
        <v>14</v>
      </c>
      <c r="AA93" t="s">
        <v>14</v>
      </c>
      <c r="AC93">
        <v>0.33</v>
      </c>
      <c r="AD93">
        <v>0.31</v>
      </c>
      <c r="AE93">
        <v>0.25</v>
      </c>
      <c r="AF93">
        <v>0.28000000000000003</v>
      </c>
      <c r="AG93">
        <v>0.35</v>
      </c>
      <c r="AH93">
        <v>0.3</v>
      </c>
      <c r="AI93" t="s">
        <v>14</v>
      </c>
      <c r="AJ93" t="s">
        <v>14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 t="s">
        <v>14</v>
      </c>
      <c r="AY93" t="s">
        <v>14</v>
      </c>
      <c r="BA93">
        <v>25.14</v>
      </c>
      <c r="BB93">
        <v>13.95</v>
      </c>
      <c r="BC93">
        <v>31.7</v>
      </c>
      <c r="BD93">
        <v>42.78</v>
      </c>
      <c r="BE93">
        <v>18.059999999999999</v>
      </c>
      <c r="BF93">
        <v>0</v>
      </c>
      <c r="BG93" t="s">
        <v>14</v>
      </c>
      <c r="BH93" t="s">
        <v>14</v>
      </c>
    </row>
    <row r="94" spans="1:60" x14ac:dyDescent="0.3">
      <c r="A94" s="40" t="s">
        <v>98</v>
      </c>
      <c r="B94" s="43" t="s">
        <v>82</v>
      </c>
      <c r="C94" s="1">
        <v>93</v>
      </c>
      <c r="D94" s="29" t="s">
        <v>23</v>
      </c>
      <c r="E94" s="29" t="s">
        <v>23</v>
      </c>
      <c r="F94" s="29" t="s">
        <v>11</v>
      </c>
      <c r="G94" s="30">
        <v>85</v>
      </c>
      <c r="H94" s="30">
        <v>95</v>
      </c>
      <c r="I94" s="30">
        <v>95</v>
      </c>
      <c r="J94" s="30">
        <v>100</v>
      </c>
      <c r="K94" s="31">
        <f t="shared" si="4"/>
        <v>96.666666666666671</v>
      </c>
      <c r="L94" s="32">
        <f t="shared" si="3"/>
        <v>-6.422018348623855E-2</v>
      </c>
      <c r="M94" s="32"/>
      <c r="N94" s="30">
        <v>0</v>
      </c>
      <c r="O94" s="30">
        <v>0</v>
      </c>
      <c r="P94" s="30">
        <v>0</v>
      </c>
      <c r="Q94" s="30">
        <v>0</v>
      </c>
      <c r="R94" s="30">
        <v>0</v>
      </c>
      <c r="T94">
        <v>-0.36</v>
      </c>
      <c r="U94">
        <v>-0.35</v>
      </c>
      <c r="V94">
        <v>-0.33</v>
      </c>
      <c r="W94">
        <v>-0.34</v>
      </c>
      <c r="X94">
        <v>-0.21</v>
      </c>
      <c r="Y94">
        <v>-0.27</v>
      </c>
      <c r="Z94">
        <v>-0.24</v>
      </c>
      <c r="AA94" t="s">
        <v>14</v>
      </c>
      <c r="AC94">
        <v>0.36</v>
      </c>
      <c r="AD94">
        <v>0.31</v>
      </c>
      <c r="AE94">
        <v>0.32</v>
      </c>
      <c r="AF94">
        <v>0.32</v>
      </c>
      <c r="AG94">
        <v>0.24</v>
      </c>
      <c r="AH94">
        <v>0.22</v>
      </c>
      <c r="AI94">
        <v>0.42</v>
      </c>
      <c r="AJ94" t="s">
        <v>14</v>
      </c>
      <c r="AR94">
        <v>0</v>
      </c>
      <c r="AS94">
        <v>0</v>
      </c>
      <c r="AT94">
        <v>1.18</v>
      </c>
      <c r="AU94">
        <v>0</v>
      </c>
      <c r="AV94">
        <v>0</v>
      </c>
      <c r="AW94">
        <v>0</v>
      </c>
      <c r="AX94">
        <v>0</v>
      </c>
      <c r="AY94">
        <v>0</v>
      </c>
      <c r="BA94">
        <v>14.65</v>
      </c>
      <c r="BB94">
        <v>10.29</v>
      </c>
      <c r="BC94">
        <v>34.880000000000003</v>
      </c>
      <c r="BD94">
        <v>15.64</v>
      </c>
      <c r="BE94">
        <v>16.82</v>
      </c>
      <c r="BF94">
        <v>27.99</v>
      </c>
      <c r="BG94">
        <v>12.56</v>
      </c>
      <c r="BH94">
        <v>10.050000000000001</v>
      </c>
    </row>
    <row r="95" spans="1:60" x14ac:dyDescent="0.3">
      <c r="A95" s="40" t="s">
        <v>98</v>
      </c>
      <c r="B95" s="43" t="s">
        <v>84</v>
      </c>
      <c r="C95" s="1">
        <v>94</v>
      </c>
      <c r="D95" s="29" t="s">
        <v>23</v>
      </c>
      <c r="E95" s="29" t="s">
        <v>23</v>
      </c>
      <c r="F95" s="29" t="s">
        <v>11</v>
      </c>
      <c r="G95" s="30">
        <v>85</v>
      </c>
      <c r="H95" s="30">
        <v>95</v>
      </c>
      <c r="I95" s="30">
        <v>100</v>
      </c>
      <c r="J95" s="30">
        <v>90</v>
      </c>
      <c r="K95" s="31">
        <f t="shared" si="4"/>
        <v>95</v>
      </c>
      <c r="L95" s="32">
        <f t="shared" si="3"/>
        <v>-5.5555555555555552E-2</v>
      </c>
      <c r="M95" s="32"/>
      <c r="N95" s="30">
        <v>0</v>
      </c>
      <c r="O95" s="30">
        <v>5</v>
      </c>
      <c r="P95" s="30">
        <v>0</v>
      </c>
      <c r="Q95" s="30">
        <v>25</v>
      </c>
      <c r="R95" s="30">
        <v>0</v>
      </c>
      <c r="T95">
        <v>-0.13</v>
      </c>
      <c r="U95">
        <v>-0.14000000000000001</v>
      </c>
      <c r="V95">
        <v>-0.17</v>
      </c>
      <c r="W95">
        <v>-0.2</v>
      </c>
      <c r="X95">
        <v>-0.05</v>
      </c>
      <c r="Y95">
        <v>-0.08</v>
      </c>
      <c r="Z95" t="s">
        <v>14</v>
      </c>
      <c r="AA95">
        <v>-0.16</v>
      </c>
      <c r="AC95">
        <v>0.3</v>
      </c>
      <c r="AD95">
        <v>0.37</v>
      </c>
      <c r="AE95">
        <v>0.31</v>
      </c>
      <c r="AF95">
        <v>0.27</v>
      </c>
      <c r="AG95">
        <v>0.36</v>
      </c>
      <c r="AH95">
        <v>0.27</v>
      </c>
      <c r="AI95" t="s">
        <v>14</v>
      </c>
      <c r="AJ95">
        <v>0.32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t="s">
        <v>14</v>
      </c>
      <c r="AY95">
        <v>0</v>
      </c>
      <c r="BA95">
        <v>22.4</v>
      </c>
      <c r="BB95">
        <v>13.48</v>
      </c>
      <c r="BC95">
        <v>21.42</v>
      </c>
      <c r="BD95">
        <v>23.3</v>
      </c>
      <c r="BE95">
        <v>21.28</v>
      </c>
      <c r="BF95">
        <v>0</v>
      </c>
      <c r="BG95" t="s">
        <v>14</v>
      </c>
      <c r="BH95">
        <v>0</v>
      </c>
    </row>
    <row r="96" spans="1:60" x14ac:dyDescent="0.3">
      <c r="A96" s="40" t="s">
        <v>98</v>
      </c>
      <c r="B96" s="43" t="s">
        <v>85</v>
      </c>
      <c r="C96" s="1">
        <v>95</v>
      </c>
      <c r="D96" s="29" t="s">
        <v>23</v>
      </c>
      <c r="E96" s="29" t="s">
        <v>23</v>
      </c>
      <c r="F96" s="29" t="s">
        <v>11</v>
      </c>
      <c r="G96" s="30">
        <v>100</v>
      </c>
      <c r="H96" s="30">
        <v>95</v>
      </c>
      <c r="I96" s="30">
        <v>100</v>
      </c>
      <c r="J96" s="30">
        <v>100</v>
      </c>
      <c r="K96" s="31">
        <f t="shared" si="4"/>
        <v>98.333333333333329</v>
      </c>
      <c r="L96" s="32">
        <f t="shared" si="3"/>
        <v>8.403361344537839E-3</v>
      </c>
      <c r="M96" s="32"/>
      <c r="N96" s="30">
        <v>0</v>
      </c>
      <c r="O96" s="30">
        <v>0</v>
      </c>
      <c r="P96" s="30">
        <v>5</v>
      </c>
      <c r="Q96" s="30">
        <v>0</v>
      </c>
      <c r="R96" s="30">
        <v>0.02</v>
      </c>
      <c r="T96">
        <v>-0.25</v>
      </c>
      <c r="U96">
        <v>-0.24</v>
      </c>
      <c r="V96">
        <v>-0.27</v>
      </c>
      <c r="W96">
        <v>-0.26</v>
      </c>
      <c r="X96" t="s">
        <v>14</v>
      </c>
      <c r="Y96">
        <v>-0.14000000000000001</v>
      </c>
      <c r="Z96" t="s">
        <v>14</v>
      </c>
      <c r="AA96" t="s">
        <v>14</v>
      </c>
      <c r="AC96">
        <v>0.55000000000000004</v>
      </c>
      <c r="AD96">
        <v>0.61</v>
      </c>
      <c r="AE96">
        <v>0.56999999999999995</v>
      </c>
      <c r="AF96">
        <v>0.6</v>
      </c>
      <c r="AG96" t="s">
        <v>14</v>
      </c>
      <c r="AH96">
        <v>0.56999999999999995</v>
      </c>
      <c r="AI96" t="s">
        <v>14</v>
      </c>
      <c r="AJ96" t="s">
        <v>14</v>
      </c>
      <c r="AR96" t="s">
        <v>14</v>
      </c>
      <c r="AS96">
        <v>0.64</v>
      </c>
      <c r="AT96">
        <v>0.55000000000000004</v>
      </c>
      <c r="AU96">
        <v>0</v>
      </c>
      <c r="AV96" t="s">
        <v>14</v>
      </c>
      <c r="AW96">
        <v>0</v>
      </c>
      <c r="AX96" t="s">
        <v>14</v>
      </c>
      <c r="AY96" t="s">
        <v>14</v>
      </c>
      <c r="BA96" t="s">
        <v>14</v>
      </c>
      <c r="BB96">
        <v>25.47</v>
      </c>
      <c r="BC96">
        <v>41.11</v>
      </c>
      <c r="BD96">
        <v>30.58</v>
      </c>
      <c r="BE96" t="s">
        <v>14</v>
      </c>
      <c r="BF96">
        <v>0</v>
      </c>
      <c r="BG96" t="s">
        <v>14</v>
      </c>
    </row>
    <row r="97" spans="1:60" x14ac:dyDescent="0.3">
      <c r="A97" s="40" t="s">
        <v>99</v>
      </c>
      <c r="B97" t="s">
        <v>79</v>
      </c>
      <c r="C97" s="1">
        <v>96</v>
      </c>
      <c r="D97" s="29" t="s">
        <v>23</v>
      </c>
      <c r="E97" s="29" t="s">
        <v>23</v>
      </c>
      <c r="F97" s="29" t="s">
        <v>11</v>
      </c>
      <c r="G97" s="30">
        <v>90</v>
      </c>
      <c r="H97" s="30">
        <v>95</v>
      </c>
      <c r="I97" s="30">
        <v>90</v>
      </c>
      <c r="J97" s="30">
        <v>95</v>
      </c>
      <c r="K97" s="31">
        <f t="shared" si="4"/>
        <v>93.333333333333329</v>
      </c>
      <c r="L97" s="32">
        <f t="shared" si="3"/>
        <v>-1.8181818181818157E-2</v>
      </c>
      <c r="M97" s="32"/>
      <c r="N97" s="30">
        <v>0</v>
      </c>
      <c r="O97" s="30" t="s">
        <v>14</v>
      </c>
      <c r="P97" s="30" t="s">
        <v>14</v>
      </c>
      <c r="Q97" s="30" t="s">
        <v>14</v>
      </c>
      <c r="R97" s="30" t="s">
        <v>14</v>
      </c>
      <c r="T97">
        <v>-0.08</v>
      </c>
      <c r="U97">
        <v>-0.14000000000000001</v>
      </c>
      <c r="V97">
        <v>-0.19</v>
      </c>
      <c r="W97">
        <v>-0.21</v>
      </c>
      <c r="X97">
        <v>0.1</v>
      </c>
      <c r="Y97">
        <v>-0.12</v>
      </c>
      <c r="Z97">
        <v>1.08</v>
      </c>
      <c r="AA97">
        <v>-0.14000000000000001</v>
      </c>
      <c r="AC97">
        <v>0.17</v>
      </c>
      <c r="AD97">
        <v>0.17</v>
      </c>
      <c r="AE97">
        <v>0.23</v>
      </c>
      <c r="AF97">
        <v>0.24</v>
      </c>
      <c r="AG97">
        <v>0.37</v>
      </c>
      <c r="AH97">
        <v>0.18</v>
      </c>
      <c r="AI97">
        <v>0.25</v>
      </c>
      <c r="AJ97">
        <v>0.23</v>
      </c>
      <c r="AR97">
        <v>1.63</v>
      </c>
      <c r="AS97">
        <v>0.18</v>
      </c>
      <c r="AT97">
        <v>1.57</v>
      </c>
      <c r="AU97">
        <v>1.83</v>
      </c>
      <c r="AV97">
        <v>0</v>
      </c>
      <c r="AW97">
        <v>0</v>
      </c>
      <c r="AX97">
        <v>79.63</v>
      </c>
      <c r="AY97">
        <v>0</v>
      </c>
      <c r="BA97">
        <v>19.54</v>
      </c>
      <c r="BB97">
        <v>44</v>
      </c>
      <c r="BC97">
        <v>31.64</v>
      </c>
      <c r="BD97">
        <v>25.06</v>
      </c>
      <c r="BE97">
        <v>27.14</v>
      </c>
      <c r="BF97">
        <v>55.13</v>
      </c>
      <c r="BG97">
        <v>88.07</v>
      </c>
      <c r="BH97">
        <v>0</v>
      </c>
    </row>
    <row r="98" spans="1:60" x14ac:dyDescent="0.3">
      <c r="A98" s="40" t="s">
        <v>99</v>
      </c>
      <c r="B98" t="s">
        <v>80</v>
      </c>
      <c r="C98" s="1">
        <v>97</v>
      </c>
      <c r="D98" s="29" t="s">
        <v>23</v>
      </c>
      <c r="E98" s="29" t="s">
        <v>23</v>
      </c>
      <c r="F98" s="29" t="s">
        <v>11</v>
      </c>
      <c r="G98" s="30">
        <v>65</v>
      </c>
      <c r="H98" s="30">
        <v>100</v>
      </c>
      <c r="I98" s="30">
        <v>95</v>
      </c>
      <c r="J98" s="30">
        <v>100</v>
      </c>
      <c r="K98" s="31">
        <f t="shared" si="4"/>
        <v>98.333333333333329</v>
      </c>
      <c r="L98" s="32">
        <f t="shared" si="3"/>
        <v>-0.20408163265306123</v>
      </c>
      <c r="M98" s="32"/>
      <c r="N98" s="30">
        <v>0</v>
      </c>
      <c r="O98" s="30" t="s">
        <v>14</v>
      </c>
      <c r="P98" s="30" t="s">
        <v>14</v>
      </c>
      <c r="Q98" s="30" t="s">
        <v>14</v>
      </c>
      <c r="R98" s="30" t="s">
        <v>14</v>
      </c>
      <c r="T98">
        <v>0.05</v>
      </c>
      <c r="U98">
        <v>-0.06</v>
      </c>
      <c r="V98">
        <v>-0.05</v>
      </c>
      <c r="W98">
        <v>-0.1</v>
      </c>
      <c r="X98">
        <v>0.12</v>
      </c>
      <c r="Y98" t="s">
        <v>14</v>
      </c>
      <c r="Z98">
        <v>0.12</v>
      </c>
      <c r="AA98" t="s">
        <v>14</v>
      </c>
      <c r="AC98">
        <v>0.16</v>
      </c>
      <c r="AD98">
        <v>0.28000000000000003</v>
      </c>
      <c r="AE98">
        <v>0.24</v>
      </c>
      <c r="AF98">
        <v>0.27</v>
      </c>
      <c r="AG98">
        <v>0.22</v>
      </c>
      <c r="AH98" t="s">
        <v>14</v>
      </c>
      <c r="AI98">
        <v>0.41</v>
      </c>
      <c r="AJ98" t="s">
        <v>14</v>
      </c>
      <c r="AR98">
        <v>0</v>
      </c>
      <c r="AS98">
        <v>0</v>
      </c>
      <c r="AT98">
        <v>0</v>
      </c>
      <c r="AU98">
        <v>1.91</v>
      </c>
      <c r="AV98">
        <v>0</v>
      </c>
      <c r="AW98" t="s">
        <v>14</v>
      </c>
      <c r="AX98">
        <v>0</v>
      </c>
      <c r="AY98" t="s">
        <v>14</v>
      </c>
      <c r="BA98">
        <v>29.93</v>
      </c>
      <c r="BB98">
        <v>13.5</v>
      </c>
      <c r="BC98">
        <v>27.34</v>
      </c>
      <c r="BD98">
        <v>18.87</v>
      </c>
      <c r="BE98">
        <v>36.28</v>
      </c>
      <c r="BG98">
        <v>25.71</v>
      </c>
    </row>
    <row r="99" spans="1:60" x14ac:dyDescent="0.3">
      <c r="A99" s="40" t="s">
        <v>99</v>
      </c>
      <c r="B99" t="s">
        <v>81</v>
      </c>
      <c r="C99" s="1">
        <v>98</v>
      </c>
      <c r="D99" s="29" t="s">
        <v>23</v>
      </c>
      <c r="E99" s="29" t="s">
        <v>23</v>
      </c>
      <c r="F99" s="29" t="s">
        <v>11</v>
      </c>
      <c r="G99" s="30">
        <v>50</v>
      </c>
      <c r="H99" s="30">
        <v>35</v>
      </c>
      <c r="I99" s="30">
        <v>25</v>
      </c>
      <c r="J99" s="30">
        <v>35</v>
      </c>
      <c r="K99" s="31">
        <f t="shared" si="4"/>
        <v>31.666666666666668</v>
      </c>
      <c r="L99" s="32">
        <f t="shared" si="3"/>
        <v>0.22448979591836732</v>
      </c>
      <c r="M99" s="32"/>
      <c r="N99" s="30">
        <v>0</v>
      </c>
      <c r="O99" s="30" t="s">
        <v>14</v>
      </c>
      <c r="P99" s="30" t="s">
        <v>14</v>
      </c>
      <c r="Q99" s="30" t="s">
        <v>14</v>
      </c>
      <c r="R99" s="30" t="s">
        <v>14</v>
      </c>
      <c r="T99">
        <v>-0.13</v>
      </c>
      <c r="U99">
        <v>-0.09</v>
      </c>
      <c r="V99">
        <v>-0.15</v>
      </c>
      <c r="W99">
        <v>-0.2</v>
      </c>
      <c r="X99">
        <v>-0.17</v>
      </c>
      <c r="Y99">
        <v>-0.09</v>
      </c>
      <c r="Z99">
        <v>-0.09</v>
      </c>
      <c r="AA99">
        <v>-0.13</v>
      </c>
      <c r="AC99">
        <v>0.26</v>
      </c>
      <c r="AD99">
        <v>0.2</v>
      </c>
      <c r="AE99">
        <v>0.37</v>
      </c>
      <c r="AF99">
        <v>0.37</v>
      </c>
      <c r="AG99">
        <v>0.25</v>
      </c>
      <c r="AH99">
        <v>0.25</v>
      </c>
      <c r="AI99">
        <v>0.33</v>
      </c>
      <c r="AJ99">
        <v>0.23</v>
      </c>
      <c r="AR99">
        <v>0</v>
      </c>
      <c r="AS99">
        <v>11.42</v>
      </c>
      <c r="AT99">
        <v>25.25</v>
      </c>
      <c r="AU99">
        <v>12.89</v>
      </c>
      <c r="AV99">
        <v>0</v>
      </c>
      <c r="AW99">
        <v>0</v>
      </c>
      <c r="AX99">
        <v>1.57</v>
      </c>
      <c r="AY99">
        <v>2.08</v>
      </c>
      <c r="BA99">
        <v>11.94</v>
      </c>
      <c r="BB99">
        <v>62.87</v>
      </c>
      <c r="BC99">
        <v>42.7</v>
      </c>
      <c r="BD99">
        <v>17.75</v>
      </c>
      <c r="BE99">
        <v>27.3</v>
      </c>
      <c r="BF99">
        <v>24.01</v>
      </c>
      <c r="BG99">
        <v>17.79</v>
      </c>
      <c r="BH99">
        <v>12.85</v>
      </c>
    </row>
    <row r="100" spans="1:60" x14ac:dyDescent="0.3">
      <c r="A100" s="40" t="s">
        <v>99</v>
      </c>
      <c r="B100" t="s">
        <v>85</v>
      </c>
      <c r="C100" s="1">
        <v>99</v>
      </c>
      <c r="D100" s="29" t="s">
        <v>23</v>
      </c>
      <c r="E100" s="29" t="s">
        <v>23</v>
      </c>
      <c r="F100" s="29" t="s">
        <v>11</v>
      </c>
      <c r="G100" s="30">
        <v>55</v>
      </c>
      <c r="H100" s="30">
        <v>35</v>
      </c>
      <c r="I100" s="30">
        <v>45</v>
      </c>
      <c r="J100" s="30">
        <v>55</v>
      </c>
      <c r="K100" s="31">
        <f t="shared" si="4"/>
        <v>45</v>
      </c>
      <c r="L100" s="32">
        <f t="shared" si="3"/>
        <v>0.1</v>
      </c>
      <c r="M100" s="32"/>
      <c r="N100" s="30">
        <v>0</v>
      </c>
      <c r="O100" s="30" t="s">
        <v>14</v>
      </c>
      <c r="P100" s="30" t="s">
        <v>14</v>
      </c>
      <c r="Q100" s="30" t="s">
        <v>14</v>
      </c>
      <c r="R100" s="30" t="s">
        <v>14</v>
      </c>
      <c r="T100">
        <v>-0.24</v>
      </c>
      <c r="U100">
        <v>0.8</v>
      </c>
      <c r="V100">
        <v>-0.27</v>
      </c>
      <c r="W100">
        <v>-0.25</v>
      </c>
      <c r="X100">
        <v>-0.21</v>
      </c>
      <c r="Y100">
        <v>-0.28000000000000003</v>
      </c>
      <c r="Z100">
        <v>-0.2</v>
      </c>
      <c r="AA100">
        <v>-0.23</v>
      </c>
      <c r="AC100">
        <v>0.3</v>
      </c>
      <c r="AD100">
        <v>0.06</v>
      </c>
      <c r="AE100">
        <v>0.31</v>
      </c>
      <c r="AF100">
        <v>0.31</v>
      </c>
      <c r="AG100">
        <v>0.32</v>
      </c>
      <c r="AH100">
        <v>0.36</v>
      </c>
      <c r="AI100">
        <v>0.25</v>
      </c>
      <c r="AJ100">
        <v>0.33</v>
      </c>
      <c r="AR100">
        <v>4.41</v>
      </c>
      <c r="AS100">
        <v>2.33</v>
      </c>
      <c r="AT100">
        <v>0</v>
      </c>
      <c r="AU100">
        <v>1.03</v>
      </c>
      <c r="AV100">
        <v>0</v>
      </c>
      <c r="AW100">
        <v>0.18</v>
      </c>
      <c r="AX100">
        <v>1.77</v>
      </c>
      <c r="AY100">
        <v>5.53</v>
      </c>
      <c r="BA100">
        <v>7.54</v>
      </c>
      <c r="BB100">
        <v>81.430000000000007</v>
      </c>
      <c r="BC100">
        <v>42.18</v>
      </c>
      <c r="BD100">
        <v>11.13</v>
      </c>
      <c r="BE100">
        <v>19.329999999999998</v>
      </c>
      <c r="BF100">
        <v>21.76</v>
      </c>
      <c r="BG100">
        <v>13.15</v>
      </c>
      <c r="BH100">
        <v>2.29</v>
      </c>
    </row>
    <row r="101" spans="1:60" x14ac:dyDescent="0.3">
      <c r="A101" s="40" t="s">
        <v>99</v>
      </c>
      <c r="B101" t="s">
        <v>88</v>
      </c>
      <c r="C101" s="1">
        <v>100</v>
      </c>
      <c r="D101" s="29" t="s">
        <v>23</v>
      </c>
      <c r="E101" s="29" t="s">
        <v>23</v>
      </c>
      <c r="F101" s="29" t="s">
        <v>11</v>
      </c>
      <c r="G101" s="30">
        <v>95</v>
      </c>
      <c r="H101" s="30">
        <v>45</v>
      </c>
      <c r="I101" s="30">
        <v>25</v>
      </c>
      <c r="J101" s="30">
        <v>40</v>
      </c>
      <c r="K101" s="31">
        <f t="shared" si="4"/>
        <v>36.666666666666664</v>
      </c>
      <c r="L101" s="32">
        <f t="shared" si="3"/>
        <v>0.44303797468354433</v>
      </c>
      <c r="M101" s="32"/>
      <c r="N101" s="30">
        <v>1</v>
      </c>
      <c r="O101" s="30" t="s">
        <v>14</v>
      </c>
      <c r="P101" s="30" t="s">
        <v>14</v>
      </c>
      <c r="Q101" s="30" t="s">
        <v>14</v>
      </c>
      <c r="R101" s="30" t="s">
        <v>14</v>
      </c>
      <c r="T101">
        <v>-0.11</v>
      </c>
      <c r="U101">
        <v>-0.15</v>
      </c>
      <c r="V101">
        <v>-0.19</v>
      </c>
      <c r="W101">
        <v>-0.21</v>
      </c>
      <c r="X101">
        <v>-0.19</v>
      </c>
      <c r="Y101">
        <v>-0.22</v>
      </c>
      <c r="Z101">
        <v>-0.21</v>
      </c>
      <c r="AA101">
        <v>-0.22</v>
      </c>
      <c r="AC101">
        <v>0.28999999999999998</v>
      </c>
      <c r="AD101">
        <v>0.28999999999999998</v>
      </c>
      <c r="AE101">
        <v>0.41</v>
      </c>
      <c r="AF101">
        <v>0.46</v>
      </c>
      <c r="AG101">
        <v>0.28000000000000003</v>
      </c>
      <c r="AH101">
        <v>0.35</v>
      </c>
      <c r="AI101">
        <v>0.26</v>
      </c>
      <c r="AJ101">
        <v>0.34</v>
      </c>
      <c r="AR101">
        <v>0</v>
      </c>
      <c r="AS101">
        <v>5.94</v>
      </c>
      <c r="AT101">
        <v>3.57</v>
      </c>
      <c r="AU101">
        <v>0</v>
      </c>
      <c r="AV101">
        <v>0</v>
      </c>
      <c r="AW101">
        <v>0</v>
      </c>
      <c r="AX101">
        <v>0</v>
      </c>
      <c r="AY101">
        <v>2.86</v>
      </c>
      <c r="BA101">
        <v>17.53</v>
      </c>
      <c r="BB101">
        <v>22.83</v>
      </c>
      <c r="BC101">
        <v>1.59</v>
      </c>
      <c r="BD101">
        <v>6.25</v>
      </c>
      <c r="BE101">
        <v>1.32</v>
      </c>
      <c r="BF101">
        <v>43.14</v>
      </c>
      <c r="BG101">
        <v>26.55</v>
      </c>
      <c r="BH101">
        <v>7.67</v>
      </c>
    </row>
    <row r="102" spans="1:60" s="35" customFormat="1" ht="16.2" thickBot="1" x14ac:dyDescent="0.35">
      <c r="A102" s="41" t="s">
        <v>100</v>
      </c>
      <c r="B102" s="35" t="s">
        <v>78</v>
      </c>
      <c r="C102" s="2">
        <v>101</v>
      </c>
      <c r="D102" s="19" t="s">
        <v>23</v>
      </c>
      <c r="E102" s="19" t="s">
        <v>23</v>
      </c>
      <c r="F102" s="19" t="s">
        <v>11</v>
      </c>
      <c r="G102" s="36">
        <v>50</v>
      </c>
      <c r="H102" s="36">
        <v>30</v>
      </c>
      <c r="I102" s="36">
        <v>70</v>
      </c>
      <c r="J102" s="36">
        <v>50</v>
      </c>
      <c r="K102" s="37">
        <f t="shared" si="4"/>
        <v>50</v>
      </c>
      <c r="L102" s="38">
        <f t="shared" si="3"/>
        <v>0</v>
      </c>
      <c r="M102" s="38"/>
      <c r="N102" s="36">
        <v>0</v>
      </c>
      <c r="O102" s="36">
        <v>60</v>
      </c>
      <c r="P102" s="36">
        <v>65</v>
      </c>
      <c r="Q102" s="36">
        <v>90</v>
      </c>
      <c r="R102" s="36">
        <v>0.43</v>
      </c>
      <c r="T102" s="35">
        <v>-0.13</v>
      </c>
      <c r="U102" s="35">
        <v>-0.17</v>
      </c>
      <c r="V102" s="35">
        <v>-0.13</v>
      </c>
      <c r="W102" s="35">
        <v>-0.08</v>
      </c>
      <c r="X102" s="35">
        <v>-0.11</v>
      </c>
      <c r="Y102" s="35">
        <v>-0.12</v>
      </c>
      <c r="Z102" s="35">
        <v>-0.04</v>
      </c>
      <c r="AA102" s="35">
        <v>-0.05</v>
      </c>
      <c r="AC102" s="35">
        <v>0.36</v>
      </c>
      <c r="AD102" s="35">
        <v>0.34</v>
      </c>
      <c r="AE102" s="35">
        <v>0.31</v>
      </c>
      <c r="AF102" s="35">
        <v>0.24</v>
      </c>
      <c r="AG102" s="35">
        <v>0.33</v>
      </c>
      <c r="AH102" s="35">
        <v>0.43</v>
      </c>
      <c r="AI102" s="35">
        <v>0.28999999999999998</v>
      </c>
      <c r="AJ102" s="35">
        <v>0.28999999999999998</v>
      </c>
      <c r="AR102" s="35">
        <v>0</v>
      </c>
      <c r="AS102" s="35">
        <v>1.1100000000000001</v>
      </c>
      <c r="AT102" s="35">
        <v>0</v>
      </c>
      <c r="AU102" s="35">
        <v>0</v>
      </c>
      <c r="AV102" s="35">
        <v>0</v>
      </c>
      <c r="AW102" s="35">
        <v>0.41</v>
      </c>
      <c r="AX102" s="35">
        <v>0</v>
      </c>
      <c r="AY102" s="35">
        <v>0</v>
      </c>
      <c r="BA102" s="35">
        <v>1.23</v>
      </c>
      <c r="BB102" s="35">
        <v>0</v>
      </c>
      <c r="BC102" s="35">
        <v>25.61</v>
      </c>
      <c r="BD102" s="35">
        <v>18.75</v>
      </c>
      <c r="BE102" s="35">
        <v>18.420000000000002</v>
      </c>
      <c r="BF102" s="35">
        <v>2.5099999999999998</v>
      </c>
      <c r="BG102" s="35">
        <v>0</v>
      </c>
      <c r="BH102" s="35">
        <v>6.26</v>
      </c>
    </row>
    <row r="103" spans="1:60" ht="16.2" thickTop="1" x14ac:dyDescent="0.3">
      <c r="A103" s="40" t="s">
        <v>98</v>
      </c>
      <c r="B103" t="s">
        <v>78</v>
      </c>
      <c r="C103" s="3">
        <v>102</v>
      </c>
      <c r="D103" s="29" t="s">
        <v>24</v>
      </c>
      <c r="E103" s="29" t="s">
        <v>24</v>
      </c>
      <c r="F103" s="29" t="s">
        <v>11</v>
      </c>
      <c r="G103" s="30">
        <v>70</v>
      </c>
      <c r="H103" s="30">
        <v>70</v>
      </c>
      <c r="I103" s="30">
        <v>65</v>
      </c>
      <c r="J103" s="30">
        <v>45</v>
      </c>
      <c r="K103" s="31">
        <f t="shared" si="4"/>
        <v>60</v>
      </c>
      <c r="L103" s="32">
        <f t="shared" si="3"/>
        <v>7.6923076923076927E-2</v>
      </c>
      <c r="M103" s="32"/>
      <c r="N103" s="30">
        <v>0</v>
      </c>
      <c r="O103" s="30">
        <v>35</v>
      </c>
      <c r="P103" s="30">
        <v>40</v>
      </c>
      <c r="Q103" s="30">
        <v>80</v>
      </c>
      <c r="R103" s="30">
        <v>0.12</v>
      </c>
      <c r="T103">
        <v>-0.05</v>
      </c>
      <c r="U103">
        <v>-0.18</v>
      </c>
      <c r="V103">
        <v>-0.24</v>
      </c>
      <c r="W103">
        <v>-0.27</v>
      </c>
      <c r="X103">
        <v>-0.08</v>
      </c>
      <c r="Y103">
        <v>-0.16</v>
      </c>
      <c r="Z103">
        <v>-0.21</v>
      </c>
      <c r="AA103">
        <v>-0.25</v>
      </c>
      <c r="AC103">
        <v>0.35</v>
      </c>
      <c r="AD103">
        <v>0.33</v>
      </c>
      <c r="AE103">
        <v>0.6</v>
      </c>
      <c r="AF103">
        <v>0.48</v>
      </c>
      <c r="AG103">
        <v>0.33</v>
      </c>
      <c r="AH103">
        <v>0.3</v>
      </c>
      <c r="AI103">
        <v>0.37</v>
      </c>
      <c r="AJ103">
        <v>0.34</v>
      </c>
      <c r="AR103">
        <v>0</v>
      </c>
      <c r="AS103">
        <v>0</v>
      </c>
      <c r="AT103">
        <v>0</v>
      </c>
      <c r="AU103">
        <v>1.75</v>
      </c>
      <c r="AV103">
        <v>4.6500000000000004</v>
      </c>
      <c r="AW103">
        <v>0</v>
      </c>
      <c r="AX103">
        <v>0</v>
      </c>
      <c r="AY103">
        <v>0.46</v>
      </c>
      <c r="BA103">
        <v>9.77</v>
      </c>
      <c r="BB103">
        <v>17.329999999999998</v>
      </c>
      <c r="BC103">
        <v>23.97</v>
      </c>
      <c r="BD103">
        <v>17.329999999999998</v>
      </c>
      <c r="BE103">
        <v>3.95</v>
      </c>
      <c r="BF103">
        <v>10.78</v>
      </c>
      <c r="BG103">
        <v>0</v>
      </c>
      <c r="BH103">
        <v>33.6</v>
      </c>
    </row>
    <row r="104" spans="1:60" ht="16.2" customHeight="1" x14ac:dyDescent="0.3">
      <c r="A104" s="40" t="s">
        <v>98</v>
      </c>
      <c r="B104" t="s">
        <v>80</v>
      </c>
      <c r="C104" s="3">
        <v>103</v>
      </c>
      <c r="D104" s="29" t="s">
        <v>24</v>
      </c>
      <c r="E104" s="29" t="s">
        <v>24</v>
      </c>
      <c r="F104" s="29" t="s">
        <v>11</v>
      </c>
      <c r="G104" s="30">
        <v>85</v>
      </c>
      <c r="H104" s="30">
        <v>50</v>
      </c>
      <c r="I104" s="30">
        <v>65</v>
      </c>
      <c r="J104" s="30">
        <v>65</v>
      </c>
      <c r="K104" s="31">
        <f t="shared" si="4"/>
        <v>60</v>
      </c>
      <c r="L104" s="32">
        <f t="shared" si="3"/>
        <v>0.17241379310344829</v>
      </c>
      <c r="M104" s="32"/>
      <c r="N104" s="30">
        <v>0</v>
      </c>
      <c r="O104" s="30">
        <v>40</v>
      </c>
      <c r="P104" s="30">
        <v>25</v>
      </c>
      <c r="Q104" s="30">
        <v>15</v>
      </c>
      <c r="R104" s="30">
        <v>-0.13</v>
      </c>
      <c r="T104">
        <v>-0.03</v>
      </c>
      <c r="U104">
        <v>-0.15</v>
      </c>
      <c r="V104">
        <v>-0.2</v>
      </c>
      <c r="W104">
        <v>-0.27</v>
      </c>
      <c r="X104">
        <v>-0.13</v>
      </c>
      <c r="Y104">
        <v>-0.09</v>
      </c>
      <c r="Z104">
        <v>-0.05</v>
      </c>
      <c r="AA104">
        <v>-0.19</v>
      </c>
      <c r="AC104">
        <v>0.33</v>
      </c>
      <c r="AD104">
        <v>0.24</v>
      </c>
      <c r="AE104">
        <v>0.32</v>
      </c>
      <c r="AF104">
        <v>0.37</v>
      </c>
      <c r="AG104">
        <v>0.3</v>
      </c>
      <c r="AH104">
        <v>0.28999999999999998</v>
      </c>
      <c r="AI104">
        <v>0.41</v>
      </c>
      <c r="AJ104">
        <v>0.39</v>
      </c>
      <c r="AR104">
        <v>0</v>
      </c>
      <c r="AS104">
        <v>0</v>
      </c>
      <c r="AT104">
        <v>0</v>
      </c>
      <c r="AU104">
        <v>0</v>
      </c>
      <c r="AV104">
        <v>0.15</v>
      </c>
      <c r="AW104">
        <v>0</v>
      </c>
      <c r="AX104">
        <v>0</v>
      </c>
      <c r="AY104">
        <v>0</v>
      </c>
      <c r="BA104">
        <v>2.52</v>
      </c>
      <c r="BB104">
        <v>20.91</v>
      </c>
      <c r="BC104">
        <v>16.55</v>
      </c>
      <c r="BD104">
        <v>19.46</v>
      </c>
      <c r="BE104">
        <v>18.36</v>
      </c>
      <c r="BF104">
        <v>14.79</v>
      </c>
      <c r="BG104">
        <v>13.76</v>
      </c>
      <c r="BH104">
        <v>5.79</v>
      </c>
    </row>
    <row r="105" spans="1:60" x14ac:dyDescent="0.3">
      <c r="A105" s="40" t="s">
        <v>98</v>
      </c>
      <c r="B105" t="s">
        <v>81</v>
      </c>
      <c r="C105" s="3">
        <v>104</v>
      </c>
      <c r="D105" s="29" t="s">
        <v>24</v>
      </c>
      <c r="E105" s="29" t="s">
        <v>24</v>
      </c>
      <c r="F105" s="29" t="s">
        <v>11</v>
      </c>
      <c r="G105" s="30">
        <v>65</v>
      </c>
      <c r="H105" s="30">
        <v>55</v>
      </c>
      <c r="I105" s="30">
        <v>40</v>
      </c>
      <c r="J105" s="30">
        <v>0</v>
      </c>
      <c r="K105" s="31">
        <f t="shared" si="4"/>
        <v>31.666666666666668</v>
      </c>
      <c r="L105" s="32">
        <f t="shared" si="3"/>
        <v>0.34482758620689646</v>
      </c>
      <c r="M105" s="32"/>
      <c r="N105" s="30">
        <v>1</v>
      </c>
      <c r="O105" s="30">
        <v>50</v>
      </c>
      <c r="P105" s="30">
        <v>50</v>
      </c>
      <c r="Q105" s="30">
        <v>80</v>
      </c>
      <c r="R105" s="30">
        <v>0.6</v>
      </c>
      <c r="T105">
        <v>-0.11</v>
      </c>
      <c r="U105">
        <v>-0.19</v>
      </c>
      <c r="V105">
        <v>-0.16</v>
      </c>
      <c r="W105" t="s">
        <v>14</v>
      </c>
      <c r="X105">
        <v>-0.14000000000000001</v>
      </c>
      <c r="Y105">
        <v>-0.21</v>
      </c>
      <c r="Z105">
        <v>-0.18</v>
      </c>
      <c r="AA105">
        <v>-0.23</v>
      </c>
      <c r="AC105">
        <v>0.32</v>
      </c>
      <c r="AD105">
        <v>0.37</v>
      </c>
      <c r="AE105">
        <v>0.4</v>
      </c>
      <c r="AF105" t="s">
        <v>14</v>
      </c>
      <c r="AG105">
        <v>0.24</v>
      </c>
      <c r="AH105">
        <v>0.33</v>
      </c>
      <c r="AI105">
        <v>0.28999999999999998</v>
      </c>
      <c r="AJ105">
        <v>0.34</v>
      </c>
      <c r="AR105">
        <v>0</v>
      </c>
      <c r="AS105">
        <v>0</v>
      </c>
      <c r="AT105">
        <v>0</v>
      </c>
      <c r="AU105" t="s">
        <v>14</v>
      </c>
      <c r="AV105">
        <v>0</v>
      </c>
      <c r="AW105">
        <v>0</v>
      </c>
      <c r="AX105">
        <v>0</v>
      </c>
      <c r="AY105" t="s">
        <v>14</v>
      </c>
      <c r="BA105">
        <v>12</v>
      </c>
      <c r="BB105">
        <v>20.28</v>
      </c>
      <c r="BC105">
        <v>35.15</v>
      </c>
      <c r="BD105" t="s">
        <v>14</v>
      </c>
      <c r="BE105">
        <v>20.94</v>
      </c>
      <c r="BF105">
        <v>31.11</v>
      </c>
      <c r="BG105">
        <v>0</v>
      </c>
      <c r="BH105" t="s">
        <v>14</v>
      </c>
    </row>
    <row r="106" spans="1:60" ht="16.8" customHeight="1" x14ac:dyDescent="0.3">
      <c r="A106" s="40" t="s">
        <v>98</v>
      </c>
      <c r="B106" t="s">
        <v>83</v>
      </c>
      <c r="C106" s="3">
        <v>105</v>
      </c>
      <c r="D106" s="29" t="s">
        <v>24</v>
      </c>
      <c r="E106" s="29" t="s">
        <v>24</v>
      </c>
      <c r="F106" s="29" t="s">
        <v>11</v>
      </c>
      <c r="G106" s="30">
        <v>70</v>
      </c>
      <c r="H106" s="30">
        <v>65</v>
      </c>
      <c r="I106" s="30">
        <v>80</v>
      </c>
      <c r="J106" s="30">
        <v>60</v>
      </c>
      <c r="K106" s="31">
        <f t="shared" si="4"/>
        <v>68.333333333333329</v>
      </c>
      <c r="L106" s="32">
        <f t="shared" si="3"/>
        <v>1.2048192771084373E-2</v>
      </c>
      <c r="M106" s="32"/>
      <c r="N106" s="30">
        <v>0</v>
      </c>
      <c r="O106" s="30">
        <v>60</v>
      </c>
      <c r="P106" s="30">
        <v>75</v>
      </c>
      <c r="Q106" s="30">
        <v>70</v>
      </c>
      <c r="R106" s="30">
        <v>0.47</v>
      </c>
      <c r="T106">
        <v>-0.11</v>
      </c>
      <c r="U106">
        <v>-0.13</v>
      </c>
      <c r="V106">
        <v>-0.19</v>
      </c>
      <c r="W106">
        <v>-0.18</v>
      </c>
      <c r="X106">
        <v>-0.04</v>
      </c>
      <c r="Y106">
        <v>-0.09</v>
      </c>
      <c r="Z106">
        <v>-0.14000000000000001</v>
      </c>
      <c r="AA106">
        <v>-0.1</v>
      </c>
      <c r="AC106">
        <v>0.37</v>
      </c>
      <c r="AD106">
        <v>0.31</v>
      </c>
      <c r="AE106">
        <v>0.24</v>
      </c>
      <c r="AF106">
        <v>0.25</v>
      </c>
      <c r="AG106">
        <v>0.13</v>
      </c>
      <c r="AH106">
        <v>0.22</v>
      </c>
      <c r="AI106">
        <v>0.25</v>
      </c>
      <c r="AJ106">
        <v>0.24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A106">
        <v>23.66</v>
      </c>
      <c r="BB106">
        <v>30.8</v>
      </c>
      <c r="BC106">
        <v>0</v>
      </c>
      <c r="BD106">
        <v>17.14</v>
      </c>
      <c r="BE106">
        <v>10.29</v>
      </c>
      <c r="BF106">
        <v>12.3</v>
      </c>
      <c r="BG106">
        <v>28.38</v>
      </c>
      <c r="BH106">
        <v>19.3</v>
      </c>
    </row>
    <row r="107" spans="1:60" x14ac:dyDescent="0.3">
      <c r="A107" s="40" t="s">
        <v>98</v>
      </c>
      <c r="B107" t="s">
        <v>86</v>
      </c>
      <c r="C107" s="3">
        <v>106</v>
      </c>
      <c r="D107" s="29" t="s">
        <v>24</v>
      </c>
      <c r="E107" s="29" t="s">
        <v>24</v>
      </c>
      <c r="F107" s="29" t="s">
        <v>11</v>
      </c>
      <c r="G107" s="30">
        <v>80</v>
      </c>
      <c r="H107" s="30">
        <v>25</v>
      </c>
      <c r="I107" s="30">
        <v>35</v>
      </c>
      <c r="J107" s="30">
        <v>40</v>
      </c>
      <c r="K107" s="31">
        <f t="shared" si="4"/>
        <v>33.333333333333336</v>
      </c>
      <c r="L107" s="32">
        <f t="shared" si="3"/>
        <v>0.41176470588235287</v>
      </c>
      <c r="M107" s="32"/>
      <c r="N107" s="30">
        <v>1</v>
      </c>
      <c r="O107" s="30">
        <v>60</v>
      </c>
      <c r="P107" s="30">
        <v>30</v>
      </c>
      <c r="Q107" s="30">
        <v>35</v>
      </c>
      <c r="R107" s="30">
        <v>0.03</v>
      </c>
      <c r="T107">
        <v>-0.16</v>
      </c>
      <c r="U107">
        <v>-0.25</v>
      </c>
      <c r="V107">
        <v>-0.24</v>
      </c>
      <c r="W107">
        <v>-0.18</v>
      </c>
      <c r="X107">
        <v>-0.16</v>
      </c>
      <c r="Y107">
        <v>-0.15</v>
      </c>
      <c r="Z107">
        <v>-0.15</v>
      </c>
      <c r="AA107">
        <v>-0.19</v>
      </c>
      <c r="AC107">
        <v>0.32</v>
      </c>
      <c r="AD107">
        <v>0.37</v>
      </c>
      <c r="AE107">
        <v>0.56999999999999995</v>
      </c>
      <c r="AF107">
        <v>0.45</v>
      </c>
      <c r="AG107">
        <v>0.42</v>
      </c>
      <c r="AH107">
        <v>0.34</v>
      </c>
      <c r="AI107">
        <v>0.39</v>
      </c>
      <c r="AJ107">
        <v>0.38</v>
      </c>
      <c r="AR107">
        <v>0</v>
      </c>
      <c r="AS107">
        <v>5.78</v>
      </c>
      <c r="AT107">
        <v>0</v>
      </c>
      <c r="AU107">
        <v>0</v>
      </c>
      <c r="AV107">
        <v>0</v>
      </c>
      <c r="AW107">
        <v>0.63</v>
      </c>
      <c r="AX107">
        <v>0</v>
      </c>
      <c r="AY107">
        <v>0</v>
      </c>
      <c r="BA107">
        <v>12.7</v>
      </c>
      <c r="BB107">
        <v>15.57</v>
      </c>
      <c r="BC107">
        <v>9.84</v>
      </c>
      <c r="BD107">
        <v>9.01</v>
      </c>
      <c r="BE107">
        <v>29.73</v>
      </c>
      <c r="BF107">
        <v>7.09</v>
      </c>
      <c r="BG107">
        <v>26.91</v>
      </c>
      <c r="BH107">
        <v>27.81</v>
      </c>
    </row>
    <row r="108" spans="1:60" x14ac:dyDescent="0.3">
      <c r="A108" s="40" t="s">
        <v>98</v>
      </c>
      <c r="B108" t="s">
        <v>87</v>
      </c>
      <c r="C108" s="3">
        <v>107</v>
      </c>
      <c r="D108" s="29" t="s">
        <v>24</v>
      </c>
      <c r="E108" s="29" t="s">
        <v>24</v>
      </c>
      <c r="F108" s="29" t="s">
        <v>11</v>
      </c>
      <c r="G108" s="30">
        <v>65</v>
      </c>
      <c r="H108" s="30">
        <v>50</v>
      </c>
      <c r="I108" s="30">
        <v>55</v>
      </c>
      <c r="J108" s="30">
        <v>80</v>
      </c>
      <c r="K108" s="31">
        <f t="shared" si="4"/>
        <v>61.666666666666664</v>
      </c>
      <c r="L108" s="32">
        <f t="shared" si="3"/>
        <v>2.631578947368423E-2</v>
      </c>
      <c r="M108" s="32"/>
      <c r="N108" s="30">
        <v>0</v>
      </c>
      <c r="O108" s="30">
        <v>45</v>
      </c>
      <c r="P108" s="30">
        <v>60</v>
      </c>
      <c r="Q108" s="30">
        <v>70</v>
      </c>
      <c r="R108" s="30">
        <v>0.48</v>
      </c>
      <c r="T108">
        <v>-0.17</v>
      </c>
      <c r="U108">
        <v>-0.21</v>
      </c>
      <c r="V108">
        <v>-0.22</v>
      </c>
      <c r="W108">
        <v>-0.22</v>
      </c>
      <c r="X108">
        <v>-0.24</v>
      </c>
      <c r="Y108">
        <v>-0.18</v>
      </c>
      <c r="Z108">
        <v>-0.24</v>
      </c>
      <c r="AA108">
        <v>-0.19</v>
      </c>
      <c r="AC108">
        <v>0.34</v>
      </c>
      <c r="AD108">
        <v>0.35</v>
      </c>
      <c r="AE108">
        <v>0.35</v>
      </c>
      <c r="AF108">
        <v>0.33</v>
      </c>
      <c r="AG108">
        <v>0.38</v>
      </c>
      <c r="AH108">
        <v>0.36</v>
      </c>
      <c r="AI108">
        <v>0.33</v>
      </c>
      <c r="AJ108">
        <v>0.31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>
        <v>27.21</v>
      </c>
      <c r="BB108">
        <v>0</v>
      </c>
      <c r="BC108">
        <v>13.87</v>
      </c>
      <c r="BD108">
        <v>2.96</v>
      </c>
      <c r="BE108">
        <v>15.63</v>
      </c>
      <c r="BF108">
        <v>2.59</v>
      </c>
      <c r="BG108">
        <v>15.31</v>
      </c>
      <c r="BH108">
        <v>12.18</v>
      </c>
    </row>
    <row r="109" spans="1:60" x14ac:dyDescent="0.3">
      <c r="A109" s="40" t="s">
        <v>99</v>
      </c>
      <c r="B109" t="s">
        <v>77</v>
      </c>
      <c r="C109" s="3">
        <v>108</v>
      </c>
      <c r="D109" s="29" t="s">
        <v>24</v>
      </c>
      <c r="E109" s="29" t="s">
        <v>24</v>
      </c>
      <c r="F109" s="29" t="s">
        <v>11</v>
      </c>
      <c r="G109" s="30">
        <v>60</v>
      </c>
      <c r="H109" s="30">
        <v>40</v>
      </c>
      <c r="I109" s="30">
        <v>45</v>
      </c>
      <c r="J109" s="30">
        <v>65</v>
      </c>
      <c r="K109" s="31">
        <f t="shared" si="4"/>
        <v>50</v>
      </c>
      <c r="L109" s="32">
        <f t="shared" si="3"/>
        <v>9.0909090909090912E-2</v>
      </c>
      <c r="M109" s="32"/>
      <c r="N109" s="30">
        <v>0</v>
      </c>
      <c r="O109" s="30" t="s">
        <v>14</v>
      </c>
      <c r="P109" s="30" t="s">
        <v>14</v>
      </c>
      <c r="Q109" s="30" t="s">
        <v>14</v>
      </c>
      <c r="R109" s="30" t="s">
        <v>14</v>
      </c>
      <c r="T109">
        <v>-0.05</v>
      </c>
      <c r="U109">
        <v>-0.11</v>
      </c>
      <c r="V109">
        <v>-0.24</v>
      </c>
      <c r="W109">
        <v>-0.23</v>
      </c>
      <c r="X109">
        <v>-0.01</v>
      </c>
      <c r="Y109">
        <v>-0.2</v>
      </c>
      <c r="Z109">
        <v>-0.2</v>
      </c>
      <c r="AA109">
        <v>-0.19</v>
      </c>
      <c r="AC109">
        <v>0.33</v>
      </c>
      <c r="AD109">
        <v>0.14000000000000001</v>
      </c>
      <c r="AE109">
        <v>0.28999999999999998</v>
      </c>
      <c r="AF109">
        <v>0.32</v>
      </c>
      <c r="AG109">
        <v>0.19</v>
      </c>
      <c r="AH109">
        <v>0.26</v>
      </c>
      <c r="AI109">
        <v>0.24</v>
      </c>
      <c r="AJ109">
        <v>0.24</v>
      </c>
      <c r="AR109">
        <v>0</v>
      </c>
      <c r="AS109">
        <v>0.14000000000000001</v>
      </c>
      <c r="AT109">
        <v>0</v>
      </c>
      <c r="AU109">
        <v>3.53</v>
      </c>
      <c r="AV109">
        <v>0</v>
      </c>
      <c r="AW109">
        <v>4.3899999999999997</v>
      </c>
      <c r="AX109">
        <v>0</v>
      </c>
      <c r="AY109">
        <v>0</v>
      </c>
      <c r="BA109">
        <v>32.56</v>
      </c>
      <c r="BB109">
        <v>61.15</v>
      </c>
      <c r="BC109">
        <v>54.6</v>
      </c>
      <c r="BD109">
        <v>45.98</v>
      </c>
      <c r="BE109">
        <v>33.630000000000003</v>
      </c>
      <c r="BF109">
        <v>11.27</v>
      </c>
      <c r="BG109">
        <v>27.48</v>
      </c>
      <c r="BH109">
        <v>13.54</v>
      </c>
    </row>
    <row r="110" spans="1:60" x14ac:dyDescent="0.3">
      <c r="A110" s="40" t="s">
        <v>99</v>
      </c>
      <c r="B110" t="s">
        <v>82</v>
      </c>
      <c r="C110" s="3">
        <v>109</v>
      </c>
      <c r="D110" s="29" t="s">
        <v>24</v>
      </c>
      <c r="E110" s="29" t="s">
        <v>24</v>
      </c>
      <c r="F110" s="29" t="s">
        <v>11</v>
      </c>
      <c r="G110" s="30">
        <v>100</v>
      </c>
      <c r="H110" s="30">
        <v>100</v>
      </c>
      <c r="I110" s="30">
        <v>100</v>
      </c>
      <c r="J110" s="30">
        <v>100</v>
      </c>
      <c r="K110" s="31">
        <f t="shared" si="4"/>
        <v>100</v>
      </c>
      <c r="L110" s="32">
        <f t="shared" si="3"/>
        <v>0</v>
      </c>
      <c r="M110" s="32"/>
      <c r="N110" s="30">
        <v>0</v>
      </c>
      <c r="O110" s="30" t="s">
        <v>14</v>
      </c>
      <c r="P110" s="30" t="s">
        <v>14</v>
      </c>
      <c r="Q110" s="30" t="s">
        <v>14</v>
      </c>
      <c r="R110" s="30" t="s">
        <v>14</v>
      </c>
      <c r="T110">
        <v>-0.12</v>
      </c>
      <c r="U110">
        <v>-0.11</v>
      </c>
      <c r="V110">
        <v>-0.17</v>
      </c>
      <c r="W110">
        <v>-0.19</v>
      </c>
      <c r="X110" t="s">
        <v>14</v>
      </c>
      <c r="Y110" t="s">
        <v>14</v>
      </c>
      <c r="AA110" t="s">
        <v>14</v>
      </c>
      <c r="AC110">
        <v>0.21</v>
      </c>
      <c r="AD110">
        <v>0.21</v>
      </c>
      <c r="AE110">
        <v>0.32</v>
      </c>
      <c r="AF110">
        <v>0.24</v>
      </c>
      <c r="AG110" t="s">
        <v>14</v>
      </c>
      <c r="AH110" t="s">
        <v>14</v>
      </c>
      <c r="AI110" t="s">
        <v>14</v>
      </c>
      <c r="AJ110" t="s">
        <v>14</v>
      </c>
      <c r="AR110">
        <v>0</v>
      </c>
      <c r="AS110">
        <v>0</v>
      </c>
      <c r="AT110">
        <v>0</v>
      </c>
      <c r="AU110">
        <v>0.56000000000000005</v>
      </c>
      <c r="AV110" t="s">
        <v>14</v>
      </c>
      <c r="AW110" t="s">
        <v>14</v>
      </c>
      <c r="AX110" t="s">
        <v>14</v>
      </c>
      <c r="AY110" t="s">
        <v>14</v>
      </c>
      <c r="BA110">
        <v>19.920000000000002</v>
      </c>
      <c r="BB110">
        <v>9.81</v>
      </c>
      <c r="BC110">
        <v>22.51</v>
      </c>
      <c r="BD110">
        <v>6.82</v>
      </c>
      <c r="BE110" t="s">
        <v>14</v>
      </c>
      <c r="BF110" t="s">
        <v>14</v>
      </c>
      <c r="BG110" t="s">
        <v>14</v>
      </c>
      <c r="BH110" t="s">
        <v>14</v>
      </c>
    </row>
    <row r="111" spans="1:60" x14ac:dyDescent="0.3">
      <c r="A111" s="40" t="s">
        <v>99</v>
      </c>
      <c r="B111" t="s">
        <v>85</v>
      </c>
      <c r="C111" s="3">
        <v>110</v>
      </c>
      <c r="D111" s="29" t="s">
        <v>24</v>
      </c>
      <c r="E111" s="29" t="s">
        <v>24</v>
      </c>
      <c r="F111" s="29" t="s">
        <v>11</v>
      </c>
      <c r="G111" s="30">
        <v>55</v>
      </c>
      <c r="H111" s="30">
        <v>15</v>
      </c>
      <c r="I111" s="30">
        <v>15</v>
      </c>
      <c r="J111" s="30">
        <v>30</v>
      </c>
      <c r="K111" s="31">
        <f t="shared" si="4"/>
        <v>20</v>
      </c>
      <c r="L111" s="32">
        <f t="shared" si="3"/>
        <v>0.46666666666666667</v>
      </c>
      <c r="M111" s="32"/>
      <c r="N111" s="30">
        <v>1</v>
      </c>
      <c r="O111" s="30" t="s">
        <v>14</v>
      </c>
      <c r="P111" s="30" t="s">
        <v>14</v>
      </c>
      <c r="Q111" s="30" t="s">
        <v>14</v>
      </c>
      <c r="R111" s="30" t="s">
        <v>14</v>
      </c>
      <c r="T111">
        <v>-0.21</v>
      </c>
      <c r="U111">
        <v>1.08</v>
      </c>
      <c r="V111">
        <v>-0.04</v>
      </c>
      <c r="W111">
        <v>-0.16</v>
      </c>
      <c r="X111">
        <v>-0.11</v>
      </c>
      <c r="Y111">
        <v>-0.03</v>
      </c>
      <c r="Z111">
        <v>-0.09</v>
      </c>
      <c r="AA111">
        <v>-0.17</v>
      </c>
      <c r="AC111">
        <v>0.27</v>
      </c>
      <c r="AD111">
        <v>0.1</v>
      </c>
      <c r="AE111">
        <v>0.2</v>
      </c>
      <c r="AF111">
        <v>0.23</v>
      </c>
      <c r="AG111">
        <v>0.28999999999999998</v>
      </c>
      <c r="AH111">
        <v>0.23</v>
      </c>
      <c r="AI111">
        <v>0.28999999999999998</v>
      </c>
      <c r="AJ111">
        <v>0.35</v>
      </c>
      <c r="AR111">
        <v>6.95</v>
      </c>
      <c r="AS111">
        <v>46.37</v>
      </c>
      <c r="AT111">
        <v>3.36</v>
      </c>
      <c r="AU111">
        <v>0</v>
      </c>
      <c r="AV111">
        <v>0</v>
      </c>
      <c r="AW111">
        <v>0</v>
      </c>
      <c r="AX111">
        <v>7.1</v>
      </c>
      <c r="AY111">
        <v>11.88</v>
      </c>
      <c r="BA111">
        <v>24.55</v>
      </c>
      <c r="BB111">
        <v>99.21</v>
      </c>
      <c r="BC111">
        <v>42.23</v>
      </c>
      <c r="BD111">
        <v>26.97</v>
      </c>
      <c r="BE111">
        <v>24.58</v>
      </c>
      <c r="BF111">
        <v>11.64</v>
      </c>
      <c r="BG111">
        <v>22.37</v>
      </c>
      <c r="BH111">
        <v>31.07</v>
      </c>
    </row>
    <row r="112" spans="1:60" x14ac:dyDescent="0.3">
      <c r="A112" s="40" t="s">
        <v>99</v>
      </c>
      <c r="B112" t="s">
        <v>87</v>
      </c>
      <c r="C112" s="3">
        <v>111</v>
      </c>
      <c r="D112" s="29" t="s">
        <v>24</v>
      </c>
      <c r="E112" s="29" t="s">
        <v>24</v>
      </c>
      <c r="F112" s="29" t="s">
        <v>11</v>
      </c>
      <c r="G112" s="30">
        <v>95</v>
      </c>
      <c r="H112" s="30">
        <v>70</v>
      </c>
      <c r="I112" s="30">
        <v>45</v>
      </c>
      <c r="J112" s="30">
        <v>70</v>
      </c>
      <c r="K112" s="31">
        <f t="shared" si="4"/>
        <v>61.666666666666664</v>
      </c>
      <c r="L112" s="32">
        <f t="shared" si="3"/>
        <v>0.21276595744680854</v>
      </c>
      <c r="M112" s="32"/>
      <c r="N112" s="30">
        <v>1</v>
      </c>
      <c r="O112" s="30" t="s">
        <v>14</v>
      </c>
      <c r="P112" s="30" t="s">
        <v>14</v>
      </c>
      <c r="Q112" s="30" t="s">
        <v>14</v>
      </c>
      <c r="R112" s="30" t="s">
        <v>14</v>
      </c>
      <c r="T112">
        <v>-0.14000000000000001</v>
      </c>
      <c r="U112">
        <v>-0.12</v>
      </c>
      <c r="V112">
        <v>-0.2</v>
      </c>
      <c r="W112">
        <v>-0.21</v>
      </c>
      <c r="X112">
        <v>-0.17</v>
      </c>
      <c r="Y112">
        <v>-0.11</v>
      </c>
      <c r="Z112">
        <v>-0.15</v>
      </c>
      <c r="AA112">
        <v>-0.16</v>
      </c>
      <c r="AC112">
        <v>0.31</v>
      </c>
      <c r="AD112">
        <v>0.26</v>
      </c>
      <c r="AE112">
        <v>0.27</v>
      </c>
      <c r="AF112">
        <v>0.22</v>
      </c>
      <c r="AG112">
        <v>0.12</v>
      </c>
      <c r="AH112">
        <v>0.18</v>
      </c>
      <c r="AI112">
        <v>0.33</v>
      </c>
      <c r="AJ112">
        <v>0.21</v>
      </c>
      <c r="AR112">
        <v>0</v>
      </c>
      <c r="AS112">
        <v>0.05</v>
      </c>
      <c r="AT112">
        <v>9</v>
      </c>
      <c r="AU112">
        <v>0</v>
      </c>
      <c r="AV112">
        <v>0</v>
      </c>
      <c r="AW112">
        <v>0</v>
      </c>
      <c r="AX112">
        <v>0</v>
      </c>
      <c r="AY112">
        <v>0</v>
      </c>
      <c r="BA112">
        <v>40.869999999999997</v>
      </c>
      <c r="BB112">
        <v>49.78</v>
      </c>
      <c r="BC112">
        <v>41.54</v>
      </c>
      <c r="BD112">
        <v>22.87</v>
      </c>
      <c r="BE112">
        <v>19.3</v>
      </c>
      <c r="BF112">
        <v>30.24</v>
      </c>
      <c r="BG112">
        <v>49.81</v>
      </c>
      <c r="BH112">
        <v>4.9800000000000004</v>
      </c>
    </row>
    <row r="113" spans="1:60" x14ac:dyDescent="0.3">
      <c r="A113" s="40" t="s">
        <v>100</v>
      </c>
      <c r="B113" t="s">
        <v>77</v>
      </c>
      <c r="C113" s="3">
        <v>112</v>
      </c>
      <c r="D113" s="29" t="s">
        <v>24</v>
      </c>
      <c r="E113" s="29" t="s">
        <v>24</v>
      </c>
      <c r="F113" s="29" t="s">
        <v>11</v>
      </c>
      <c r="G113" s="30">
        <v>80</v>
      </c>
      <c r="H113" s="30">
        <v>70</v>
      </c>
      <c r="I113" s="30">
        <v>60</v>
      </c>
      <c r="J113" s="30">
        <v>40</v>
      </c>
      <c r="K113" s="31">
        <f t="shared" si="4"/>
        <v>56.666666666666664</v>
      </c>
      <c r="L113" s="32">
        <f t="shared" si="3"/>
        <v>0.17073170731707321</v>
      </c>
      <c r="M113" s="32"/>
      <c r="N113" s="30">
        <v>0</v>
      </c>
      <c r="O113" s="30">
        <v>80</v>
      </c>
      <c r="P113" s="30">
        <v>55</v>
      </c>
      <c r="Q113" s="30">
        <v>60</v>
      </c>
      <c r="R113" s="30">
        <v>0.42</v>
      </c>
      <c r="T113">
        <v>0.39</v>
      </c>
      <c r="U113">
        <v>0.35</v>
      </c>
      <c r="V113">
        <v>0.34</v>
      </c>
      <c r="W113">
        <v>0.32</v>
      </c>
      <c r="X113">
        <v>0.21</v>
      </c>
      <c r="Y113">
        <v>0.25</v>
      </c>
      <c r="Z113">
        <v>0.09</v>
      </c>
      <c r="AA113">
        <v>0.06</v>
      </c>
      <c r="AC113">
        <v>0.08</v>
      </c>
      <c r="AD113">
        <v>0.1</v>
      </c>
      <c r="AE113">
        <v>0.15</v>
      </c>
      <c r="AF113">
        <v>0.21</v>
      </c>
      <c r="AG113">
        <v>0.3</v>
      </c>
      <c r="AH113">
        <v>0.18</v>
      </c>
      <c r="AI113">
        <v>0.39</v>
      </c>
      <c r="AJ113">
        <v>0.38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A113">
        <v>5.66</v>
      </c>
      <c r="BB113">
        <v>2.5</v>
      </c>
      <c r="BC113">
        <v>16.89</v>
      </c>
      <c r="BD113">
        <v>2.5</v>
      </c>
      <c r="BE113">
        <v>15.63</v>
      </c>
      <c r="BF113">
        <v>0</v>
      </c>
      <c r="BG113">
        <v>0</v>
      </c>
      <c r="BH113">
        <v>0</v>
      </c>
    </row>
    <row r="114" spans="1:60" s="35" customFormat="1" ht="16.2" thickBot="1" x14ac:dyDescent="0.35">
      <c r="A114" s="41" t="s">
        <v>100</v>
      </c>
      <c r="B114" s="35" t="s">
        <v>79</v>
      </c>
      <c r="C114" s="50">
        <v>113</v>
      </c>
      <c r="D114" s="19" t="s">
        <v>24</v>
      </c>
      <c r="E114" s="19" t="s">
        <v>24</v>
      </c>
      <c r="F114" s="19" t="s">
        <v>11</v>
      </c>
      <c r="G114" s="36">
        <v>50</v>
      </c>
      <c r="H114" s="36">
        <v>45</v>
      </c>
      <c r="I114" s="36">
        <v>60</v>
      </c>
      <c r="J114" s="36" t="s">
        <v>14</v>
      </c>
      <c r="K114" s="37">
        <f t="shared" si="4"/>
        <v>52.5</v>
      </c>
      <c r="L114" s="38">
        <f t="shared" si="3"/>
        <v>-2.4390243902439025E-2</v>
      </c>
      <c r="M114" s="38"/>
      <c r="N114" s="36">
        <v>0</v>
      </c>
      <c r="O114" s="36" t="s">
        <v>14</v>
      </c>
      <c r="P114" s="36" t="s">
        <v>14</v>
      </c>
      <c r="Q114" s="36" t="s">
        <v>14</v>
      </c>
      <c r="R114" s="36" t="s">
        <v>14</v>
      </c>
      <c r="T114" s="35">
        <v>-0.17</v>
      </c>
      <c r="U114" s="35">
        <v>-0.23</v>
      </c>
      <c r="V114" s="35">
        <v>-0.22</v>
      </c>
      <c r="W114" s="35" t="s">
        <v>14</v>
      </c>
      <c r="X114" s="35">
        <v>-0.19</v>
      </c>
      <c r="Y114" s="35">
        <v>-0.24</v>
      </c>
      <c r="Z114" s="35">
        <v>-0.19</v>
      </c>
      <c r="AA114" s="35" t="s">
        <v>14</v>
      </c>
      <c r="AC114" s="35">
        <v>0.26</v>
      </c>
      <c r="AD114" s="35">
        <v>0.38</v>
      </c>
      <c r="AE114" s="35">
        <v>0.28999999999999998</v>
      </c>
      <c r="AF114" s="35" t="s">
        <v>14</v>
      </c>
      <c r="AG114" s="35">
        <v>0.43</v>
      </c>
      <c r="AH114" s="35">
        <v>0.33</v>
      </c>
      <c r="AI114" s="35">
        <v>0.39</v>
      </c>
      <c r="AJ114" s="35" t="s">
        <v>14</v>
      </c>
      <c r="AR114" s="35">
        <v>0</v>
      </c>
      <c r="AS114" s="35">
        <v>0</v>
      </c>
      <c r="AT114" s="35">
        <v>0</v>
      </c>
      <c r="AU114" s="35">
        <v>0</v>
      </c>
      <c r="AV114" s="35">
        <v>0</v>
      </c>
      <c r="AW114" s="35">
        <v>1.9</v>
      </c>
      <c r="AX114" s="35">
        <v>1.9</v>
      </c>
      <c r="AY114" s="35" t="s">
        <v>14</v>
      </c>
      <c r="BA114" s="35">
        <v>0</v>
      </c>
      <c r="BB114" s="35">
        <v>58.94</v>
      </c>
      <c r="BC114" s="35">
        <v>58.94</v>
      </c>
      <c r="BD114" s="35">
        <v>14.6</v>
      </c>
      <c r="BE114" s="35">
        <v>20.86</v>
      </c>
      <c r="BF114" s="35">
        <v>7.25</v>
      </c>
      <c r="BG114" s="35">
        <v>7.25</v>
      </c>
      <c r="BH114" s="35" t="s">
        <v>14</v>
      </c>
    </row>
    <row r="115" spans="1:60" ht="16.2" thickTop="1" x14ac:dyDescent="0.3">
      <c r="A115" s="40" t="s">
        <v>107</v>
      </c>
      <c r="B115" t="s">
        <v>77</v>
      </c>
      <c r="C115" s="28">
        <v>114</v>
      </c>
      <c r="D115" s="44" t="s">
        <v>108</v>
      </c>
      <c r="E115" s="44" t="s">
        <v>108</v>
      </c>
      <c r="F115" s="29" t="s">
        <v>11</v>
      </c>
      <c r="G115" s="4">
        <v>70</v>
      </c>
      <c r="H115" s="4">
        <v>60</v>
      </c>
      <c r="I115" s="4">
        <v>90</v>
      </c>
      <c r="J115" s="4">
        <v>70</v>
      </c>
      <c r="K115" s="31">
        <f t="shared" si="4"/>
        <v>73.333333333333329</v>
      </c>
      <c r="L115" s="32">
        <f t="shared" si="3"/>
        <v>-2.3255813953488341E-2</v>
      </c>
      <c r="M115" s="32"/>
      <c r="N115" s="4">
        <v>0</v>
      </c>
    </row>
    <row r="116" spans="1:60" x14ac:dyDescent="0.3">
      <c r="A116" s="40" t="s">
        <v>107</v>
      </c>
      <c r="B116" t="s">
        <v>78</v>
      </c>
      <c r="C116" s="28">
        <v>115</v>
      </c>
      <c r="D116" s="44" t="s">
        <v>108</v>
      </c>
      <c r="E116" s="44" t="s">
        <v>108</v>
      </c>
      <c r="F116" s="29" t="s">
        <v>11</v>
      </c>
      <c r="G116" s="4">
        <v>90</v>
      </c>
      <c r="H116" s="4">
        <v>75</v>
      </c>
      <c r="I116" s="4">
        <v>95</v>
      </c>
      <c r="J116" s="4">
        <v>70</v>
      </c>
      <c r="K116" s="31">
        <f t="shared" si="4"/>
        <v>80</v>
      </c>
      <c r="L116" s="32">
        <f t="shared" si="3"/>
        <v>5.8823529411764705E-2</v>
      </c>
      <c r="M116" s="32"/>
      <c r="N116" s="4">
        <v>0</v>
      </c>
    </row>
    <row r="117" spans="1:60" x14ac:dyDescent="0.3">
      <c r="A117" s="40" t="s">
        <v>107</v>
      </c>
      <c r="B117" t="s">
        <v>79</v>
      </c>
      <c r="C117" s="28">
        <v>116</v>
      </c>
      <c r="D117" s="44" t="s">
        <v>108</v>
      </c>
      <c r="E117" s="44" t="s">
        <v>108</v>
      </c>
      <c r="F117" s="29" t="s">
        <v>11</v>
      </c>
      <c r="G117" s="4">
        <v>85</v>
      </c>
      <c r="H117" s="47">
        <v>47</v>
      </c>
      <c r="I117" s="4">
        <v>5</v>
      </c>
      <c r="J117" s="4">
        <v>5</v>
      </c>
      <c r="K117" s="31">
        <f t="shared" si="4"/>
        <v>19</v>
      </c>
      <c r="L117" s="32">
        <f t="shared" si="3"/>
        <v>0.63461538461538458</v>
      </c>
      <c r="M117" s="32"/>
      <c r="N117" s="4">
        <v>1</v>
      </c>
    </row>
    <row r="118" spans="1:60" x14ac:dyDescent="0.3">
      <c r="A118" s="40" t="s">
        <v>107</v>
      </c>
      <c r="B118" t="s">
        <v>80</v>
      </c>
      <c r="C118" s="28">
        <v>117</v>
      </c>
      <c r="D118" s="44" t="s">
        <v>108</v>
      </c>
      <c r="E118" s="44" t="s">
        <v>108</v>
      </c>
      <c r="F118" s="29" t="s">
        <v>11</v>
      </c>
      <c r="G118" s="4">
        <v>80</v>
      </c>
      <c r="H118" s="4">
        <v>95</v>
      </c>
      <c r="I118" s="4">
        <v>80</v>
      </c>
      <c r="J118" s="4">
        <v>90</v>
      </c>
      <c r="K118" s="31">
        <f t="shared" si="4"/>
        <v>88.333333333333329</v>
      </c>
      <c r="L118" s="32">
        <f t="shared" si="3"/>
        <v>-4.950495049504948E-2</v>
      </c>
      <c r="M118" s="32"/>
      <c r="N118" s="4">
        <v>0</v>
      </c>
    </row>
    <row r="119" spans="1:60" x14ac:dyDescent="0.3">
      <c r="A119" s="40" t="s">
        <v>107</v>
      </c>
      <c r="B119" t="s">
        <v>81</v>
      </c>
      <c r="C119" s="28">
        <v>118</v>
      </c>
      <c r="D119" s="44" t="s">
        <v>108</v>
      </c>
      <c r="E119" s="44" t="s">
        <v>108</v>
      </c>
      <c r="F119" s="29" t="s">
        <v>11</v>
      </c>
      <c r="G119" s="4">
        <v>70</v>
      </c>
      <c r="H119" s="4">
        <v>80</v>
      </c>
      <c r="I119" s="4">
        <v>60</v>
      </c>
      <c r="J119" s="4">
        <v>50</v>
      </c>
      <c r="K119" s="31">
        <f t="shared" si="4"/>
        <v>63.333333333333336</v>
      </c>
      <c r="L119" s="32">
        <f t="shared" si="3"/>
        <v>4.9999999999999982E-2</v>
      </c>
      <c r="M119" s="32"/>
      <c r="N119" s="4">
        <v>0</v>
      </c>
    </row>
    <row r="120" spans="1:60" x14ac:dyDescent="0.3">
      <c r="A120" s="40" t="s">
        <v>107</v>
      </c>
      <c r="B120" t="s">
        <v>82</v>
      </c>
      <c r="C120" s="28">
        <v>119</v>
      </c>
      <c r="D120" s="44" t="s">
        <v>108</v>
      </c>
      <c r="E120" s="44" t="s">
        <v>108</v>
      </c>
      <c r="F120" s="29" t="s">
        <v>11</v>
      </c>
      <c r="G120" s="4">
        <v>95</v>
      </c>
      <c r="H120" s="4">
        <v>80</v>
      </c>
      <c r="I120" s="4">
        <v>95</v>
      </c>
      <c r="J120" s="4">
        <v>90</v>
      </c>
      <c r="K120" s="31">
        <f t="shared" si="4"/>
        <v>88.333333333333329</v>
      </c>
      <c r="L120" s="32">
        <f t="shared" si="3"/>
        <v>3.6363636363636397E-2</v>
      </c>
      <c r="M120" s="32"/>
      <c r="N120" s="4">
        <v>0</v>
      </c>
    </row>
    <row r="121" spans="1:60" x14ac:dyDescent="0.3">
      <c r="A121" s="40" t="s">
        <v>107</v>
      </c>
      <c r="B121" t="s">
        <v>83</v>
      </c>
      <c r="C121" s="28">
        <v>120</v>
      </c>
      <c r="D121" s="44" t="s">
        <v>108</v>
      </c>
      <c r="E121" s="44" t="s">
        <v>108</v>
      </c>
      <c r="F121" s="29" t="s">
        <v>11</v>
      </c>
      <c r="G121" s="4">
        <v>85</v>
      </c>
      <c r="H121" s="4">
        <v>65</v>
      </c>
      <c r="I121" s="4">
        <v>50</v>
      </c>
      <c r="J121" s="4">
        <v>60</v>
      </c>
      <c r="K121" s="31">
        <f t="shared" si="4"/>
        <v>58.333333333333336</v>
      </c>
      <c r="L121" s="32">
        <f t="shared" si="3"/>
        <v>0.18604651162790695</v>
      </c>
      <c r="M121" s="32"/>
      <c r="N121" s="4">
        <v>0</v>
      </c>
    </row>
    <row r="122" spans="1:60" s="35" customFormat="1" ht="16.2" thickBot="1" x14ac:dyDescent="0.35">
      <c r="A122" s="41" t="s">
        <v>107</v>
      </c>
      <c r="B122" s="35" t="s">
        <v>84</v>
      </c>
      <c r="C122" s="42">
        <v>121</v>
      </c>
      <c r="D122" s="51" t="s">
        <v>108</v>
      </c>
      <c r="E122" s="51" t="s">
        <v>108</v>
      </c>
      <c r="F122" s="19" t="s">
        <v>11</v>
      </c>
      <c r="G122" s="36">
        <v>60</v>
      </c>
      <c r="H122" s="36">
        <v>55</v>
      </c>
      <c r="I122" s="36">
        <v>70</v>
      </c>
      <c r="J122" s="36">
        <v>60</v>
      </c>
      <c r="K122" s="37">
        <f t="shared" si="4"/>
        <v>61.666666666666664</v>
      </c>
      <c r="L122" s="38">
        <f t="shared" si="3"/>
        <v>-1.3698630136986283E-2</v>
      </c>
      <c r="M122" s="38"/>
      <c r="N122" s="36">
        <v>0</v>
      </c>
      <c r="O122" s="36"/>
      <c r="P122" s="36"/>
      <c r="Q122" s="36"/>
      <c r="R122" s="36"/>
    </row>
    <row r="123" spans="1:60" ht="16.2" thickTop="1" x14ac:dyDescent="0.3">
      <c r="A123" t="s">
        <v>109</v>
      </c>
      <c r="B123" s="13" t="s">
        <v>113</v>
      </c>
      <c r="C123" s="28">
        <v>122</v>
      </c>
      <c r="D123" s="44" t="s">
        <v>111</v>
      </c>
      <c r="E123" s="44" t="s">
        <v>111</v>
      </c>
      <c r="F123" s="29" t="s">
        <v>11</v>
      </c>
      <c r="G123" s="4">
        <v>70</v>
      </c>
      <c r="H123" s="4">
        <v>95</v>
      </c>
      <c r="I123" s="4">
        <v>100</v>
      </c>
      <c r="J123" s="4">
        <v>70</v>
      </c>
      <c r="K123" s="31">
        <f t="shared" si="4"/>
        <v>88.333333333333329</v>
      </c>
      <c r="L123" s="32">
        <f t="shared" si="3"/>
        <v>-0.11578947368421051</v>
      </c>
      <c r="M123" s="32"/>
      <c r="N123" s="4">
        <v>0</v>
      </c>
    </row>
    <row r="124" spans="1:60" x14ac:dyDescent="0.3">
      <c r="A124" t="s">
        <v>109</v>
      </c>
      <c r="B124" s="13" t="s">
        <v>113</v>
      </c>
      <c r="C124" s="28">
        <v>123</v>
      </c>
      <c r="D124" s="44" t="s">
        <v>111</v>
      </c>
      <c r="E124" s="44" t="s">
        <v>111</v>
      </c>
      <c r="F124" s="29" t="s">
        <v>11</v>
      </c>
      <c r="G124" s="4">
        <v>85</v>
      </c>
      <c r="H124" s="4">
        <v>70</v>
      </c>
      <c r="I124" s="4">
        <v>85</v>
      </c>
      <c r="J124" s="4">
        <v>80</v>
      </c>
      <c r="K124" s="31">
        <f t="shared" si="4"/>
        <v>78.333333333333329</v>
      </c>
      <c r="L124" s="32">
        <f t="shared" si="3"/>
        <v>4.0816326530612276E-2</v>
      </c>
      <c r="M124" s="32"/>
      <c r="N124" s="4">
        <v>0</v>
      </c>
    </row>
    <row r="125" spans="1:60" x14ac:dyDescent="0.3">
      <c r="A125" t="s">
        <v>109</v>
      </c>
      <c r="B125" s="13" t="s">
        <v>113</v>
      </c>
      <c r="C125" s="28">
        <v>124</v>
      </c>
      <c r="D125" s="44" t="s">
        <v>111</v>
      </c>
      <c r="E125" s="44" t="s">
        <v>111</v>
      </c>
      <c r="F125" s="29" t="s">
        <v>11</v>
      </c>
      <c r="G125" s="4">
        <v>90</v>
      </c>
      <c r="H125" s="4">
        <v>90</v>
      </c>
      <c r="I125" s="4">
        <v>85</v>
      </c>
      <c r="J125" s="4">
        <v>90</v>
      </c>
      <c r="K125" s="31">
        <f t="shared" si="4"/>
        <v>88.333333333333329</v>
      </c>
      <c r="L125" s="32">
        <f t="shared" si="3"/>
        <v>9.3457943925233915E-3</v>
      </c>
      <c r="M125" s="32"/>
      <c r="N125" s="4">
        <v>0</v>
      </c>
    </row>
    <row r="126" spans="1:60" x14ac:dyDescent="0.3">
      <c r="A126" t="s">
        <v>109</v>
      </c>
      <c r="B126" s="13" t="s">
        <v>113</v>
      </c>
      <c r="C126" s="28">
        <v>125</v>
      </c>
      <c r="D126" s="44" t="s">
        <v>111</v>
      </c>
      <c r="E126" s="44" t="s">
        <v>111</v>
      </c>
      <c r="F126" s="29" t="s">
        <v>11</v>
      </c>
      <c r="G126" s="4">
        <v>55</v>
      </c>
      <c r="H126" s="4">
        <v>40</v>
      </c>
      <c r="I126" s="4">
        <v>30</v>
      </c>
      <c r="J126" s="4">
        <v>35</v>
      </c>
      <c r="K126" s="31">
        <f t="shared" si="4"/>
        <v>35</v>
      </c>
      <c r="L126" s="32">
        <f t="shared" si="3"/>
        <v>0.22222222222222221</v>
      </c>
      <c r="M126" s="32"/>
      <c r="N126" s="4">
        <v>1</v>
      </c>
    </row>
    <row r="127" spans="1:60" x14ac:dyDescent="0.3">
      <c r="A127" t="s">
        <v>109</v>
      </c>
      <c r="B127" s="13" t="s">
        <v>113</v>
      </c>
      <c r="C127" s="28">
        <v>126</v>
      </c>
      <c r="D127" s="44" t="s">
        <v>111</v>
      </c>
      <c r="E127" s="44" t="s">
        <v>111</v>
      </c>
      <c r="F127" s="29" t="s">
        <v>11</v>
      </c>
      <c r="G127" s="4">
        <v>100</v>
      </c>
      <c r="H127" s="4">
        <v>95</v>
      </c>
      <c r="I127" s="4">
        <v>100</v>
      </c>
      <c r="J127" s="4">
        <v>95</v>
      </c>
      <c r="K127" s="31">
        <f t="shared" si="4"/>
        <v>96.666666666666671</v>
      </c>
      <c r="L127" s="32">
        <f t="shared" si="3"/>
        <v>1.6949152542372857E-2</v>
      </c>
      <c r="M127" s="32"/>
      <c r="N127" s="4">
        <v>0</v>
      </c>
    </row>
    <row r="128" spans="1:60" x14ac:dyDescent="0.3">
      <c r="A128" t="s">
        <v>109</v>
      </c>
      <c r="B128" s="13" t="s">
        <v>113</v>
      </c>
      <c r="C128" s="28">
        <v>127</v>
      </c>
      <c r="D128" s="44" t="s">
        <v>111</v>
      </c>
      <c r="E128" s="44" t="s">
        <v>111</v>
      </c>
      <c r="F128" s="29" t="s">
        <v>11</v>
      </c>
      <c r="G128" s="4">
        <v>95</v>
      </c>
      <c r="H128" s="4">
        <v>85</v>
      </c>
      <c r="I128" s="4">
        <v>85</v>
      </c>
      <c r="J128" s="4">
        <v>70</v>
      </c>
      <c r="K128" s="31">
        <f t="shared" si="4"/>
        <v>80</v>
      </c>
      <c r="L128" s="32">
        <f t="shared" si="3"/>
        <v>8.5714285714285715E-2</v>
      </c>
      <c r="M128" s="32"/>
      <c r="N128" s="4">
        <v>0</v>
      </c>
    </row>
    <row r="129" spans="1:14" x14ac:dyDescent="0.3">
      <c r="A129" t="s">
        <v>109</v>
      </c>
      <c r="B129" s="13" t="s">
        <v>113</v>
      </c>
      <c r="C129" s="28">
        <v>128</v>
      </c>
      <c r="D129" s="44" t="s">
        <v>111</v>
      </c>
      <c r="E129" s="44" t="s">
        <v>111</v>
      </c>
      <c r="F129" s="29" t="s">
        <v>11</v>
      </c>
      <c r="G129" s="4">
        <v>100</v>
      </c>
      <c r="H129" s="4">
        <v>70</v>
      </c>
      <c r="I129" s="4">
        <v>75</v>
      </c>
      <c r="J129" s="4">
        <v>60</v>
      </c>
      <c r="K129" s="31">
        <f t="shared" si="4"/>
        <v>68.333333333333329</v>
      </c>
      <c r="L129" s="32">
        <f t="shared" si="3"/>
        <v>0.18811881188118817</v>
      </c>
      <c r="M129" s="32"/>
      <c r="N129" s="4">
        <v>0</v>
      </c>
    </row>
    <row r="130" spans="1:14" x14ac:dyDescent="0.3">
      <c r="A130" t="s">
        <v>109</v>
      </c>
      <c r="B130" s="13" t="s">
        <v>113</v>
      </c>
      <c r="C130" s="28">
        <v>129</v>
      </c>
      <c r="D130" s="44" t="s">
        <v>111</v>
      </c>
      <c r="E130" s="44" t="s">
        <v>111</v>
      </c>
      <c r="F130" s="29" t="s">
        <v>11</v>
      </c>
      <c r="G130" s="4">
        <v>55</v>
      </c>
      <c r="H130" s="4">
        <v>35</v>
      </c>
      <c r="I130" s="4">
        <v>25</v>
      </c>
      <c r="J130" s="4">
        <v>35</v>
      </c>
      <c r="K130" s="31">
        <f t="shared" si="4"/>
        <v>31.666666666666668</v>
      </c>
      <c r="L130" s="32">
        <f t="shared" si="3"/>
        <v>0.26923076923076922</v>
      </c>
      <c r="M130" s="32"/>
      <c r="N130" s="4">
        <v>0</v>
      </c>
    </row>
    <row r="131" spans="1:14" x14ac:dyDescent="0.3">
      <c r="A131" t="s">
        <v>109</v>
      </c>
      <c r="B131" s="13" t="s">
        <v>113</v>
      </c>
      <c r="C131" s="28">
        <v>130</v>
      </c>
      <c r="D131" s="44" t="s">
        <v>111</v>
      </c>
      <c r="E131" s="44" t="s">
        <v>111</v>
      </c>
      <c r="F131" s="29" t="s">
        <v>11</v>
      </c>
      <c r="G131" s="4">
        <v>50</v>
      </c>
      <c r="H131" s="4">
        <v>40</v>
      </c>
      <c r="I131" s="4">
        <v>25</v>
      </c>
      <c r="J131" s="4">
        <v>55</v>
      </c>
      <c r="K131" s="31">
        <f t="shared" si="4"/>
        <v>40</v>
      </c>
      <c r="L131" s="32">
        <f t="shared" ref="L131:L143" si="5">(G131-K131)/(G131+K131)</f>
        <v>0.1111111111111111</v>
      </c>
      <c r="M131" s="32"/>
      <c r="N131" s="4">
        <v>0</v>
      </c>
    </row>
    <row r="132" spans="1:14" x14ac:dyDescent="0.3">
      <c r="A132" t="s">
        <v>109</v>
      </c>
      <c r="B132" s="13" t="s">
        <v>113</v>
      </c>
      <c r="C132" s="28">
        <v>131</v>
      </c>
      <c r="D132" s="44" t="s">
        <v>111</v>
      </c>
      <c r="E132" s="44" t="s">
        <v>111</v>
      </c>
      <c r="F132" s="29" t="s">
        <v>11</v>
      </c>
      <c r="G132" s="4">
        <v>80</v>
      </c>
      <c r="H132" s="4">
        <v>0</v>
      </c>
      <c r="I132" s="4">
        <v>45</v>
      </c>
      <c r="J132" s="4">
        <v>30</v>
      </c>
      <c r="K132" s="31">
        <f t="shared" si="4"/>
        <v>25</v>
      </c>
      <c r="L132" s="32">
        <f t="shared" si="5"/>
        <v>0.52380952380952384</v>
      </c>
      <c r="M132" s="32"/>
      <c r="N132" s="4">
        <v>1</v>
      </c>
    </row>
    <row r="133" spans="1:14" x14ac:dyDescent="0.3">
      <c r="A133" t="s">
        <v>109</v>
      </c>
      <c r="B133" s="13" t="s">
        <v>113</v>
      </c>
      <c r="C133" s="28">
        <v>132</v>
      </c>
      <c r="D133" s="44" t="s">
        <v>111</v>
      </c>
      <c r="E133" s="44" t="s">
        <v>111</v>
      </c>
      <c r="F133" s="29" t="s">
        <v>11</v>
      </c>
      <c r="G133" s="4">
        <v>100</v>
      </c>
      <c r="H133" s="4">
        <v>100</v>
      </c>
      <c r="I133" s="4">
        <v>100</v>
      </c>
      <c r="J133" s="4">
        <v>95</v>
      </c>
      <c r="K133" s="31">
        <f t="shared" si="4"/>
        <v>98.333333333333329</v>
      </c>
      <c r="L133" s="32">
        <f t="shared" si="5"/>
        <v>8.403361344537839E-3</v>
      </c>
      <c r="M133" s="32"/>
      <c r="N133" s="4">
        <v>0</v>
      </c>
    </row>
    <row r="134" spans="1:14" x14ac:dyDescent="0.3">
      <c r="A134" t="s">
        <v>109</v>
      </c>
      <c r="B134" s="13" t="s">
        <v>113</v>
      </c>
      <c r="C134" s="28">
        <v>133</v>
      </c>
      <c r="D134" s="44" t="s">
        <v>111</v>
      </c>
      <c r="E134" s="44" t="s">
        <v>111</v>
      </c>
      <c r="F134" s="29" t="s">
        <v>11</v>
      </c>
      <c r="G134" s="4">
        <v>100</v>
      </c>
      <c r="H134" s="4">
        <v>100</v>
      </c>
      <c r="I134" s="4">
        <v>100</v>
      </c>
      <c r="J134" s="4">
        <v>100</v>
      </c>
      <c r="K134" s="31">
        <f t="shared" si="4"/>
        <v>100</v>
      </c>
      <c r="L134" s="32">
        <f t="shared" si="5"/>
        <v>0</v>
      </c>
      <c r="M134" s="32"/>
      <c r="N134" s="4">
        <v>0</v>
      </c>
    </row>
    <row r="135" spans="1:14" x14ac:dyDescent="0.3">
      <c r="A135" t="s">
        <v>109</v>
      </c>
      <c r="B135" s="13" t="s">
        <v>113</v>
      </c>
      <c r="C135" s="28">
        <v>134</v>
      </c>
      <c r="D135" s="44" t="s">
        <v>111</v>
      </c>
      <c r="E135" s="44" t="s">
        <v>111</v>
      </c>
      <c r="F135" s="29" t="s">
        <v>11</v>
      </c>
      <c r="G135" s="4">
        <v>90</v>
      </c>
      <c r="H135" s="4">
        <v>95</v>
      </c>
      <c r="I135" s="4">
        <v>100</v>
      </c>
      <c r="J135" s="4">
        <v>95</v>
      </c>
      <c r="K135" s="31">
        <f t="shared" si="4"/>
        <v>96.666666666666671</v>
      </c>
      <c r="L135" s="32">
        <f t="shared" si="5"/>
        <v>-3.5714285714285733E-2</v>
      </c>
      <c r="M135" s="32"/>
      <c r="N135" s="4">
        <v>0</v>
      </c>
    </row>
    <row r="136" spans="1:14" x14ac:dyDescent="0.3">
      <c r="A136" t="s">
        <v>110</v>
      </c>
      <c r="B136" s="13" t="s">
        <v>113</v>
      </c>
      <c r="C136" s="28">
        <v>135</v>
      </c>
      <c r="D136" s="44" t="s">
        <v>111</v>
      </c>
      <c r="E136" s="44" t="s">
        <v>111</v>
      </c>
      <c r="F136" s="29" t="s">
        <v>11</v>
      </c>
      <c r="G136" s="4">
        <v>90</v>
      </c>
      <c r="H136" s="4">
        <v>100</v>
      </c>
      <c r="I136" s="4">
        <v>95</v>
      </c>
      <c r="J136" s="4">
        <v>90</v>
      </c>
      <c r="K136" s="31">
        <f t="shared" si="4"/>
        <v>95</v>
      </c>
      <c r="L136" s="32">
        <f t="shared" si="5"/>
        <v>-2.7027027027027029E-2</v>
      </c>
      <c r="M136" s="32"/>
      <c r="N136" s="4">
        <v>0</v>
      </c>
    </row>
    <row r="137" spans="1:14" x14ac:dyDescent="0.3">
      <c r="A137" t="s">
        <v>110</v>
      </c>
      <c r="B137" s="13" t="s">
        <v>113</v>
      </c>
      <c r="C137" s="28">
        <v>136</v>
      </c>
      <c r="D137" s="44" t="s">
        <v>111</v>
      </c>
      <c r="E137" s="44" t="s">
        <v>111</v>
      </c>
      <c r="F137" s="29" t="s">
        <v>11</v>
      </c>
      <c r="G137" s="4">
        <v>80</v>
      </c>
      <c r="H137" s="4">
        <v>60</v>
      </c>
      <c r="I137" s="4">
        <v>85</v>
      </c>
      <c r="J137" s="4">
        <v>80</v>
      </c>
      <c r="K137" s="31">
        <f t="shared" si="4"/>
        <v>75</v>
      </c>
      <c r="L137" s="32">
        <f t="shared" si="5"/>
        <v>3.2258064516129031E-2</v>
      </c>
      <c r="M137" s="32"/>
      <c r="N137" s="4">
        <v>0</v>
      </c>
    </row>
    <row r="138" spans="1:14" x14ac:dyDescent="0.3">
      <c r="A138" t="s">
        <v>110</v>
      </c>
      <c r="B138" s="13" t="s">
        <v>113</v>
      </c>
      <c r="C138" s="28">
        <v>137</v>
      </c>
      <c r="D138" s="44" t="s">
        <v>111</v>
      </c>
      <c r="E138" s="44" t="s">
        <v>111</v>
      </c>
      <c r="F138" s="29" t="s">
        <v>11</v>
      </c>
      <c r="G138" s="4">
        <v>60</v>
      </c>
      <c r="H138" s="4">
        <v>80</v>
      </c>
      <c r="I138" s="4">
        <v>95</v>
      </c>
      <c r="J138" s="4">
        <v>100</v>
      </c>
      <c r="K138" s="31">
        <f t="shared" si="4"/>
        <v>91.666666666666671</v>
      </c>
      <c r="L138" s="32">
        <f t="shared" si="5"/>
        <v>-0.2087912087912088</v>
      </c>
      <c r="M138" s="32"/>
      <c r="N138" s="4">
        <v>0</v>
      </c>
    </row>
    <row r="139" spans="1:14" x14ac:dyDescent="0.3">
      <c r="A139" t="s">
        <v>110</v>
      </c>
      <c r="B139" s="13" t="s">
        <v>113</v>
      </c>
      <c r="C139" s="28">
        <v>138</v>
      </c>
      <c r="D139" s="44" t="s">
        <v>111</v>
      </c>
      <c r="E139" s="44" t="s">
        <v>111</v>
      </c>
      <c r="F139" s="29" t="s">
        <v>11</v>
      </c>
      <c r="G139" s="4">
        <v>90</v>
      </c>
      <c r="H139" s="4">
        <v>85</v>
      </c>
      <c r="I139" s="4">
        <v>80</v>
      </c>
      <c r="J139" s="4">
        <v>95</v>
      </c>
      <c r="K139" s="31">
        <f t="shared" si="4"/>
        <v>86.666666666666671</v>
      </c>
      <c r="L139" s="32">
        <f t="shared" si="5"/>
        <v>1.8867924528301858E-2</v>
      </c>
      <c r="M139" s="32"/>
      <c r="N139" s="4">
        <v>1</v>
      </c>
    </row>
    <row r="140" spans="1:14" x14ac:dyDescent="0.3">
      <c r="A140" t="s">
        <v>110</v>
      </c>
      <c r="B140" s="13" t="s">
        <v>113</v>
      </c>
      <c r="C140" s="28">
        <v>139</v>
      </c>
      <c r="D140" s="44" t="s">
        <v>111</v>
      </c>
      <c r="E140" s="44" t="s">
        <v>111</v>
      </c>
      <c r="F140" s="29" t="s">
        <v>11</v>
      </c>
      <c r="G140" s="4">
        <v>75</v>
      </c>
      <c r="H140" s="4">
        <v>65</v>
      </c>
      <c r="I140" s="4">
        <v>75</v>
      </c>
      <c r="J140" s="4">
        <v>70</v>
      </c>
      <c r="K140" s="31">
        <f t="shared" si="4"/>
        <v>70</v>
      </c>
      <c r="L140" s="32">
        <f t="shared" si="5"/>
        <v>3.4482758620689655E-2</v>
      </c>
      <c r="M140" s="32"/>
      <c r="N140" s="4">
        <v>0</v>
      </c>
    </row>
    <row r="141" spans="1:14" x14ac:dyDescent="0.3">
      <c r="A141" t="s">
        <v>110</v>
      </c>
      <c r="B141" s="13" t="s">
        <v>113</v>
      </c>
      <c r="C141" s="28">
        <v>140</v>
      </c>
      <c r="D141" s="44" t="s">
        <v>111</v>
      </c>
      <c r="E141" s="44" t="s">
        <v>111</v>
      </c>
      <c r="F141" s="29" t="s">
        <v>11</v>
      </c>
      <c r="G141" s="4">
        <v>90</v>
      </c>
      <c r="H141" s="4">
        <v>75</v>
      </c>
      <c r="I141" s="4">
        <v>50</v>
      </c>
      <c r="J141" s="4">
        <v>60</v>
      </c>
      <c r="K141" s="31">
        <f t="shared" si="4"/>
        <v>61.666666666666664</v>
      </c>
      <c r="L141" s="32">
        <f t="shared" si="5"/>
        <v>0.18681318681318684</v>
      </c>
      <c r="M141" s="32"/>
      <c r="N141" s="4">
        <v>0</v>
      </c>
    </row>
    <row r="142" spans="1:14" x14ac:dyDescent="0.3">
      <c r="A142" t="s">
        <v>110</v>
      </c>
      <c r="B142" s="13" t="s">
        <v>113</v>
      </c>
      <c r="C142" s="28">
        <v>141</v>
      </c>
      <c r="D142" s="44" t="s">
        <v>111</v>
      </c>
      <c r="E142" s="44" t="s">
        <v>111</v>
      </c>
      <c r="F142" s="29" t="s">
        <v>11</v>
      </c>
      <c r="G142" s="4">
        <v>80</v>
      </c>
      <c r="H142" s="4">
        <v>95</v>
      </c>
      <c r="I142" s="4">
        <v>100</v>
      </c>
      <c r="J142" s="4">
        <v>100</v>
      </c>
      <c r="K142" s="31">
        <f t="shared" si="4"/>
        <v>98.333333333333329</v>
      </c>
      <c r="L142" s="32">
        <f t="shared" si="5"/>
        <v>-0.10280373831775699</v>
      </c>
      <c r="M142" s="32"/>
      <c r="N142" s="4">
        <v>0</v>
      </c>
    </row>
    <row r="143" spans="1:14" x14ac:dyDescent="0.3">
      <c r="A143" t="s">
        <v>110</v>
      </c>
      <c r="B143" s="13" t="s">
        <v>113</v>
      </c>
      <c r="C143" s="28">
        <v>142</v>
      </c>
      <c r="D143" s="44" t="s">
        <v>111</v>
      </c>
      <c r="E143" s="44" t="s">
        <v>111</v>
      </c>
      <c r="F143" s="29" t="s">
        <v>11</v>
      </c>
      <c r="G143" s="4">
        <v>60</v>
      </c>
      <c r="H143" s="4">
        <v>90</v>
      </c>
      <c r="I143" s="4">
        <v>70</v>
      </c>
      <c r="J143" s="4">
        <v>80</v>
      </c>
      <c r="K143" s="31">
        <f t="shared" si="4"/>
        <v>80</v>
      </c>
      <c r="L143" s="32">
        <f t="shared" si="5"/>
        <v>-0.14285714285714285</v>
      </c>
      <c r="M143" s="32"/>
      <c r="N143" s="4">
        <v>0</v>
      </c>
    </row>
    <row r="144" spans="1:14" x14ac:dyDescent="0.3">
      <c r="E144" s="44"/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1"/>
  <sheetViews>
    <sheetView topLeftCell="A62" workbookViewId="0">
      <selection activeCell="B81" sqref="B81"/>
    </sheetView>
  </sheetViews>
  <sheetFormatPr defaultColWidth="11.19921875" defaultRowHeight="15.6" x14ac:dyDescent="0.3"/>
  <sheetData>
    <row r="1" spans="1:88" x14ac:dyDescent="0.3">
      <c r="B1" s="53" t="s">
        <v>25</v>
      </c>
      <c r="C1" s="53" t="s">
        <v>1</v>
      </c>
      <c r="D1" s="52" t="s">
        <v>26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 t="s">
        <v>27</v>
      </c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28</v>
      </c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 t="s">
        <v>29</v>
      </c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7" t="s">
        <v>30</v>
      </c>
      <c r="CG1" s="7"/>
      <c r="CH1" s="7"/>
      <c r="CI1" s="7"/>
    </row>
    <row r="2" spans="1:88" x14ac:dyDescent="0.3">
      <c r="B2" s="53"/>
      <c r="C2" s="53"/>
      <c r="D2" s="8" t="s">
        <v>31</v>
      </c>
      <c r="E2" s="8" t="s">
        <v>32</v>
      </c>
      <c r="F2" s="8" t="s">
        <v>33</v>
      </c>
      <c r="G2" s="8" t="s">
        <v>34</v>
      </c>
      <c r="H2" s="8" t="s">
        <v>35</v>
      </c>
      <c r="I2" s="8" t="s">
        <v>36</v>
      </c>
      <c r="J2" s="8" t="s">
        <v>37</v>
      </c>
      <c r="K2" s="8" t="s">
        <v>38</v>
      </c>
      <c r="L2" s="8" t="s">
        <v>39</v>
      </c>
      <c r="M2" s="8" t="s">
        <v>40</v>
      </c>
      <c r="N2" s="8" t="s">
        <v>41</v>
      </c>
      <c r="O2" s="8" t="s">
        <v>42</v>
      </c>
      <c r="P2" s="8" t="s">
        <v>43</v>
      </c>
      <c r="Q2" s="8" t="s">
        <v>44</v>
      </c>
      <c r="R2" s="8" t="s">
        <v>45</v>
      </c>
      <c r="S2" s="8" t="s">
        <v>46</v>
      </c>
      <c r="T2" s="8" t="s">
        <v>47</v>
      </c>
      <c r="U2" s="8" t="s">
        <v>48</v>
      </c>
      <c r="V2" s="8" t="s">
        <v>49</v>
      </c>
      <c r="W2" s="9" t="s">
        <v>50</v>
      </c>
      <c r="X2" s="10" t="s">
        <v>31</v>
      </c>
      <c r="Y2" s="8" t="s">
        <v>32</v>
      </c>
      <c r="Z2" s="8" t="s">
        <v>33</v>
      </c>
      <c r="AA2" s="8" t="s">
        <v>34</v>
      </c>
      <c r="AB2" s="8" t="s">
        <v>35</v>
      </c>
      <c r="AC2" s="8" t="s">
        <v>36</v>
      </c>
      <c r="AD2" s="8" t="s">
        <v>37</v>
      </c>
      <c r="AE2" s="8" t="s">
        <v>38</v>
      </c>
      <c r="AF2" s="8" t="s">
        <v>39</v>
      </c>
      <c r="AG2" s="8" t="s">
        <v>40</v>
      </c>
      <c r="AH2" s="8" t="s">
        <v>41</v>
      </c>
      <c r="AI2" s="8" t="s">
        <v>42</v>
      </c>
      <c r="AJ2" s="8" t="s">
        <v>43</v>
      </c>
      <c r="AK2" s="8" t="s">
        <v>44</v>
      </c>
      <c r="AL2" s="8" t="s">
        <v>45</v>
      </c>
      <c r="AM2" s="8" t="s">
        <v>46</v>
      </c>
      <c r="AN2" s="8" t="s">
        <v>47</v>
      </c>
      <c r="AO2" s="8" t="s">
        <v>48</v>
      </c>
      <c r="AP2" s="8" t="s">
        <v>49</v>
      </c>
      <c r="AQ2" s="9" t="s">
        <v>50</v>
      </c>
      <c r="AR2" s="10" t="s">
        <v>31</v>
      </c>
      <c r="AS2" s="8" t="s">
        <v>32</v>
      </c>
      <c r="AT2" s="8" t="s">
        <v>33</v>
      </c>
      <c r="AU2" s="8" t="s">
        <v>34</v>
      </c>
      <c r="AV2" s="8" t="s">
        <v>35</v>
      </c>
      <c r="AW2" s="8" t="s">
        <v>36</v>
      </c>
      <c r="AX2" s="8" t="s">
        <v>37</v>
      </c>
      <c r="AY2" s="8" t="s">
        <v>38</v>
      </c>
      <c r="AZ2" s="8" t="s">
        <v>39</v>
      </c>
      <c r="BA2" s="8" t="s">
        <v>40</v>
      </c>
      <c r="BB2" s="8" t="s">
        <v>41</v>
      </c>
      <c r="BC2" s="8" t="s">
        <v>42</v>
      </c>
      <c r="BD2" s="8" t="s">
        <v>43</v>
      </c>
      <c r="BE2" s="8" t="s">
        <v>44</v>
      </c>
      <c r="BF2" s="8" t="s">
        <v>45</v>
      </c>
      <c r="BG2" s="8" t="s">
        <v>46</v>
      </c>
      <c r="BH2" s="8" t="s">
        <v>47</v>
      </c>
      <c r="BI2" s="8" t="s">
        <v>48</v>
      </c>
      <c r="BJ2" s="8" t="s">
        <v>49</v>
      </c>
      <c r="BK2" s="9" t="s">
        <v>50</v>
      </c>
      <c r="BL2" s="10" t="s">
        <v>31</v>
      </c>
      <c r="BM2" s="8" t="s">
        <v>32</v>
      </c>
      <c r="BN2" s="8" t="s">
        <v>33</v>
      </c>
      <c r="BO2" s="8" t="s">
        <v>34</v>
      </c>
      <c r="BP2" s="8" t="s">
        <v>35</v>
      </c>
      <c r="BQ2" s="8" t="s">
        <v>36</v>
      </c>
      <c r="BR2" s="8" t="s">
        <v>37</v>
      </c>
      <c r="BS2" s="8" t="s">
        <v>38</v>
      </c>
      <c r="BT2" s="8" t="s">
        <v>39</v>
      </c>
      <c r="BU2" s="8" t="s">
        <v>40</v>
      </c>
      <c r="BV2" s="8" t="s">
        <v>41</v>
      </c>
      <c r="BW2" s="8" t="s">
        <v>42</v>
      </c>
      <c r="BX2" s="8" t="s">
        <v>43</v>
      </c>
      <c r="BY2" s="8" t="s">
        <v>44</v>
      </c>
      <c r="BZ2" s="8" t="s">
        <v>45</v>
      </c>
      <c r="CA2" s="8" t="s">
        <v>46</v>
      </c>
      <c r="CB2" s="8" t="s">
        <v>47</v>
      </c>
      <c r="CC2" s="8" t="s">
        <v>48</v>
      </c>
      <c r="CD2" s="8" t="s">
        <v>49</v>
      </c>
      <c r="CE2" s="11" t="s">
        <v>50</v>
      </c>
      <c r="CF2" s="7" t="s">
        <v>51</v>
      </c>
      <c r="CG2" s="7" t="s">
        <v>52</v>
      </c>
      <c r="CH2" s="7" t="s">
        <v>53</v>
      </c>
      <c r="CI2" s="7" t="s">
        <v>54</v>
      </c>
      <c r="CJ2" s="33" t="s">
        <v>55</v>
      </c>
    </row>
    <row r="3" spans="1:88" x14ac:dyDescent="0.3">
      <c r="A3" t="s">
        <v>10</v>
      </c>
      <c r="B3" s="3">
        <v>1</v>
      </c>
      <c r="C3" s="12" t="s">
        <v>10</v>
      </c>
      <c r="D3" s="13">
        <v>2</v>
      </c>
      <c r="E3" s="13">
        <v>2</v>
      </c>
      <c r="F3" s="13">
        <v>2</v>
      </c>
      <c r="G3" s="13">
        <v>2</v>
      </c>
      <c r="H3" s="13">
        <v>2</v>
      </c>
      <c r="I3" s="13">
        <v>2</v>
      </c>
      <c r="J3" s="13">
        <v>2</v>
      </c>
      <c r="K3" s="13">
        <v>2</v>
      </c>
      <c r="L3" s="13">
        <v>1</v>
      </c>
      <c r="M3" s="13">
        <v>2</v>
      </c>
      <c r="N3" s="13">
        <v>2</v>
      </c>
      <c r="O3" s="13">
        <v>2</v>
      </c>
      <c r="P3" s="13">
        <v>2</v>
      </c>
      <c r="Q3" s="13">
        <v>2</v>
      </c>
      <c r="R3" s="13">
        <v>2</v>
      </c>
      <c r="S3" s="13">
        <v>2</v>
      </c>
      <c r="T3" s="13">
        <v>2</v>
      </c>
      <c r="U3" s="13">
        <v>2</v>
      </c>
      <c r="V3" s="13">
        <v>2</v>
      </c>
      <c r="W3" s="13">
        <v>2</v>
      </c>
      <c r="X3" s="14">
        <v>1</v>
      </c>
      <c r="Y3" s="13">
        <v>2</v>
      </c>
      <c r="Z3" s="13">
        <v>1</v>
      </c>
      <c r="AA3" s="13">
        <v>2</v>
      </c>
      <c r="AB3" s="13">
        <v>2</v>
      </c>
      <c r="AC3" s="13">
        <v>2</v>
      </c>
      <c r="AD3" s="13">
        <v>2</v>
      </c>
      <c r="AE3" s="13">
        <v>2</v>
      </c>
      <c r="AF3" s="13">
        <v>2</v>
      </c>
      <c r="AG3" s="13">
        <v>1</v>
      </c>
      <c r="AH3" s="13">
        <v>2</v>
      </c>
      <c r="AI3" s="13">
        <v>2</v>
      </c>
      <c r="AJ3" s="13">
        <v>1</v>
      </c>
      <c r="AK3" s="13">
        <v>2</v>
      </c>
      <c r="AL3" s="13">
        <v>2</v>
      </c>
      <c r="AM3" s="13">
        <v>2</v>
      </c>
      <c r="AN3" s="13">
        <v>1</v>
      </c>
      <c r="AO3" s="13">
        <v>1</v>
      </c>
      <c r="AP3" s="13">
        <v>1</v>
      </c>
      <c r="AQ3" s="13">
        <v>1</v>
      </c>
      <c r="AR3" s="14">
        <v>1</v>
      </c>
      <c r="AS3" s="13">
        <v>2</v>
      </c>
      <c r="AT3" s="13">
        <v>1</v>
      </c>
      <c r="AU3" s="13">
        <v>1</v>
      </c>
      <c r="AV3" s="13">
        <v>2</v>
      </c>
      <c r="AW3" s="13">
        <v>2</v>
      </c>
      <c r="AX3" s="13">
        <v>1</v>
      </c>
      <c r="AY3" s="13">
        <v>2</v>
      </c>
      <c r="AZ3" s="13">
        <v>1</v>
      </c>
      <c r="BA3" s="13">
        <v>1</v>
      </c>
      <c r="BB3" s="13">
        <v>1</v>
      </c>
      <c r="BC3" s="13">
        <v>1</v>
      </c>
      <c r="BD3" s="13">
        <v>2</v>
      </c>
      <c r="BE3" s="13">
        <v>2</v>
      </c>
      <c r="BF3" s="13">
        <v>2</v>
      </c>
      <c r="BG3" s="13">
        <v>2</v>
      </c>
      <c r="BH3" s="13">
        <v>2</v>
      </c>
      <c r="BI3" s="13">
        <v>2</v>
      </c>
      <c r="BJ3" s="13">
        <v>2</v>
      </c>
      <c r="BK3" s="13">
        <v>2</v>
      </c>
      <c r="BL3" s="14">
        <v>2</v>
      </c>
      <c r="BM3" s="13">
        <v>1</v>
      </c>
      <c r="BN3" s="13">
        <v>2</v>
      </c>
      <c r="BO3" s="13">
        <v>1</v>
      </c>
      <c r="BP3" s="13">
        <v>2</v>
      </c>
      <c r="BQ3" s="13">
        <v>1</v>
      </c>
      <c r="BR3" s="13">
        <v>2</v>
      </c>
      <c r="BS3" s="13">
        <v>1</v>
      </c>
      <c r="BT3" s="13">
        <v>1</v>
      </c>
      <c r="BU3" s="13">
        <v>2</v>
      </c>
      <c r="BV3" s="13">
        <v>2</v>
      </c>
      <c r="BW3" s="13">
        <v>1</v>
      </c>
      <c r="BX3" s="13">
        <v>2</v>
      </c>
      <c r="BY3" s="13">
        <v>1</v>
      </c>
      <c r="BZ3" s="13">
        <v>1</v>
      </c>
      <c r="CA3" s="13">
        <v>1</v>
      </c>
      <c r="CB3" s="13">
        <v>2</v>
      </c>
      <c r="CC3" s="13">
        <v>2</v>
      </c>
      <c r="CD3" s="13">
        <v>2</v>
      </c>
      <c r="CE3" s="15">
        <v>1</v>
      </c>
      <c r="CF3" s="13">
        <f>COUNTIF(D3:W3,0)</f>
        <v>0</v>
      </c>
      <c r="CG3" s="13">
        <f>COUNTIF(X3:AQ3,0)</f>
        <v>0</v>
      </c>
      <c r="CH3" s="13">
        <f>COUNTIF(AR3:BK3,0)</f>
        <v>0</v>
      </c>
      <c r="CI3" s="13">
        <f>COUNTIF(BL3:CE3,0)</f>
        <v>0</v>
      </c>
      <c r="CJ3">
        <f>SUM(CG3:CI3)</f>
        <v>0</v>
      </c>
    </row>
    <row r="4" spans="1:88" x14ac:dyDescent="0.3">
      <c r="A4" t="s">
        <v>10</v>
      </c>
      <c r="B4" s="1">
        <v>2</v>
      </c>
      <c r="C4" s="12" t="s">
        <v>10</v>
      </c>
      <c r="D4" s="13">
        <v>2</v>
      </c>
      <c r="E4" s="13">
        <v>2</v>
      </c>
      <c r="F4" s="13">
        <v>2</v>
      </c>
      <c r="G4" s="13">
        <v>2</v>
      </c>
      <c r="H4" s="13">
        <v>1</v>
      </c>
      <c r="I4" s="13">
        <v>2</v>
      </c>
      <c r="J4" s="13">
        <v>2</v>
      </c>
      <c r="K4" s="13">
        <v>2</v>
      </c>
      <c r="L4" s="13">
        <v>2</v>
      </c>
      <c r="M4" s="13">
        <v>2</v>
      </c>
      <c r="N4" s="13">
        <v>2</v>
      </c>
      <c r="O4" s="13">
        <v>2</v>
      </c>
      <c r="P4" s="13">
        <v>2</v>
      </c>
      <c r="Q4" s="13">
        <v>2</v>
      </c>
      <c r="R4" s="13">
        <v>1</v>
      </c>
      <c r="S4" s="13">
        <v>2</v>
      </c>
      <c r="T4" s="13">
        <v>2</v>
      </c>
      <c r="U4" s="13">
        <v>2</v>
      </c>
      <c r="V4" s="13">
        <v>1</v>
      </c>
      <c r="W4" s="13">
        <v>2</v>
      </c>
      <c r="X4" s="14">
        <v>1</v>
      </c>
      <c r="Y4" s="13">
        <v>2</v>
      </c>
      <c r="Z4" s="13">
        <v>2</v>
      </c>
      <c r="AA4" s="13">
        <v>2</v>
      </c>
      <c r="AB4" s="13">
        <v>2</v>
      </c>
      <c r="AC4" s="13">
        <v>1</v>
      </c>
      <c r="AD4" s="13">
        <v>1</v>
      </c>
      <c r="AE4" s="13">
        <v>1</v>
      </c>
      <c r="AF4" s="13">
        <v>2</v>
      </c>
      <c r="AG4" s="13">
        <v>1</v>
      </c>
      <c r="AH4" s="13">
        <v>2</v>
      </c>
      <c r="AI4" s="13">
        <v>1</v>
      </c>
      <c r="AJ4" s="13">
        <v>2</v>
      </c>
      <c r="AK4" s="13">
        <v>1</v>
      </c>
      <c r="AL4" s="13">
        <v>2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4">
        <v>2</v>
      </c>
      <c r="AS4" s="13">
        <v>2</v>
      </c>
      <c r="AT4" s="13">
        <v>2</v>
      </c>
      <c r="AU4" s="13">
        <v>2</v>
      </c>
      <c r="AV4" s="13">
        <v>2</v>
      </c>
      <c r="AW4" s="13">
        <v>2</v>
      </c>
      <c r="AX4" s="13">
        <v>2</v>
      </c>
      <c r="AY4" s="13">
        <v>2</v>
      </c>
      <c r="AZ4" s="13">
        <v>2</v>
      </c>
      <c r="BA4" s="13">
        <v>1</v>
      </c>
      <c r="BB4" s="13">
        <v>2</v>
      </c>
      <c r="BC4" s="13">
        <v>2</v>
      </c>
      <c r="BD4" s="13">
        <v>2</v>
      </c>
      <c r="BE4" s="13">
        <v>2</v>
      </c>
      <c r="BF4" s="13">
        <v>2</v>
      </c>
      <c r="BG4" s="13">
        <v>2</v>
      </c>
      <c r="BH4" s="13">
        <v>2</v>
      </c>
      <c r="BI4" s="13">
        <v>2</v>
      </c>
      <c r="BJ4" s="13">
        <v>2</v>
      </c>
      <c r="BK4" s="13">
        <v>2</v>
      </c>
      <c r="BL4" s="14">
        <v>2</v>
      </c>
      <c r="BM4" s="13">
        <v>2</v>
      </c>
      <c r="BN4" s="13">
        <v>1</v>
      </c>
      <c r="BO4" s="13">
        <v>2</v>
      </c>
      <c r="BP4" s="13">
        <v>2</v>
      </c>
      <c r="BQ4" s="13">
        <v>2</v>
      </c>
      <c r="BR4" s="13">
        <v>2</v>
      </c>
      <c r="BS4" s="13">
        <v>2</v>
      </c>
      <c r="BT4" s="13">
        <v>2</v>
      </c>
      <c r="BU4" s="13">
        <v>2</v>
      </c>
      <c r="BV4" s="13">
        <v>2</v>
      </c>
      <c r="BW4" s="13">
        <v>2</v>
      </c>
      <c r="BX4" s="13">
        <v>2</v>
      </c>
      <c r="BY4" s="13">
        <v>2</v>
      </c>
      <c r="BZ4" s="13">
        <v>2</v>
      </c>
      <c r="CA4" s="13">
        <v>2</v>
      </c>
      <c r="CB4" s="13">
        <v>1</v>
      </c>
      <c r="CC4" s="13">
        <v>1</v>
      </c>
      <c r="CD4" s="13">
        <v>2</v>
      </c>
      <c r="CE4" s="15">
        <v>2</v>
      </c>
      <c r="CF4" s="13">
        <f t="shared" ref="CF4:CF67" si="0">COUNTIF(D4:W4,0)</f>
        <v>0</v>
      </c>
      <c r="CG4" s="13">
        <f t="shared" ref="CG4:CG67" si="1">COUNTIF(X4:AQ4,0)</f>
        <v>0</v>
      </c>
      <c r="CH4" s="13">
        <f t="shared" ref="CH4:CH67" si="2">COUNTIF(AR4:BK4,0)</f>
        <v>0</v>
      </c>
      <c r="CI4" s="13">
        <f t="shared" ref="CI4:CI67" si="3">COUNTIF(BL4:CE4,0)</f>
        <v>0</v>
      </c>
      <c r="CJ4">
        <f t="shared" ref="CJ4:CJ48" si="4">SUM(CG4:CI4)</f>
        <v>0</v>
      </c>
    </row>
    <row r="5" spans="1:88" x14ac:dyDescent="0.3">
      <c r="A5" t="s">
        <v>10</v>
      </c>
      <c r="B5" s="1">
        <v>3</v>
      </c>
      <c r="C5" s="12" t="s">
        <v>10</v>
      </c>
      <c r="D5" s="13">
        <v>2</v>
      </c>
      <c r="E5" s="13">
        <v>2</v>
      </c>
      <c r="F5" s="13">
        <v>2</v>
      </c>
      <c r="G5" s="13">
        <v>2</v>
      </c>
      <c r="H5" s="13">
        <v>2</v>
      </c>
      <c r="I5" s="13">
        <v>2</v>
      </c>
      <c r="J5" s="13">
        <v>2</v>
      </c>
      <c r="K5" s="13">
        <v>2</v>
      </c>
      <c r="L5" s="13">
        <v>2</v>
      </c>
      <c r="M5" s="13">
        <v>2</v>
      </c>
      <c r="N5" s="13">
        <v>2</v>
      </c>
      <c r="O5" s="13">
        <v>2</v>
      </c>
      <c r="P5" s="13">
        <v>2</v>
      </c>
      <c r="Q5" s="13">
        <v>2</v>
      </c>
      <c r="R5" s="13">
        <v>2</v>
      </c>
      <c r="S5" s="13">
        <v>2</v>
      </c>
      <c r="T5" s="13">
        <v>2</v>
      </c>
      <c r="U5" s="13">
        <v>2</v>
      </c>
      <c r="V5" s="13">
        <v>2</v>
      </c>
      <c r="W5" s="13">
        <v>2</v>
      </c>
      <c r="X5" s="14">
        <v>2</v>
      </c>
      <c r="Y5" s="13">
        <v>2</v>
      </c>
      <c r="Z5" s="13">
        <v>2</v>
      </c>
      <c r="AA5" s="13">
        <v>2</v>
      </c>
      <c r="AB5" s="13">
        <v>2</v>
      </c>
      <c r="AC5" s="13">
        <v>2</v>
      </c>
      <c r="AD5" s="13">
        <v>2</v>
      </c>
      <c r="AE5" s="13">
        <v>2</v>
      </c>
      <c r="AF5" s="13">
        <v>2</v>
      </c>
      <c r="AG5" s="13">
        <v>2</v>
      </c>
      <c r="AH5" s="13">
        <v>1</v>
      </c>
      <c r="AI5" s="13">
        <v>2</v>
      </c>
      <c r="AJ5" s="13">
        <v>2</v>
      </c>
      <c r="AK5" s="13">
        <v>2</v>
      </c>
      <c r="AL5" s="13">
        <v>2</v>
      </c>
      <c r="AM5" s="13">
        <v>2</v>
      </c>
      <c r="AN5" s="13">
        <v>2</v>
      </c>
      <c r="AO5" s="13">
        <v>2</v>
      </c>
      <c r="AP5" s="13">
        <v>2</v>
      </c>
      <c r="AQ5" s="13">
        <v>2</v>
      </c>
      <c r="AR5" s="14">
        <v>2</v>
      </c>
      <c r="AS5" s="13">
        <v>2</v>
      </c>
      <c r="AT5" s="13">
        <v>2</v>
      </c>
      <c r="AU5" s="13">
        <v>2</v>
      </c>
      <c r="AV5" s="13">
        <v>2</v>
      </c>
      <c r="AW5" s="13">
        <v>2</v>
      </c>
      <c r="AX5" s="13">
        <v>2</v>
      </c>
      <c r="AY5" s="13">
        <v>2</v>
      </c>
      <c r="AZ5" s="13">
        <v>2</v>
      </c>
      <c r="BA5" s="13">
        <v>2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2</v>
      </c>
      <c r="BH5" s="13">
        <v>2</v>
      </c>
      <c r="BI5" s="13">
        <v>2</v>
      </c>
      <c r="BJ5" s="13">
        <v>2</v>
      </c>
      <c r="BK5" s="13">
        <v>2</v>
      </c>
      <c r="BL5" s="14">
        <v>2</v>
      </c>
      <c r="BM5" s="13">
        <v>2</v>
      </c>
      <c r="BN5" s="13">
        <v>2</v>
      </c>
      <c r="BO5" s="13">
        <v>2</v>
      </c>
      <c r="BP5" s="13">
        <v>2</v>
      </c>
      <c r="BQ5" s="13">
        <v>2</v>
      </c>
      <c r="BR5" s="13">
        <v>2</v>
      </c>
      <c r="BS5" s="13">
        <v>2</v>
      </c>
      <c r="BT5" s="13">
        <v>2</v>
      </c>
      <c r="BU5" s="13">
        <v>2</v>
      </c>
      <c r="BV5" s="13">
        <v>2</v>
      </c>
      <c r="BW5" s="13">
        <v>2</v>
      </c>
      <c r="BX5" s="13">
        <v>2</v>
      </c>
      <c r="BY5" s="13">
        <v>2</v>
      </c>
      <c r="BZ5" s="13">
        <v>2</v>
      </c>
      <c r="CA5" s="13">
        <v>2</v>
      </c>
      <c r="CB5" s="13">
        <v>2</v>
      </c>
      <c r="CC5" s="13">
        <v>2</v>
      </c>
      <c r="CD5" s="13">
        <v>2</v>
      </c>
      <c r="CE5" s="15">
        <v>2</v>
      </c>
      <c r="CF5" s="13">
        <f t="shared" si="0"/>
        <v>0</v>
      </c>
      <c r="CG5" s="13">
        <f t="shared" si="1"/>
        <v>0</v>
      </c>
      <c r="CH5" s="13">
        <f t="shared" si="2"/>
        <v>0</v>
      </c>
      <c r="CI5" s="13">
        <f t="shared" si="3"/>
        <v>0</v>
      </c>
      <c r="CJ5">
        <f t="shared" si="4"/>
        <v>0</v>
      </c>
    </row>
    <row r="6" spans="1:88" x14ac:dyDescent="0.3">
      <c r="A6" t="s">
        <v>10</v>
      </c>
      <c r="B6" s="1">
        <v>4</v>
      </c>
      <c r="C6" s="12" t="s">
        <v>10</v>
      </c>
      <c r="D6" s="13">
        <v>2</v>
      </c>
      <c r="E6" s="13">
        <v>2</v>
      </c>
      <c r="F6" s="13">
        <v>2</v>
      </c>
      <c r="G6" s="13">
        <v>2</v>
      </c>
      <c r="H6" s="13">
        <v>2</v>
      </c>
      <c r="I6" s="13">
        <v>2</v>
      </c>
      <c r="J6" s="13">
        <v>2</v>
      </c>
      <c r="K6" s="13">
        <v>1</v>
      </c>
      <c r="L6" s="13">
        <v>2</v>
      </c>
      <c r="M6" s="13">
        <v>2</v>
      </c>
      <c r="N6" s="13">
        <v>2</v>
      </c>
      <c r="O6" s="13">
        <v>2</v>
      </c>
      <c r="P6" s="13">
        <v>2</v>
      </c>
      <c r="Q6" s="13">
        <v>2</v>
      </c>
      <c r="R6" s="13">
        <v>1</v>
      </c>
      <c r="S6" s="13">
        <v>1</v>
      </c>
      <c r="T6" s="13">
        <v>2</v>
      </c>
      <c r="U6" s="13">
        <v>1</v>
      </c>
      <c r="V6" s="13">
        <v>1</v>
      </c>
      <c r="W6" s="13">
        <v>2</v>
      </c>
      <c r="X6" s="14">
        <v>2</v>
      </c>
      <c r="Y6" s="13">
        <v>2</v>
      </c>
      <c r="Z6" s="13">
        <v>2</v>
      </c>
      <c r="AA6" s="13">
        <v>2</v>
      </c>
      <c r="AB6" s="13">
        <v>2</v>
      </c>
      <c r="AC6" s="13">
        <v>2</v>
      </c>
      <c r="AD6" s="13">
        <v>2</v>
      </c>
      <c r="AE6" s="13">
        <v>1</v>
      </c>
      <c r="AF6" s="13">
        <v>2</v>
      </c>
      <c r="AG6" s="13">
        <v>2</v>
      </c>
      <c r="AH6" s="13">
        <v>2</v>
      </c>
      <c r="AI6" s="13">
        <v>1</v>
      </c>
      <c r="AJ6" s="13">
        <v>1</v>
      </c>
      <c r="AK6" s="13">
        <v>2</v>
      </c>
      <c r="AL6" s="13">
        <v>2</v>
      </c>
      <c r="AM6" s="13">
        <v>2</v>
      </c>
      <c r="AN6" s="13">
        <v>2</v>
      </c>
      <c r="AO6" s="13">
        <v>2</v>
      </c>
      <c r="AP6" s="13">
        <v>1</v>
      </c>
      <c r="AQ6" s="13">
        <v>2</v>
      </c>
      <c r="AR6" s="14">
        <v>2</v>
      </c>
      <c r="AS6" s="13">
        <v>2</v>
      </c>
      <c r="AT6" s="13">
        <v>2</v>
      </c>
      <c r="AU6" s="13">
        <v>2</v>
      </c>
      <c r="AV6" s="13">
        <v>2</v>
      </c>
      <c r="AW6" s="13">
        <v>2</v>
      </c>
      <c r="AX6" s="13">
        <v>2</v>
      </c>
      <c r="AY6" s="13">
        <v>2</v>
      </c>
      <c r="AZ6" s="13">
        <v>2</v>
      </c>
      <c r="BA6" s="13">
        <v>2</v>
      </c>
      <c r="BB6" s="13">
        <v>2</v>
      </c>
      <c r="BC6" s="13">
        <v>2</v>
      </c>
      <c r="BD6" s="13">
        <v>2</v>
      </c>
      <c r="BE6" s="13">
        <v>2</v>
      </c>
      <c r="BF6" s="13">
        <v>2</v>
      </c>
      <c r="BG6" s="13">
        <v>2</v>
      </c>
      <c r="BH6" s="13">
        <v>2</v>
      </c>
      <c r="BI6" s="13">
        <v>2</v>
      </c>
      <c r="BJ6" s="13">
        <v>2</v>
      </c>
      <c r="BK6" s="13">
        <v>1</v>
      </c>
      <c r="BL6" s="14">
        <v>2</v>
      </c>
      <c r="BM6" s="13">
        <v>1</v>
      </c>
      <c r="BN6" s="13">
        <v>1</v>
      </c>
      <c r="BO6" s="13">
        <v>1</v>
      </c>
      <c r="BP6" s="13">
        <v>1</v>
      </c>
      <c r="BQ6" s="13">
        <v>1</v>
      </c>
      <c r="BR6" s="13">
        <v>1</v>
      </c>
      <c r="BS6" s="13">
        <v>1</v>
      </c>
      <c r="BT6" s="13">
        <v>1</v>
      </c>
      <c r="BU6" s="13">
        <v>1</v>
      </c>
      <c r="BV6" s="13">
        <v>2</v>
      </c>
      <c r="BW6" s="13">
        <v>2</v>
      </c>
      <c r="BX6" s="13">
        <v>2</v>
      </c>
      <c r="BY6" s="13">
        <v>1</v>
      </c>
      <c r="BZ6" s="13">
        <v>2</v>
      </c>
      <c r="CA6" s="13">
        <v>2</v>
      </c>
      <c r="CB6" s="13">
        <v>1</v>
      </c>
      <c r="CC6" s="13">
        <v>2</v>
      </c>
      <c r="CD6" s="13">
        <v>1</v>
      </c>
      <c r="CE6" s="15">
        <v>2</v>
      </c>
      <c r="CF6" s="13">
        <f t="shared" si="0"/>
        <v>0</v>
      </c>
      <c r="CG6" s="13">
        <f t="shared" si="1"/>
        <v>0</v>
      </c>
      <c r="CH6" s="13">
        <f t="shared" si="2"/>
        <v>0</v>
      </c>
      <c r="CI6" s="13">
        <f t="shared" si="3"/>
        <v>0</v>
      </c>
      <c r="CJ6">
        <f t="shared" si="4"/>
        <v>0</v>
      </c>
    </row>
    <row r="7" spans="1:88" x14ac:dyDescent="0.3">
      <c r="A7" t="s">
        <v>10</v>
      </c>
      <c r="B7" s="1">
        <v>5</v>
      </c>
      <c r="C7" s="12" t="s">
        <v>10</v>
      </c>
      <c r="D7" s="13">
        <v>2</v>
      </c>
      <c r="E7" s="13">
        <v>2</v>
      </c>
      <c r="F7" s="13">
        <v>1</v>
      </c>
      <c r="G7" s="13">
        <v>1</v>
      </c>
      <c r="H7" s="13">
        <v>2</v>
      </c>
      <c r="I7" s="13">
        <v>2</v>
      </c>
      <c r="J7" s="13">
        <v>2</v>
      </c>
      <c r="K7" s="13">
        <v>1</v>
      </c>
      <c r="L7" s="13">
        <v>2</v>
      </c>
      <c r="M7" s="13">
        <v>2</v>
      </c>
      <c r="N7" s="13">
        <v>1</v>
      </c>
      <c r="O7" s="13">
        <v>2</v>
      </c>
      <c r="P7" s="13">
        <v>1</v>
      </c>
      <c r="Q7" s="13">
        <v>1</v>
      </c>
      <c r="R7" s="13">
        <v>1</v>
      </c>
      <c r="S7" s="13">
        <v>2</v>
      </c>
      <c r="T7" s="13">
        <v>1</v>
      </c>
      <c r="U7" s="13">
        <v>2</v>
      </c>
      <c r="V7" s="13">
        <v>1</v>
      </c>
      <c r="W7" s="13">
        <v>1</v>
      </c>
      <c r="X7" s="14">
        <v>2</v>
      </c>
      <c r="Y7" s="13">
        <v>2</v>
      </c>
      <c r="Z7" s="13">
        <v>2</v>
      </c>
      <c r="AA7" s="13">
        <v>2</v>
      </c>
      <c r="AB7" s="13">
        <v>1</v>
      </c>
      <c r="AC7" s="13">
        <v>2</v>
      </c>
      <c r="AD7" s="13">
        <v>2</v>
      </c>
      <c r="AE7" s="13">
        <v>2</v>
      </c>
      <c r="AF7" s="13">
        <v>2</v>
      </c>
      <c r="AG7" s="13">
        <v>2</v>
      </c>
      <c r="AH7" s="13">
        <v>2</v>
      </c>
      <c r="AI7" s="13">
        <v>2</v>
      </c>
      <c r="AJ7" s="13">
        <v>2</v>
      </c>
      <c r="AK7" s="13">
        <v>2</v>
      </c>
      <c r="AL7" s="13">
        <v>2</v>
      </c>
      <c r="AM7" s="13">
        <v>2</v>
      </c>
      <c r="AN7" s="13">
        <v>2</v>
      </c>
      <c r="AO7" s="13">
        <v>2</v>
      </c>
      <c r="AP7" s="13">
        <v>2</v>
      </c>
      <c r="AQ7" s="13">
        <v>2</v>
      </c>
      <c r="AR7" s="14">
        <v>2</v>
      </c>
      <c r="AS7" s="13">
        <v>2</v>
      </c>
      <c r="AT7" s="13">
        <v>2</v>
      </c>
      <c r="AU7" s="13">
        <v>2</v>
      </c>
      <c r="AV7" s="13">
        <v>2</v>
      </c>
      <c r="AW7" s="13">
        <v>2</v>
      </c>
      <c r="AX7" s="13">
        <v>1</v>
      </c>
      <c r="AY7" s="13">
        <v>2</v>
      </c>
      <c r="AZ7" s="13">
        <v>2</v>
      </c>
      <c r="BA7" s="13">
        <v>2</v>
      </c>
      <c r="BB7" s="13">
        <v>2</v>
      </c>
      <c r="BC7" s="13">
        <v>2</v>
      </c>
      <c r="BD7" s="13">
        <v>2</v>
      </c>
      <c r="BE7" s="13">
        <v>2</v>
      </c>
      <c r="BF7" s="13">
        <v>2</v>
      </c>
      <c r="BG7" s="13">
        <v>2</v>
      </c>
      <c r="BH7" s="13">
        <v>1</v>
      </c>
      <c r="BI7" s="13">
        <v>2</v>
      </c>
      <c r="BJ7" s="13">
        <v>2</v>
      </c>
      <c r="BK7" s="13">
        <v>2</v>
      </c>
      <c r="BL7" s="14">
        <v>2</v>
      </c>
      <c r="BM7" s="13">
        <v>1</v>
      </c>
      <c r="BN7" s="13">
        <v>2</v>
      </c>
      <c r="BO7" s="13">
        <v>2</v>
      </c>
      <c r="BP7" s="13">
        <v>2</v>
      </c>
      <c r="BQ7" s="13">
        <v>2</v>
      </c>
      <c r="BR7" s="13">
        <v>2</v>
      </c>
      <c r="BS7" s="13">
        <v>1</v>
      </c>
      <c r="BT7" s="13">
        <v>2</v>
      </c>
      <c r="BU7" s="13">
        <v>1</v>
      </c>
      <c r="BV7" s="13">
        <v>2</v>
      </c>
      <c r="BW7" s="13">
        <v>2</v>
      </c>
      <c r="BX7" s="13">
        <v>2</v>
      </c>
      <c r="BY7" s="13">
        <v>2</v>
      </c>
      <c r="BZ7" s="13">
        <v>2</v>
      </c>
      <c r="CA7" s="13">
        <v>1</v>
      </c>
      <c r="CB7" s="13">
        <v>2</v>
      </c>
      <c r="CC7" s="13">
        <v>1</v>
      </c>
      <c r="CD7" s="13">
        <v>2</v>
      </c>
      <c r="CE7" s="15">
        <v>2</v>
      </c>
      <c r="CF7" s="13">
        <f t="shared" si="0"/>
        <v>0</v>
      </c>
      <c r="CG7" s="13">
        <f t="shared" si="1"/>
        <v>0</v>
      </c>
      <c r="CH7" s="13">
        <f t="shared" si="2"/>
        <v>0</v>
      </c>
      <c r="CI7" s="13">
        <f t="shared" si="3"/>
        <v>0</v>
      </c>
      <c r="CJ7">
        <f t="shared" si="4"/>
        <v>0</v>
      </c>
    </row>
    <row r="8" spans="1:88" x14ac:dyDescent="0.3">
      <c r="A8" t="s">
        <v>10</v>
      </c>
      <c r="B8" s="1">
        <v>6</v>
      </c>
      <c r="C8" s="12" t="s">
        <v>10</v>
      </c>
      <c r="D8" s="13">
        <v>2</v>
      </c>
      <c r="E8" s="13">
        <v>2</v>
      </c>
      <c r="F8" s="13">
        <v>1</v>
      </c>
      <c r="G8" s="13">
        <v>2</v>
      </c>
      <c r="H8" s="13">
        <v>2</v>
      </c>
      <c r="I8" s="13">
        <v>2</v>
      </c>
      <c r="J8" s="13">
        <v>1</v>
      </c>
      <c r="K8" s="13">
        <v>1</v>
      </c>
      <c r="L8" s="13">
        <v>1</v>
      </c>
      <c r="M8" s="13">
        <v>1</v>
      </c>
      <c r="N8" s="13">
        <v>2</v>
      </c>
      <c r="O8" s="13">
        <v>1</v>
      </c>
      <c r="P8" s="13">
        <v>2</v>
      </c>
      <c r="Q8" s="13">
        <v>1</v>
      </c>
      <c r="R8" s="13">
        <v>2</v>
      </c>
      <c r="S8" s="13">
        <v>1</v>
      </c>
      <c r="T8" s="13">
        <v>1</v>
      </c>
      <c r="U8" s="13">
        <v>2</v>
      </c>
      <c r="V8" s="13">
        <v>2</v>
      </c>
      <c r="W8" s="13">
        <v>1</v>
      </c>
      <c r="X8" s="14">
        <v>2</v>
      </c>
      <c r="Y8" s="13">
        <v>1</v>
      </c>
      <c r="Z8" s="13">
        <v>2</v>
      </c>
      <c r="AA8" s="13">
        <v>2</v>
      </c>
      <c r="AB8" s="13">
        <v>1</v>
      </c>
      <c r="AC8" s="13">
        <v>2</v>
      </c>
      <c r="AD8" s="13">
        <v>2</v>
      </c>
      <c r="AE8" s="13">
        <v>1</v>
      </c>
      <c r="AF8" s="13">
        <v>1</v>
      </c>
      <c r="AG8" s="13">
        <v>1</v>
      </c>
      <c r="AH8" s="13">
        <v>2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2</v>
      </c>
      <c r="AP8" s="13">
        <v>2</v>
      </c>
      <c r="AQ8" s="13">
        <v>2</v>
      </c>
      <c r="AR8" s="14">
        <v>1</v>
      </c>
      <c r="AS8" s="13">
        <v>2</v>
      </c>
      <c r="AT8" s="13">
        <v>2</v>
      </c>
      <c r="AU8" s="13">
        <v>2</v>
      </c>
      <c r="AV8" s="13">
        <v>2</v>
      </c>
      <c r="AW8" s="13">
        <v>1</v>
      </c>
      <c r="AX8" s="13">
        <v>1</v>
      </c>
      <c r="AY8" s="13">
        <v>1</v>
      </c>
      <c r="AZ8" s="13">
        <v>1</v>
      </c>
      <c r="BA8" s="13">
        <v>1</v>
      </c>
      <c r="BB8" s="13">
        <v>2</v>
      </c>
      <c r="BC8" s="13">
        <v>2</v>
      </c>
      <c r="BD8" s="13">
        <v>1</v>
      </c>
      <c r="BE8" s="13">
        <v>1</v>
      </c>
      <c r="BF8" s="13">
        <v>1</v>
      </c>
      <c r="BG8" s="13">
        <v>1</v>
      </c>
      <c r="BH8" s="13">
        <v>1</v>
      </c>
      <c r="BI8" s="13">
        <v>2</v>
      </c>
      <c r="BJ8" s="13">
        <v>2</v>
      </c>
      <c r="BK8" s="13">
        <v>2</v>
      </c>
      <c r="BL8" s="14">
        <v>2</v>
      </c>
      <c r="BM8" s="13">
        <v>2</v>
      </c>
      <c r="BN8" s="13">
        <v>2</v>
      </c>
      <c r="BO8" s="13">
        <v>2</v>
      </c>
      <c r="BP8" s="13">
        <v>2</v>
      </c>
      <c r="BQ8" s="13">
        <v>2</v>
      </c>
      <c r="BR8" s="13">
        <v>2</v>
      </c>
      <c r="BS8" s="13">
        <v>2</v>
      </c>
      <c r="BT8" s="13">
        <v>2</v>
      </c>
      <c r="BU8" s="13">
        <v>2</v>
      </c>
      <c r="BV8" s="13">
        <v>2</v>
      </c>
      <c r="BW8" s="13">
        <v>2</v>
      </c>
      <c r="BX8" s="13">
        <v>2</v>
      </c>
      <c r="BY8" s="13">
        <v>2</v>
      </c>
      <c r="BZ8" s="13">
        <v>1</v>
      </c>
      <c r="CA8" s="13">
        <v>2</v>
      </c>
      <c r="CB8" s="13">
        <v>2</v>
      </c>
      <c r="CC8" s="13">
        <v>2</v>
      </c>
      <c r="CD8" s="13">
        <v>2</v>
      </c>
      <c r="CE8" s="15">
        <v>2</v>
      </c>
      <c r="CF8" s="13">
        <f t="shared" si="0"/>
        <v>0</v>
      </c>
      <c r="CG8" s="13">
        <f t="shared" si="1"/>
        <v>0</v>
      </c>
      <c r="CH8" s="13">
        <f t="shared" si="2"/>
        <v>0</v>
      </c>
      <c r="CI8" s="13">
        <f t="shared" si="3"/>
        <v>0</v>
      </c>
      <c r="CJ8">
        <f t="shared" si="4"/>
        <v>0</v>
      </c>
    </row>
    <row r="9" spans="1:88" x14ac:dyDescent="0.3">
      <c r="A9" t="s">
        <v>10</v>
      </c>
      <c r="B9" s="1">
        <v>7</v>
      </c>
      <c r="C9" s="12" t="s">
        <v>10</v>
      </c>
      <c r="D9" s="13">
        <v>2</v>
      </c>
      <c r="E9" s="13">
        <v>2</v>
      </c>
      <c r="F9" s="13">
        <v>1</v>
      </c>
      <c r="G9" s="13">
        <v>2</v>
      </c>
      <c r="H9" s="13">
        <v>1</v>
      </c>
      <c r="I9" s="13">
        <v>1</v>
      </c>
      <c r="J9" s="13">
        <v>2</v>
      </c>
      <c r="K9" s="13">
        <v>2</v>
      </c>
      <c r="L9" s="13">
        <v>2</v>
      </c>
      <c r="M9" s="13">
        <v>1</v>
      </c>
      <c r="N9" s="13">
        <v>2</v>
      </c>
      <c r="O9" s="13">
        <v>2</v>
      </c>
      <c r="P9" s="13">
        <v>2</v>
      </c>
      <c r="Q9" s="13">
        <v>2</v>
      </c>
      <c r="R9" s="13">
        <v>2</v>
      </c>
      <c r="S9" s="13">
        <v>2</v>
      </c>
      <c r="T9" s="13">
        <v>2</v>
      </c>
      <c r="U9" s="13">
        <v>2</v>
      </c>
      <c r="V9" s="13">
        <v>2</v>
      </c>
      <c r="W9" s="13">
        <v>2</v>
      </c>
      <c r="X9" s="14">
        <v>2</v>
      </c>
      <c r="Y9" s="13">
        <v>2</v>
      </c>
      <c r="Z9" s="13">
        <v>2</v>
      </c>
      <c r="AA9" s="13">
        <v>1</v>
      </c>
      <c r="AB9" s="13">
        <v>1</v>
      </c>
      <c r="AC9" s="13">
        <v>2</v>
      </c>
      <c r="AD9" s="13">
        <v>2</v>
      </c>
      <c r="AE9" s="13">
        <v>2</v>
      </c>
      <c r="AF9" s="13">
        <v>2</v>
      </c>
      <c r="AG9" s="13">
        <v>2</v>
      </c>
      <c r="AH9" s="13">
        <v>2</v>
      </c>
      <c r="AI9" s="13">
        <v>2</v>
      </c>
      <c r="AJ9" s="13">
        <v>2</v>
      </c>
      <c r="AK9" s="13">
        <v>2</v>
      </c>
      <c r="AL9" s="13">
        <v>2</v>
      </c>
      <c r="AM9" s="13">
        <v>2</v>
      </c>
      <c r="AN9" s="13">
        <v>2</v>
      </c>
      <c r="AO9" s="13">
        <v>2</v>
      </c>
      <c r="AP9" s="13">
        <v>2</v>
      </c>
      <c r="AQ9" s="13">
        <v>2</v>
      </c>
      <c r="AR9" s="14">
        <v>2</v>
      </c>
      <c r="AS9" s="13">
        <v>1</v>
      </c>
      <c r="AT9" s="13">
        <v>2</v>
      </c>
      <c r="AU9" s="13">
        <v>2</v>
      </c>
      <c r="AV9" s="13">
        <v>1</v>
      </c>
      <c r="AW9" s="13">
        <v>1</v>
      </c>
      <c r="AX9" s="13">
        <v>2</v>
      </c>
      <c r="AY9" s="13">
        <v>2</v>
      </c>
      <c r="AZ9" s="13">
        <v>1</v>
      </c>
      <c r="BA9" s="13">
        <v>2</v>
      </c>
      <c r="BB9" s="13">
        <v>2</v>
      </c>
      <c r="BC9" s="13">
        <v>2</v>
      </c>
      <c r="BD9" s="13">
        <v>2</v>
      </c>
      <c r="BE9" s="13">
        <v>1</v>
      </c>
      <c r="BF9" s="13">
        <v>2</v>
      </c>
      <c r="BG9" s="13">
        <v>2</v>
      </c>
      <c r="BH9" s="13">
        <v>1</v>
      </c>
      <c r="BI9" s="13">
        <v>2</v>
      </c>
      <c r="BJ9" s="13">
        <v>2</v>
      </c>
      <c r="BK9" s="13">
        <v>2</v>
      </c>
      <c r="BL9" s="14">
        <v>2</v>
      </c>
      <c r="BM9" s="13">
        <v>2</v>
      </c>
      <c r="BN9" s="13">
        <v>1</v>
      </c>
      <c r="BO9" s="13">
        <v>2</v>
      </c>
      <c r="BP9" s="13">
        <v>2</v>
      </c>
      <c r="BQ9" s="13">
        <v>2</v>
      </c>
      <c r="BR9" s="13">
        <v>2</v>
      </c>
      <c r="BS9" s="13">
        <v>2</v>
      </c>
      <c r="BT9" s="13">
        <v>2</v>
      </c>
      <c r="BU9" s="13">
        <v>2</v>
      </c>
      <c r="BV9" s="13">
        <v>2</v>
      </c>
      <c r="BW9" s="13">
        <v>1</v>
      </c>
      <c r="BX9" s="13">
        <v>2</v>
      </c>
      <c r="BY9" s="13">
        <v>2</v>
      </c>
      <c r="BZ9" s="13">
        <v>2</v>
      </c>
      <c r="CA9" s="13">
        <v>2</v>
      </c>
      <c r="CB9" s="13">
        <v>2</v>
      </c>
      <c r="CC9" s="13">
        <v>2</v>
      </c>
      <c r="CD9" s="13">
        <v>2</v>
      </c>
      <c r="CE9" s="15">
        <v>2</v>
      </c>
      <c r="CF9" s="13">
        <f t="shared" si="0"/>
        <v>0</v>
      </c>
      <c r="CG9" s="13">
        <f t="shared" si="1"/>
        <v>0</v>
      </c>
      <c r="CH9" s="13">
        <f t="shared" si="2"/>
        <v>0</v>
      </c>
      <c r="CI9" s="13">
        <f t="shared" si="3"/>
        <v>0</v>
      </c>
      <c r="CJ9">
        <f t="shared" si="4"/>
        <v>0</v>
      </c>
    </row>
    <row r="10" spans="1:88" x14ac:dyDescent="0.3">
      <c r="A10" t="s">
        <v>10</v>
      </c>
      <c r="B10" s="1">
        <v>8</v>
      </c>
      <c r="C10" s="12" t="s">
        <v>10</v>
      </c>
      <c r="D10" s="13">
        <v>2</v>
      </c>
      <c r="E10" s="13">
        <v>2</v>
      </c>
      <c r="F10" s="13">
        <v>2</v>
      </c>
      <c r="G10" s="13">
        <v>2</v>
      </c>
      <c r="H10" s="13">
        <v>2</v>
      </c>
      <c r="I10" s="13">
        <v>2</v>
      </c>
      <c r="J10" s="13">
        <v>2</v>
      </c>
      <c r="K10" s="13">
        <v>2</v>
      </c>
      <c r="L10" s="13">
        <v>2</v>
      </c>
      <c r="M10" s="13">
        <v>2</v>
      </c>
      <c r="N10" s="13">
        <v>2</v>
      </c>
      <c r="O10" s="13">
        <v>2</v>
      </c>
      <c r="P10" s="13">
        <v>2</v>
      </c>
      <c r="Q10" s="13">
        <v>2</v>
      </c>
      <c r="R10" s="13">
        <v>2</v>
      </c>
      <c r="S10" s="13">
        <v>1</v>
      </c>
      <c r="T10" s="13">
        <v>1</v>
      </c>
      <c r="U10" s="13">
        <v>2</v>
      </c>
      <c r="V10" s="13">
        <v>2</v>
      </c>
      <c r="W10" s="13">
        <v>2</v>
      </c>
      <c r="X10" s="14">
        <v>2</v>
      </c>
      <c r="Y10" s="13">
        <v>2</v>
      </c>
      <c r="Z10" s="13">
        <v>2</v>
      </c>
      <c r="AA10" s="13">
        <v>2</v>
      </c>
      <c r="AB10" s="13">
        <v>2</v>
      </c>
      <c r="AC10" s="13">
        <v>2</v>
      </c>
      <c r="AD10" s="13">
        <v>2</v>
      </c>
      <c r="AE10" s="13">
        <v>2</v>
      </c>
      <c r="AF10" s="13">
        <v>2</v>
      </c>
      <c r="AG10" s="13">
        <v>2</v>
      </c>
      <c r="AH10" s="13">
        <v>2</v>
      </c>
      <c r="AI10" s="13">
        <v>2</v>
      </c>
      <c r="AJ10" s="13">
        <v>1</v>
      </c>
      <c r="AK10" s="13">
        <v>2</v>
      </c>
      <c r="AL10" s="13">
        <v>1</v>
      </c>
      <c r="AM10" s="13">
        <v>2</v>
      </c>
      <c r="AN10" s="13">
        <v>2</v>
      </c>
      <c r="AO10" s="13">
        <v>2</v>
      </c>
      <c r="AP10" s="13">
        <v>2</v>
      </c>
      <c r="AQ10" s="13">
        <v>1</v>
      </c>
      <c r="AR10" s="14">
        <v>2</v>
      </c>
      <c r="AS10" s="13">
        <v>1</v>
      </c>
      <c r="AT10" s="13">
        <v>2</v>
      </c>
      <c r="AU10" s="13">
        <v>2</v>
      </c>
      <c r="AV10" s="13">
        <v>2</v>
      </c>
      <c r="AW10" s="13">
        <v>2</v>
      </c>
      <c r="AX10" s="13">
        <v>2</v>
      </c>
      <c r="AY10" s="13">
        <v>2</v>
      </c>
      <c r="AZ10" s="13">
        <v>2</v>
      </c>
      <c r="BA10" s="13">
        <v>2</v>
      </c>
      <c r="BB10" s="13">
        <v>2</v>
      </c>
      <c r="BC10" s="13">
        <v>2</v>
      </c>
      <c r="BD10" s="13">
        <v>2</v>
      </c>
      <c r="BE10" s="13">
        <v>2</v>
      </c>
      <c r="BF10" s="13">
        <v>2</v>
      </c>
      <c r="BG10" s="13">
        <v>2</v>
      </c>
      <c r="BH10" s="13">
        <v>2</v>
      </c>
      <c r="BI10" s="13">
        <v>2</v>
      </c>
      <c r="BJ10" s="13">
        <v>2</v>
      </c>
      <c r="BK10" s="13">
        <v>2</v>
      </c>
      <c r="BL10" s="14">
        <v>2</v>
      </c>
      <c r="BM10" s="13">
        <v>2</v>
      </c>
      <c r="BN10" s="13">
        <v>2</v>
      </c>
      <c r="BO10" s="13">
        <v>2</v>
      </c>
      <c r="BP10" s="13">
        <v>1</v>
      </c>
      <c r="BQ10" s="13">
        <v>1</v>
      </c>
      <c r="BR10" s="13">
        <v>2</v>
      </c>
      <c r="BS10" s="13">
        <v>2</v>
      </c>
      <c r="BT10" s="13">
        <v>2</v>
      </c>
      <c r="BU10" s="13">
        <v>2</v>
      </c>
      <c r="BV10" s="13">
        <v>2</v>
      </c>
      <c r="BW10" s="13">
        <v>2</v>
      </c>
      <c r="BX10" s="13">
        <v>2</v>
      </c>
      <c r="BY10" s="13">
        <v>2</v>
      </c>
      <c r="BZ10" s="13">
        <v>2</v>
      </c>
      <c r="CA10" s="13">
        <v>2</v>
      </c>
      <c r="CB10" s="13">
        <v>2</v>
      </c>
      <c r="CC10" s="13">
        <v>1</v>
      </c>
      <c r="CD10" s="13">
        <v>1</v>
      </c>
      <c r="CE10" s="15">
        <v>1</v>
      </c>
      <c r="CF10" s="13">
        <f t="shared" si="0"/>
        <v>0</v>
      </c>
      <c r="CG10" s="13">
        <f t="shared" si="1"/>
        <v>0</v>
      </c>
      <c r="CH10" s="13">
        <f t="shared" si="2"/>
        <v>0</v>
      </c>
      <c r="CI10" s="13">
        <f t="shared" si="3"/>
        <v>0</v>
      </c>
      <c r="CJ10">
        <f t="shared" si="4"/>
        <v>0</v>
      </c>
    </row>
    <row r="11" spans="1:88" x14ac:dyDescent="0.3">
      <c r="A11" t="s">
        <v>10</v>
      </c>
      <c r="B11" s="1">
        <v>9</v>
      </c>
      <c r="C11" s="12" t="s">
        <v>10</v>
      </c>
      <c r="D11" s="13">
        <v>2</v>
      </c>
      <c r="E11" s="13">
        <v>2</v>
      </c>
      <c r="F11" s="13">
        <v>2</v>
      </c>
      <c r="G11" s="13">
        <v>2</v>
      </c>
      <c r="H11" s="13">
        <v>2</v>
      </c>
      <c r="I11" s="13">
        <v>2</v>
      </c>
      <c r="J11" s="13">
        <v>2</v>
      </c>
      <c r="K11" s="13">
        <v>2</v>
      </c>
      <c r="L11" s="13">
        <v>2</v>
      </c>
      <c r="M11" s="13">
        <v>2</v>
      </c>
      <c r="N11" s="13">
        <v>2</v>
      </c>
      <c r="O11" s="13">
        <v>2</v>
      </c>
      <c r="P11" s="13">
        <v>2</v>
      </c>
      <c r="Q11" s="13">
        <v>2</v>
      </c>
      <c r="R11" s="13">
        <v>2</v>
      </c>
      <c r="S11" s="13">
        <v>2</v>
      </c>
      <c r="T11" s="13">
        <v>2</v>
      </c>
      <c r="U11" s="13">
        <v>2</v>
      </c>
      <c r="V11" s="13">
        <v>2</v>
      </c>
      <c r="W11" s="13">
        <v>2</v>
      </c>
      <c r="X11" s="14">
        <v>2</v>
      </c>
      <c r="Y11" s="13">
        <v>2</v>
      </c>
      <c r="Z11" s="13">
        <v>2</v>
      </c>
      <c r="AA11" s="13">
        <v>2</v>
      </c>
      <c r="AB11" s="13">
        <v>2</v>
      </c>
      <c r="AC11" s="13">
        <v>2</v>
      </c>
      <c r="AD11" s="13">
        <v>2</v>
      </c>
      <c r="AE11" s="13">
        <v>2</v>
      </c>
      <c r="AF11" s="13">
        <v>2</v>
      </c>
      <c r="AG11" s="13">
        <v>2</v>
      </c>
      <c r="AH11" s="13">
        <v>2</v>
      </c>
      <c r="AI11" s="13">
        <v>2</v>
      </c>
      <c r="AJ11" s="13">
        <v>2</v>
      </c>
      <c r="AK11" s="13">
        <v>2</v>
      </c>
      <c r="AL11" s="13">
        <v>2</v>
      </c>
      <c r="AM11" s="13">
        <v>2</v>
      </c>
      <c r="AN11" s="13">
        <v>2</v>
      </c>
      <c r="AO11" s="13">
        <v>2</v>
      </c>
      <c r="AP11" s="13">
        <v>2</v>
      </c>
      <c r="AQ11" s="13">
        <v>2</v>
      </c>
      <c r="AR11" s="14">
        <v>2</v>
      </c>
      <c r="AS11" s="13">
        <v>2</v>
      </c>
      <c r="AT11" s="13">
        <v>2</v>
      </c>
      <c r="AU11" s="13">
        <v>2</v>
      </c>
      <c r="AV11" s="13">
        <v>2</v>
      </c>
      <c r="AW11" s="13">
        <v>2</v>
      </c>
      <c r="AX11" s="13">
        <v>2</v>
      </c>
      <c r="AY11" s="13">
        <v>2</v>
      </c>
      <c r="AZ11" s="13">
        <v>2</v>
      </c>
      <c r="BA11" s="13">
        <v>2</v>
      </c>
      <c r="BB11" s="13">
        <v>2</v>
      </c>
      <c r="BC11" s="13">
        <v>2</v>
      </c>
      <c r="BD11" s="13">
        <v>2</v>
      </c>
      <c r="BE11" s="13">
        <v>2</v>
      </c>
      <c r="BF11" s="13">
        <v>2</v>
      </c>
      <c r="BG11" s="13">
        <v>2</v>
      </c>
      <c r="BH11" s="13">
        <v>2</v>
      </c>
      <c r="BI11" s="13">
        <v>2</v>
      </c>
      <c r="BJ11" s="13">
        <v>2</v>
      </c>
      <c r="BK11" s="13">
        <v>2</v>
      </c>
      <c r="BL11" s="14">
        <v>2</v>
      </c>
      <c r="BM11" s="13">
        <v>2</v>
      </c>
      <c r="BN11" s="13">
        <v>1</v>
      </c>
      <c r="BO11" s="13">
        <v>2</v>
      </c>
      <c r="BP11" s="13">
        <v>2</v>
      </c>
      <c r="BQ11" s="13">
        <v>2</v>
      </c>
      <c r="BR11" s="13">
        <v>1</v>
      </c>
      <c r="BS11" s="13">
        <v>2</v>
      </c>
      <c r="BT11" s="13">
        <v>1</v>
      </c>
      <c r="BU11" s="13">
        <v>2</v>
      </c>
      <c r="BV11" s="13">
        <v>2</v>
      </c>
      <c r="BW11" s="13">
        <v>2</v>
      </c>
      <c r="BX11" s="13">
        <v>2</v>
      </c>
      <c r="BY11" s="13">
        <v>2</v>
      </c>
      <c r="BZ11" s="13">
        <v>1</v>
      </c>
      <c r="CA11" s="13">
        <v>2</v>
      </c>
      <c r="CB11" s="13">
        <v>2</v>
      </c>
      <c r="CC11" s="13">
        <v>2</v>
      </c>
      <c r="CD11" s="13">
        <v>2</v>
      </c>
      <c r="CE11" s="15">
        <v>1</v>
      </c>
      <c r="CF11" s="13">
        <f t="shared" si="0"/>
        <v>0</v>
      </c>
      <c r="CG11" s="13">
        <f t="shared" si="1"/>
        <v>0</v>
      </c>
      <c r="CH11" s="13">
        <f t="shared" si="2"/>
        <v>0</v>
      </c>
      <c r="CI11" s="13">
        <f t="shared" si="3"/>
        <v>0</v>
      </c>
      <c r="CJ11">
        <f t="shared" si="4"/>
        <v>0</v>
      </c>
    </row>
    <row r="12" spans="1:88" x14ac:dyDescent="0.3">
      <c r="A12" t="s">
        <v>10</v>
      </c>
      <c r="B12" s="1">
        <v>10</v>
      </c>
      <c r="C12" s="12" t="s">
        <v>10</v>
      </c>
      <c r="D12" s="13">
        <v>2</v>
      </c>
      <c r="E12" s="13">
        <v>2</v>
      </c>
      <c r="F12" s="13">
        <v>2</v>
      </c>
      <c r="G12" s="13">
        <v>2</v>
      </c>
      <c r="H12" s="13">
        <v>2</v>
      </c>
      <c r="I12" s="13">
        <v>2</v>
      </c>
      <c r="J12" s="13">
        <v>2</v>
      </c>
      <c r="K12" s="13">
        <v>1</v>
      </c>
      <c r="L12" s="13">
        <v>1</v>
      </c>
      <c r="M12" s="13">
        <v>1</v>
      </c>
      <c r="N12" s="13">
        <v>1</v>
      </c>
      <c r="O12" s="13">
        <v>2</v>
      </c>
      <c r="P12" s="13">
        <v>2</v>
      </c>
      <c r="Q12" s="13">
        <v>2</v>
      </c>
      <c r="R12" s="13">
        <v>2</v>
      </c>
      <c r="S12" s="13">
        <v>2</v>
      </c>
      <c r="T12" s="13">
        <v>1</v>
      </c>
      <c r="U12" s="13">
        <v>1</v>
      </c>
      <c r="V12" s="13">
        <v>2</v>
      </c>
      <c r="W12" s="13">
        <v>2</v>
      </c>
      <c r="X12" s="14">
        <v>2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2</v>
      </c>
      <c r="AE12" s="13">
        <v>1</v>
      </c>
      <c r="AF12" s="13">
        <v>2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2</v>
      </c>
      <c r="AN12" s="13">
        <v>2</v>
      </c>
      <c r="AO12" s="13">
        <v>2</v>
      </c>
      <c r="AP12" s="13">
        <v>2</v>
      </c>
      <c r="AQ12" s="13">
        <v>1</v>
      </c>
      <c r="AR12" s="14">
        <v>1</v>
      </c>
      <c r="AS12" s="13">
        <v>1</v>
      </c>
      <c r="AT12" s="13">
        <v>2</v>
      </c>
      <c r="AU12" s="13">
        <v>2</v>
      </c>
      <c r="AV12" s="13">
        <v>2</v>
      </c>
      <c r="AW12" s="13">
        <v>1</v>
      </c>
      <c r="AX12" s="13">
        <v>2</v>
      </c>
      <c r="AY12" s="13">
        <v>2</v>
      </c>
      <c r="AZ12" s="13">
        <v>2</v>
      </c>
      <c r="BA12" s="13">
        <v>2</v>
      </c>
      <c r="BB12" s="13">
        <v>1</v>
      </c>
      <c r="BC12" s="13">
        <v>1</v>
      </c>
      <c r="BD12" s="13">
        <v>1</v>
      </c>
      <c r="BE12" s="13">
        <v>2</v>
      </c>
      <c r="BF12" s="13">
        <v>1</v>
      </c>
      <c r="BG12" s="13">
        <v>2</v>
      </c>
      <c r="BH12" s="13">
        <v>2</v>
      </c>
      <c r="BI12" s="13">
        <v>1</v>
      </c>
      <c r="BJ12" s="13">
        <v>1</v>
      </c>
      <c r="BK12" s="13">
        <v>1</v>
      </c>
      <c r="BL12" s="14">
        <v>2</v>
      </c>
      <c r="BM12" s="13">
        <v>2</v>
      </c>
      <c r="BN12" s="13">
        <v>2</v>
      </c>
      <c r="BO12" s="13">
        <v>2</v>
      </c>
      <c r="BP12" s="13">
        <v>2</v>
      </c>
      <c r="BQ12" s="13">
        <v>2</v>
      </c>
      <c r="BR12" s="13">
        <v>2</v>
      </c>
      <c r="BS12" s="13">
        <v>2</v>
      </c>
      <c r="BT12" s="13">
        <v>2</v>
      </c>
      <c r="BU12" s="13">
        <v>2</v>
      </c>
      <c r="BV12" s="13">
        <v>2</v>
      </c>
      <c r="BW12" s="13">
        <v>2</v>
      </c>
      <c r="BX12" s="13">
        <v>2</v>
      </c>
      <c r="BY12" s="13">
        <v>2</v>
      </c>
      <c r="BZ12" s="13">
        <v>2</v>
      </c>
      <c r="CA12" s="13">
        <v>1</v>
      </c>
      <c r="CB12" s="13">
        <v>1</v>
      </c>
      <c r="CC12" s="13">
        <v>2</v>
      </c>
      <c r="CD12" s="13">
        <v>1</v>
      </c>
      <c r="CE12" s="15">
        <v>2</v>
      </c>
      <c r="CF12" s="13">
        <f t="shared" si="0"/>
        <v>0</v>
      </c>
      <c r="CG12" s="13">
        <f t="shared" si="1"/>
        <v>0</v>
      </c>
      <c r="CH12" s="13">
        <f t="shared" si="2"/>
        <v>0</v>
      </c>
      <c r="CI12" s="13">
        <f t="shared" si="3"/>
        <v>0</v>
      </c>
      <c r="CJ12">
        <f t="shared" si="4"/>
        <v>0</v>
      </c>
    </row>
    <row r="13" spans="1:88" x14ac:dyDescent="0.3">
      <c r="A13" t="s">
        <v>10</v>
      </c>
      <c r="B13" s="1">
        <v>11</v>
      </c>
      <c r="C13" s="12" t="s">
        <v>10</v>
      </c>
      <c r="D13" s="13">
        <v>2</v>
      </c>
      <c r="E13" s="13">
        <v>2</v>
      </c>
      <c r="F13" s="13">
        <v>2</v>
      </c>
      <c r="G13" s="13">
        <v>2</v>
      </c>
      <c r="H13" s="13">
        <v>2</v>
      </c>
      <c r="I13" s="13">
        <v>2</v>
      </c>
      <c r="J13" s="13">
        <v>2</v>
      </c>
      <c r="K13" s="13">
        <v>2</v>
      </c>
      <c r="L13" s="13">
        <v>2</v>
      </c>
      <c r="M13" s="13">
        <v>2</v>
      </c>
      <c r="N13" s="13">
        <v>2</v>
      </c>
      <c r="O13" s="13">
        <v>2</v>
      </c>
      <c r="P13" s="13">
        <v>2</v>
      </c>
      <c r="Q13" s="13">
        <v>2</v>
      </c>
      <c r="R13" s="13">
        <v>2</v>
      </c>
      <c r="S13" s="13">
        <v>1</v>
      </c>
      <c r="T13" s="13">
        <v>2</v>
      </c>
      <c r="U13" s="13">
        <v>1</v>
      </c>
      <c r="V13" s="13">
        <v>1</v>
      </c>
      <c r="W13" s="13">
        <v>2</v>
      </c>
      <c r="X13" s="14">
        <v>1</v>
      </c>
      <c r="Y13" s="13">
        <v>2</v>
      </c>
      <c r="Z13" s="13">
        <v>1</v>
      </c>
      <c r="AA13" s="13">
        <v>2</v>
      </c>
      <c r="AB13" s="13">
        <v>2</v>
      </c>
      <c r="AC13" s="13">
        <v>2</v>
      </c>
      <c r="AD13" s="13">
        <v>2</v>
      </c>
      <c r="AE13" s="13">
        <v>2</v>
      </c>
      <c r="AF13" s="13">
        <v>1</v>
      </c>
      <c r="AG13" s="13">
        <v>1</v>
      </c>
      <c r="AH13" s="13">
        <v>2</v>
      </c>
      <c r="AI13" s="13">
        <v>1</v>
      </c>
      <c r="AJ13" s="13">
        <v>2</v>
      </c>
      <c r="AK13" s="13">
        <v>2</v>
      </c>
      <c r="AL13" s="13">
        <v>2</v>
      </c>
      <c r="AM13" s="13">
        <v>2</v>
      </c>
      <c r="AN13" s="13">
        <v>2</v>
      </c>
      <c r="AO13" s="13">
        <v>1</v>
      </c>
      <c r="AP13" s="13">
        <v>2</v>
      </c>
      <c r="AQ13" s="13">
        <v>2</v>
      </c>
      <c r="AR13" s="14">
        <v>2</v>
      </c>
      <c r="AS13" s="13">
        <v>2</v>
      </c>
      <c r="AT13" s="13">
        <v>2</v>
      </c>
      <c r="AU13" s="13">
        <v>2</v>
      </c>
      <c r="AV13" s="13">
        <v>2</v>
      </c>
      <c r="AW13" s="13">
        <v>1</v>
      </c>
      <c r="AX13" s="13">
        <v>1</v>
      </c>
      <c r="AY13" s="13">
        <v>2</v>
      </c>
      <c r="AZ13" s="13">
        <v>2</v>
      </c>
      <c r="BA13" s="13">
        <v>2</v>
      </c>
      <c r="BB13" s="13">
        <v>2</v>
      </c>
      <c r="BC13" s="13">
        <v>2</v>
      </c>
      <c r="BD13" s="13">
        <v>2</v>
      </c>
      <c r="BE13" s="13">
        <v>1</v>
      </c>
      <c r="BF13" s="13">
        <v>2</v>
      </c>
      <c r="BG13" s="13">
        <v>2</v>
      </c>
      <c r="BH13" s="13">
        <v>2</v>
      </c>
      <c r="BI13" s="13">
        <v>2</v>
      </c>
      <c r="BJ13" s="13">
        <v>2</v>
      </c>
      <c r="BK13" s="13">
        <v>2</v>
      </c>
      <c r="BL13" s="14">
        <v>2</v>
      </c>
      <c r="BM13" s="13">
        <v>2</v>
      </c>
      <c r="BN13" s="13">
        <v>1</v>
      </c>
      <c r="BO13" s="13">
        <v>2</v>
      </c>
      <c r="BP13" s="13">
        <v>1</v>
      </c>
      <c r="BQ13" s="13">
        <v>1</v>
      </c>
      <c r="BR13" s="13">
        <v>2</v>
      </c>
      <c r="BS13" s="13">
        <v>2</v>
      </c>
      <c r="BT13" s="13">
        <v>2</v>
      </c>
      <c r="BU13" s="13">
        <v>1</v>
      </c>
      <c r="BV13" s="13">
        <v>1</v>
      </c>
      <c r="BW13" s="13">
        <v>2</v>
      </c>
      <c r="BX13" s="13">
        <v>2</v>
      </c>
      <c r="BY13" s="13">
        <v>2</v>
      </c>
      <c r="BZ13" s="13">
        <v>1</v>
      </c>
      <c r="CA13" s="13">
        <v>2</v>
      </c>
      <c r="CB13" s="13">
        <v>2</v>
      </c>
      <c r="CC13" s="13">
        <v>1</v>
      </c>
      <c r="CD13" s="13">
        <v>2</v>
      </c>
      <c r="CE13" s="15">
        <v>2</v>
      </c>
      <c r="CF13" s="13">
        <f t="shared" si="0"/>
        <v>0</v>
      </c>
      <c r="CG13" s="13">
        <f t="shared" si="1"/>
        <v>0</v>
      </c>
      <c r="CH13" s="13">
        <f t="shared" si="2"/>
        <v>0</v>
      </c>
      <c r="CI13" s="13">
        <f t="shared" si="3"/>
        <v>0</v>
      </c>
      <c r="CJ13">
        <f t="shared" si="4"/>
        <v>0</v>
      </c>
    </row>
    <row r="14" spans="1:88" x14ac:dyDescent="0.3">
      <c r="A14" t="s">
        <v>10</v>
      </c>
      <c r="B14" s="1">
        <v>12</v>
      </c>
      <c r="C14" s="12" t="s">
        <v>10</v>
      </c>
      <c r="D14" s="13">
        <v>2</v>
      </c>
      <c r="E14" s="13">
        <v>1</v>
      </c>
      <c r="F14" s="13">
        <v>1</v>
      </c>
      <c r="G14" s="13">
        <v>1</v>
      </c>
      <c r="H14" s="13">
        <v>1</v>
      </c>
      <c r="I14" s="13">
        <v>2</v>
      </c>
      <c r="J14" s="13">
        <v>1</v>
      </c>
      <c r="K14" s="13">
        <v>2</v>
      </c>
      <c r="L14" s="13">
        <v>2</v>
      </c>
      <c r="M14" s="13">
        <v>2</v>
      </c>
      <c r="N14" s="13">
        <v>2</v>
      </c>
      <c r="O14" s="13">
        <v>2</v>
      </c>
      <c r="P14" s="13">
        <v>2</v>
      </c>
      <c r="Q14" s="13">
        <v>2</v>
      </c>
      <c r="R14" s="13">
        <v>2</v>
      </c>
      <c r="S14" s="13">
        <v>2</v>
      </c>
      <c r="T14" s="13">
        <v>2</v>
      </c>
      <c r="U14" s="13">
        <v>1</v>
      </c>
      <c r="V14" s="13">
        <v>1</v>
      </c>
      <c r="W14" s="13">
        <v>2</v>
      </c>
      <c r="X14" s="14">
        <v>1</v>
      </c>
      <c r="Y14" s="13">
        <v>2</v>
      </c>
      <c r="Z14" s="13">
        <v>2</v>
      </c>
      <c r="AA14" s="13">
        <v>2</v>
      </c>
      <c r="AB14" s="13">
        <v>1</v>
      </c>
      <c r="AC14" s="13">
        <v>1</v>
      </c>
      <c r="AD14" s="13">
        <v>1</v>
      </c>
      <c r="AE14" s="13">
        <v>2</v>
      </c>
      <c r="AF14" s="13">
        <v>2</v>
      </c>
      <c r="AG14" s="13">
        <v>2</v>
      </c>
      <c r="AH14" s="13">
        <v>2</v>
      </c>
      <c r="AI14" s="13">
        <v>1</v>
      </c>
      <c r="AJ14" s="13">
        <v>2</v>
      </c>
      <c r="AK14" s="13">
        <v>2</v>
      </c>
      <c r="AL14" s="13">
        <v>1</v>
      </c>
      <c r="AM14" s="13">
        <v>1</v>
      </c>
      <c r="AN14" s="13">
        <v>1</v>
      </c>
      <c r="AO14" s="13">
        <v>1</v>
      </c>
      <c r="AP14" s="13">
        <v>2</v>
      </c>
      <c r="AQ14" s="13">
        <v>2</v>
      </c>
      <c r="AR14" s="14">
        <v>2</v>
      </c>
      <c r="AS14" s="13">
        <v>1</v>
      </c>
      <c r="AT14" s="13">
        <v>2</v>
      </c>
      <c r="AU14" s="13">
        <v>2</v>
      </c>
      <c r="AV14" s="13">
        <v>1</v>
      </c>
      <c r="AW14" s="13">
        <v>2</v>
      </c>
      <c r="AX14" s="13">
        <v>2</v>
      </c>
      <c r="AY14" s="13">
        <v>1</v>
      </c>
      <c r="AZ14" s="13">
        <v>2</v>
      </c>
      <c r="BA14" s="13">
        <v>1</v>
      </c>
      <c r="BB14" s="13">
        <v>2</v>
      </c>
      <c r="BC14" s="13">
        <v>1</v>
      </c>
      <c r="BD14" s="13">
        <v>2</v>
      </c>
      <c r="BE14" s="13">
        <v>2</v>
      </c>
      <c r="BF14" s="13">
        <v>2</v>
      </c>
      <c r="BG14" s="13">
        <v>2</v>
      </c>
      <c r="BH14" s="13">
        <v>2</v>
      </c>
      <c r="BI14" s="13">
        <v>1</v>
      </c>
      <c r="BJ14" s="13">
        <v>1</v>
      </c>
      <c r="BK14" s="13">
        <v>2</v>
      </c>
      <c r="BL14" s="14">
        <v>1</v>
      </c>
      <c r="BM14" s="13">
        <v>1</v>
      </c>
      <c r="BN14" s="13">
        <v>1</v>
      </c>
      <c r="BO14" s="13">
        <v>2</v>
      </c>
      <c r="BP14" s="13">
        <v>1</v>
      </c>
      <c r="BQ14" s="13">
        <v>2</v>
      </c>
      <c r="BR14" s="13">
        <v>1</v>
      </c>
      <c r="BS14" s="13">
        <v>2</v>
      </c>
      <c r="BT14" s="13">
        <v>2</v>
      </c>
      <c r="BU14" s="13">
        <v>2</v>
      </c>
      <c r="BV14" s="13">
        <v>1</v>
      </c>
      <c r="BW14" s="13">
        <v>1</v>
      </c>
      <c r="BX14" s="13">
        <v>1</v>
      </c>
      <c r="BY14" s="13">
        <v>1</v>
      </c>
      <c r="BZ14" s="13">
        <v>2</v>
      </c>
      <c r="CA14" s="13">
        <v>1</v>
      </c>
      <c r="CB14" s="13">
        <v>1</v>
      </c>
      <c r="CC14" s="13">
        <v>1</v>
      </c>
      <c r="CD14" s="13">
        <v>2</v>
      </c>
      <c r="CE14" s="15">
        <v>2</v>
      </c>
      <c r="CF14" s="13">
        <f t="shared" si="0"/>
        <v>0</v>
      </c>
      <c r="CG14" s="13">
        <f t="shared" si="1"/>
        <v>0</v>
      </c>
      <c r="CH14" s="13">
        <f t="shared" si="2"/>
        <v>0</v>
      </c>
      <c r="CI14" s="13">
        <f t="shared" si="3"/>
        <v>0</v>
      </c>
      <c r="CJ14">
        <f t="shared" si="4"/>
        <v>0</v>
      </c>
    </row>
    <row r="15" spans="1:88" x14ac:dyDescent="0.3">
      <c r="A15" t="s">
        <v>10</v>
      </c>
      <c r="B15" s="1">
        <v>13</v>
      </c>
      <c r="C15" s="12" t="s">
        <v>10</v>
      </c>
      <c r="D15" s="16">
        <v>1</v>
      </c>
      <c r="E15" s="13">
        <v>1</v>
      </c>
      <c r="F15" s="13">
        <v>2</v>
      </c>
      <c r="G15" s="13">
        <v>2</v>
      </c>
      <c r="H15" s="13">
        <v>2</v>
      </c>
      <c r="I15" s="13">
        <v>2</v>
      </c>
      <c r="J15" s="13">
        <v>2</v>
      </c>
      <c r="K15" s="13">
        <v>2</v>
      </c>
      <c r="L15" s="13">
        <v>2</v>
      </c>
      <c r="M15" s="13">
        <v>2</v>
      </c>
      <c r="N15" s="13">
        <v>2</v>
      </c>
      <c r="O15" s="13">
        <v>2</v>
      </c>
      <c r="P15" s="13">
        <v>2</v>
      </c>
      <c r="Q15" s="13">
        <v>2</v>
      </c>
      <c r="R15" s="13">
        <v>2</v>
      </c>
      <c r="S15" s="13">
        <v>2</v>
      </c>
      <c r="T15" s="13">
        <v>2</v>
      </c>
      <c r="U15" s="13">
        <v>2</v>
      </c>
      <c r="V15" s="13">
        <v>2</v>
      </c>
      <c r="W15" s="13">
        <v>2</v>
      </c>
      <c r="X15" s="14">
        <v>2</v>
      </c>
      <c r="Y15" s="13">
        <v>2</v>
      </c>
      <c r="Z15" s="13">
        <v>1</v>
      </c>
      <c r="AA15" s="13">
        <v>2</v>
      </c>
      <c r="AB15" s="13">
        <v>2</v>
      </c>
      <c r="AC15" s="13">
        <v>2</v>
      </c>
      <c r="AD15" s="13">
        <v>2</v>
      </c>
      <c r="AE15" s="13">
        <v>2</v>
      </c>
      <c r="AF15" s="13">
        <v>2</v>
      </c>
      <c r="AG15" s="13">
        <v>2</v>
      </c>
      <c r="AH15" s="13">
        <v>2</v>
      </c>
      <c r="AI15" s="13">
        <v>2</v>
      </c>
      <c r="AJ15" s="13">
        <v>2</v>
      </c>
      <c r="AK15" s="13">
        <v>1</v>
      </c>
      <c r="AL15" s="13">
        <v>2</v>
      </c>
      <c r="AM15" s="13">
        <v>2</v>
      </c>
      <c r="AN15" s="13">
        <v>2</v>
      </c>
      <c r="AO15" s="13">
        <v>2</v>
      </c>
      <c r="AP15" s="13">
        <v>1</v>
      </c>
      <c r="AQ15" s="13">
        <v>2</v>
      </c>
      <c r="AR15" s="14">
        <v>2</v>
      </c>
      <c r="AS15" s="13">
        <v>1</v>
      </c>
      <c r="AT15" s="13">
        <v>2</v>
      </c>
      <c r="AU15" s="13">
        <v>2</v>
      </c>
      <c r="AV15" s="13">
        <v>2</v>
      </c>
      <c r="AW15" s="13">
        <v>2</v>
      </c>
      <c r="AX15" s="13">
        <v>2</v>
      </c>
      <c r="AY15" s="13">
        <v>2</v>
      </c>
      <c r="AZ15" s="13">
        <v>1</v>
      </c>
      <c r="BA15" s="13">
        <v>1</v>
      </c>
      <c r="BB15" s="13">
        <v>2</v>
      </c>
      <c r="BC15" s="13">
        <v>2</v>
      </c>
      <c r="BD15" s="13">
        <v>2</v>
      </c>
      <c r="BE15" s="13">
        <v>1</v>
      </c>
      <c r="BF15" s="13">
        <v>2</v>
      </c>
      <c r="BG15" s="13">
        <v>2</v>
      </c>
      <c r="BH15" s="13">
        <v>2</v>
      </c>
      <c r="BI15" s="13">
        <v>2</v>
      </c>
      <c r="BJ15" s="13">
        <v>2</v>
      </c>
      <c r="BK15" s="13">
        <v>2</v>
      </c>
      <c r="BL15" s="14">
        <v>2</v>
      </c>
      <c r="BM15" s="13">
        <v>1</v>
      </c>
      <c r="BN15" s="13">
        <v>2</v>
      </c>
      <c r="BO15" s="13">
        <v>2</v>
      </c>
      <c r="BP15" s="13">
        <v>2</v>
      </c>
      <c r="BQ15" s="13">
        <v>2</v>
      </c>
      <c r="BR15" s="13">
        <v>2</v>
      </c>
      <c r="BS15" s="13">
        <v>1</v>
      </c>
      <c r="BT15" s="13">
        <v>1</v>
      </c>
      <c r="BU15" s="13">
        <v>1</v>
      </c>
      <c r="BV15" s="13">
        <v>2</v>
      </c>
      <c r="BW15" s="13">
        <v>2</v>
      </c>
      <c r="BX15" s="13">
        <v>2</v>
      </c>
      <c r="BY15" s="13">
        <v>2</v>
      </c>
      <c r="BZ15" s="13">
        <v>2</v>
      </c>
      <c r="CA15" s="13">
        <v>1</v>
      </c>
      <c r="CB15" s="13">
        <v>1</v>
      </c>
      <c r="CC15" s="13">
        <v>2</v>
      </c>
      <c r="CD15" s="13">
        <v>2</v>
      </c>
      <c r="CE15" s="15">
        <v>2</v>
      </c>
      <c r="CF15" s="13">
        <f t="shared" si="0"/>
        <v>0</v>
      </c>
      <c r="CG15" s="13">
        <f t="shared" si="1"/>
        <v>0</v>
      </c>
      <c r="CH15" s="13">
        <f t="shared" si="2"/>
        <v>0</v>
      </c>
      <c r="CI15" s="13">
        <f t="shared" si="3"/>
        <v>0</v>
      </c>
      <c r="CJ15">
        <f t="shared" si="4"/>
        <v>0</v>
      </c>
    </row>
    <row r="16" spans="1:88" ht="16.2" thickBot="1" x14ac:dyDescent="0.35">
      <c r="A16" t="s">
        <v>10</v>
      </c>
      <c r="B16" s="2">
        <v>14</v>
      </c>
      <c r="C16" s="17" t="s">
        <v>10</v>
      </c>
      <c r="D16" s="18">
        <v>2</v>
      </c>
      <c r="E16" s="19">
        <v>2</v>
      </c>
      <c r="F16" s="19">
        <v>2</v>
      </c>
      <c r="G16" s="19">
        <v>2</v>
      </c>
      <c r="H16" s="19">
        <v>2</v>
      </c>
      <c r="I16" s="19">
        <v>2</v>
      </c>
      <c r="J16" s="19">
        <v>2</v>
      </c>
      <c r="K16" s="19">
        <v>2</v>
      </c>
      <c r="L16" s="19">
        <v>2</v>
      </c>
      <c r="M16" s="19">
        <v>2</v>
      </c>
      <c r="N16" s="19">
        <v>2</v>
      </c>
      <c r="O16" s="19">
        <v>2</v>
      </c>
      <c r="P16" s="19">
        <v>2</v>
      </c>
      <c r="Q16" s="19">
        <v>2</v>
      </c>
      <c r="R16" s="19">
        <v>2</v>
      </c>
      <c r="S16" s="19">
        <v>2</v>
      </c>
      <c r="T16" s="19">
        <v>2</v>
      </c>
      <c r="U16" s="19">
        <v>2</v>
      </c>
      <c r="V16" s="19">
        <v>2</v>
      </c>
      <c r="W16" s="19">
        <v>2</v>
      </c>
      <c r="X16" s="20">
        <v>2</v>
      </c>
      <c r="Y16" s="19">
        <v>2</v>
      </c>
      <c r="Z16" s="19">
        <v>2</v>
      </c>
      <c r="AA16" s="19">
        <v>2</v>
      </c>
      <c r="AB16" s="19">
        <v>1</v>
      </c>
      <c r="AC16" s="19">
        <v>2</v>
      </c>
      <c r="AD16" s="19">
        <v>2</v>
      </c>
      <c r="AE16" s="19">
        <v>2</v>
      </c>
      <c r="AF16" s="19">
        <v>2</v>
      </c>
      <c r="AG16" s="19">
        <v>2</v>
      </c>
      <c r="AH16" s="19">
        <v>2</v>
      </c>
      <c r="AI16" s="19">
        <v>2</v>
      </c>
      <c r="AJ16" s="19">
        <v>2</v>
      </c>
      <c r="AK16" s="19">
        <v>2</v>
      </c>
      <c r="AL16" s="19">
        <v>2</v>
      </c>
      <c r="AM16" s="19">
        <v>2</v>
      </c>
      <c r="AN16" s="19">
        <v>2</v>
      </c>
      <c r="AO16" s="19">
        <v>2</v>
      </c>
      <c r="AP16" s="19">
        <v>1</v>
      </c>
      <c r="AQ16" s="19">
        <v>2</v>
      </c>
      <c r="AR16" s="20">
        <v>2</v>
      </c>
      <c r="AS16" s="19">
        <v>2</v>
      </c>
      <c r="AT16" s="19">
        <v>2</v>
      </c>
      <c r="AU16" s="19">
        <v>2</v>
      </c>
      <c r="AV16" s="19">
        <v>1</v>
      </c>
      <c r="AW16" s="19">
        <v>2</v>
      </c>
      <c r="AX16" s="19">
        <v>2</v>
      </c>
      <c r="AY16" s="19">
        <v>2</v>
      </c>
      <c r="AZ16" s="19">
        <v>2</v>
      </c>
      <c r="BA16" s="19">
        <v>2</v>
      </c>
      <c r="BB16" s="19">
        <v>2</v>
      </c>
      <c r="BC16" s="19">
        <v>2</v>
      </c>
      <c r="BD16" s="19">
        <v>2</v>
      </c>
      <c r="BE16" s="19">
        <v>2</v>
      </c>
      <c r="BF16" s="19">
        <v>2</v>
      </c>
      <c r="BG16" s="19">
        <v>2</v>
      </c>
      <c r="BH16" s="19">
        <v>2</v>
      </c>
      <c r="BI16" s="19">
        <v>2</v>
      </c>
      <c r="BJ16" s="19">
        <v>2</v>
      </c>
      <c r="BK16" s="19">
        <v>2</v>
      </c>
      <c r="BL16" s="20">
        <v>1</v>
      </c>
      <c r="BM16" s="19">
        <v>2</v>
      </c>
      <c r="BN16" s="19">
        <v>2</v>
      </c>
      <c r="BO16" s="19">
        <v>2</v>
      </c>
      <c r="BP16" s="19">
        <v>2</v>
      </c>
      <c r="BQ16" s="19">
        <v>2</v>
      </c>
      <c r="BR16" s="19">
        <v>2</v>
      </c>
      <c r="BS16" s="19">
        <v>2</v>
      </c>
      <c r="BT16" s="19">
        <v>2</v>
      </c>
      <c r="BU16" s="19">
        <v>2</v>
      </c>
      <c r="BV16" s="19">
        <v>2</v>
      </c>
      <c r="BW16" s="19">
        <v>2</v>
      </c>
      <c r="BX16" s="19">
        <v>2</v>
      </c>
      <c r="BY16" s="19">
        <v>2</v>
      </c>
      <c r="BZ16" s="19">
        <v>2</v>
      </c>
      <c r="CA16" s="19">
        <v>2</v>
      </c>
      <c r="CB16" s="19">
        <v>2</v>
      </c>
      <c r="CC16" s="19">
        <v>2</v>
      </c>
      <c r="CD16" s="19">
        <v>2</v>
      </c>
      <c r="CE16" s="21">
        <v>2</v>
      </c>
      <c r="CF16" s="13">
        <f t="shared" si="0"/>
        <v>0</v>
      </c>
      <c r="CG16" s="13">
        <f t="shared" si="1"/>
        <v>0</v>
      </c>
      <c r="CH16" s="13">
        <f t="shared" si="2"/>
        <v>0</v>
      </c>
      <c r="CI16" s="13">
        <f t="shared" si="3"/>
        <v>0</v>
      </c>
      <c r="CJ16">
        <f t="shared" si="4"/>
        <v>0</v>
      </c>
    </row>
    <row r="17" spans="1:88" ht="16.2" thickTop="1" x14ac:dyDescent="0.3">
      <c r="A17" t="s">
        <v>12</v>
      </c>
      <c r="B17" s="3">
        <v>15</v>
      </c>
      <c r="C17" s="22" t="s">
        <v>12</v>
      </c>
      <c r="D17" s="13">
        <v>2</v>
      </c>
      <c r="E17" s="13">
        <v>1</v>
      </c>
      <c r="F17" s="13">
        <v>2</v>
      </c>
      <c r="G17" s="13">
        <v>2</v>
      </c>
      <c r="H17" s="13">
        <v>1</v>
      </c>
      <c r="I17" s="13">
        <v>1</v>
      </c>
      <c r="J17" s="13">
        <v>2</v>
      </c>
      <c r="K17" s="13">
        <v>2</v>
      </c>
      <c r="L17" s="13">
        <v>2</v>
      </c>
      <c r="M17" s="13">
        <v>2</v>
      </c>
      <c r="N17" s="13">
        <v>2</v>
      </c>
      <c r="O17" s="13">
        <v>2</v>
      </c>
      <c r="P17" s="13">
        <v>2</v>
      </c>
      <c r="Q17" s="13">
        <v>2</v>
      </c>
      <c r="R17" s="13">
        <v>2</v>
      </c>
      <c r="S17" s="13">
        <v>2</v>
      </c>
      <c r="T17" s="13">
        <v>1</v>
      </c>
      <c r="U17" s="13">
        <v>2</v>
      </c>
      <c r="V17" s="13">
        <v>2</v>
      </c>
      <c r="W17" s="13">
        <v>1</v>
      </c>
      <c r="X17" s="14">
        <v>1</v>
      </c>
      <c r="Y17" s="13">
        <v>1</v>
      </c>
      <c r="Z17" s="13">
        <v>1</v>
      </c>
      <c r="AA17" s="13">
        <v>1</v>
      </c>
      <c r="AB17" s="13">
        <v>1</v>
      </c>
      <c r="AC17" s="13">
        <v>2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2</v>
      </c>
      <c r="AM17" s="13">
        <v>1</v>
      </c>
      <c r="AN17" s="13">
        <v>1</v>
      </c>
      <c r="AO17" s="13">
        <v>1</v>
      </c>
      <c r="AP17" s="13">
        <v>2</v>
      </c>
      <c r="AQ17" s="13">
        <v>1</v>
      </c>
      <c r="AR17" s="14">
        <v>1</v>
      </c>
      <c r="AS17" s="13">
        <v>1</v>
      </c>
      <c r="AT17" s="13">
        <v>1</v>
      </c>
      <c r="AU17" s="13">
        <v>1</v>
      </c>
      <c r="AV17" s="13">
        <v>1</v>
      </c>
      <c r="AW17" s="13">
        <v>1</v>
      </c>
      <c r="AX17" s="13">
        <v>1</v>
      </c>
      <c r="AY17" s="13">
        <v>1</v>
      </c>
      <c r="AZ17" s="13">
        <v>1</v>
      </c>
      <c r="BA17" s="13">
        <v>1</v>
      </c>
      <c r="BB17" s="13">
        <v>1</v>
      </c>
      <c r="BC17" s="13">
        <v>1</v>
      </c>
      <c r="BD17" s="13">
        <v>1</v>
      </c>
      <c r="BE17" s="13">
        <v>2</v>
      </c>
      <c r="BF17" s="13">
        <v>1</v>
      </c>
      <c r="BG17" s="13">
        <v>1</v>
      </c>
      <c r="BH17" s="13">
        <v>1</v>
      </c>
      <c r="BI17" s="13">
        <v>1</v>
      </c>
      <c r="BJ17" s="13">
        <v>1</v>
      </c>
      <c r="BK17" s="13">
        <v>1</v>
      </c>
      <c r="BL17" s="14">
        <v>1</v>
      </c>
      <c r="BM17" s="13">
        <v>1</v>
      </c>
      <c r="BN17" s="13">
        <v>1</v>
      </c>
      <c r="BO17" s="13">
        <v>1</v>
      </c>
      <c r="BP17" s="13">
        <v>1</v>
      </c>
      <c r="BQ17" s="13">
        <v>1</v>
      </c>
      <c r="BR17" s="13">
        <v>1</v>
      </c>
      <c r="BS17" s="13">
        <v>1</v>
      </c>
      <c r="BT17" s="13">
        <v>2</v>
      </c>
      <c r="BU17" s="13">
        <v>1</v>
      </c>
      <c r="BV17" s="13">
        <v>2</v>
      </c>
      <c r="BW17" s="13">
        <v>1</v>
      </c>
      <c r="BX17" s="13">
        <v>1</v>
      </c>
      <c r="BY17" s="13">
        <v>1</v>
      </c>
      <c r="BZ17" s="13">
        <v>1</v>
      </c>
      <c r="CA17" s="13">
        <v>1</v>
      </c>
      <c r="CB17" s="13">
        <v>1</v>
      </c>
      <c r="CC17" s="13">
        <v>1</v>
      </c>
      <c r="CD17" s="13">
        <v>1</v>
      </c>
      <c r="CE17" s="15">
        <v>1</v>
      </c>
      <c r="CF17" s="13">
        <f t="shared" si="0"/>
        <v>0</v>
      </c>
      <c r="CG17" s="13">
        <f t="shared" si="1"/>
        <v>0</v>
      </c>
      <c r="CH17" s="13">
        <f t="shared" si="2"/>
        <v>0</v>
      </c>
      <c r="CI17" s="13">
        <f t="shared" si="3"/>
        <v>0</v>
      </c>
      <c r="CJ17">
        <f t="shared" si="4"/>
        <v>0</v>
      </c>
    </row>
    <row r="18" spans="1:88" x14ac:dyDescent="0.3">
      <c r="A18" t="s">
        <v>12</v>
      </c>
      <c r="B18" s="1">
        <v>16</v>
      </c>
      <c r="C18" s="23" t="s">
        <v>12</v>
      </c>
      <c r="D18" s="13">
        <v>2</v>
      </c>
      <c r="E18" s="13">
        <v>2</v>
      </c>
      <c r="F18" s="13">
        <v>2</v>
      </c>
      <c r="G18" s="13">
        <v>1</v>
      </c>
      <c r="H18" s="13">
        <v>2</v>
      </c>
      <c r="I18" s="13">
        <v>1</v>
      </c>
      <c r="J18" s="13">
        <v>2</v>
      </c>
      <c r="K18" s="13">
        <v>2</v>
      </c>
      <c r="L18" s="13">
        <v>2</v>
      </c>
      <c r="M18" s="13">
        <v>2</v>
      </c>
      <c r="N18" s="13">
        <v>1</v>
      </c>
      <c r="O18" s="13">
        <v>1</v>
      </c>
      <c r="P18" s="13">
        <v>1</v>
      </c>
      <c r="Q18" s="13">
        <v>1</v>
      </c>
      <c r="R18" s="13">
        <v>1</v>
      </c>
      <c r="S18" s="13">
        <v>1</v>
      </c>
      <c r="T18" s="13">
        <v>2</v>
      </c>
      <c r="U18" s="13">
        <v>2</v>
      </c>
      <c r="V18" s="13">
        <v>2</v>
      </c>
      <c r="W18" s="13">
        <v>2</v>
      </c>
      <c r="X18" s="14">
        <v>1</v>
      </c>
      <c r="Y18" s="13">
        <v>2</v>
      </c>
      <c r="Z18" s="13">
        <v>1</v>
      </c>
      <c r="AA18" s="13">
        <v>1</v>
      </c>
      <c r="AB18" s="13">
        <v>1</v>
      </c>
      <c r="AC18" s="13">
        <v>1</v>
      </c>
      <c r="AD18" s="13">
        <v>2</v>
      </c>
      <c r="AE18" s="13">
        <v>1</v>
      </c>
      <c r="AF18" s="13">
        <v>1</v>
      </c>
      <c r="AG18" s="13">
        <v>2</v>
      </c>
      <c r="AH18" s="13">
        <v>2</v>
      </c>
      <c r="AI18" s="13">
        <v>1</v>
      </c>
      <c r="AJ18" s="13">
        <v>1</v>
      </c>
      <c r="AK18" s="13">
        <v>2</v>
      </c>
      <c r="AL18" s="13">
        <v>2</v>
      </c>
      <c r="AM18" s="13">
        <v>1</v>
      </c>
      <c r="AN18" s="13">
        <v>1</v>
      </c>
      <c r="AO18" s="13">
        <v>1</v>
      </c>
      <c r="AP18" s="13">
        <v>1</v>
      </c>
      <c r="AQ18" s="13">
        <v>2</v>
      </c>
      <c r="AR18" s="14">
        <v>2</v>
      </c>
      <c r="AS18" s="13">
        <v>2</v>
      </c>
      <c r="AT18" s="13">
        <v>2</v>
      </c>
      <c r="AU18" s="13">
        <v>1</v>
      </c>
      <c r="AV18" s="13">
        <v>2</v>
      </c>
      <c r="AW18" s="13">
        <v>1</v>
      </c>
      <c r="AX18" s="13">
        <v>1</v>
      </c>
      <c r="AY18" s="13">
        <v>1</v>
      </c>
      <c r="AZ18" s="13">
        <v>2</v>
      </c>
      <c r="BA18" s="13">
        <v>2</v>
      </c>
      <c r="BB18" s="13">
        <v>1</v>
      </c>
      <c r="BC18" s="13">
        <v>1</v>
      </c>
      <c r="BD18" s="13">
        <v>2</v>
      </c>
      <c r="BE18" s="13">
        <v>2</v>
      </c>
      <c r="BF18" s="13">
        <v>2</v>
      </c>
      <c r="BG18" s="13">
        <v>1</v>
      </c>
      <c r="BH18" s="13">
        <v>1</v>
      </c>
      <c r="BI18" s="13">
        <v>1</v>
      </c>
      <c r="BJ18" s="13">
        <v>1</v>
      </c>
      <c r="BK18" s="13">
        <v>1</v>
      </c>
      <c r="BL18" s="14">
        <v>2</v>
      </c>
      <c r="BM18" s="13">
        <v>2</v>
      </c>
      <c r="BN18" s="13">
        <v>2</v>
      </c>
      <c r="BO18" s="13">
        <v>1</v>
      </c>
      <c r="BP18" s="13">
        <v>1</v>
      </c>
      <c r="BQ18" s="13">
        <v>2</v>
      </c>
      <c r="BR18" s="13">
        <v>1</v>
      </c>
      <c r="BS18" s="13">
        <v>2</v>
      </c>
      <c r="BT18" s="13">
        <v>2</v>
      </c>
      <c r="BU18" s="13">
        <v>2</v>
      </c>
      <c r="BV18" s="13">
        <v>2</v>
      </c>
      <c r="BW18" s="13">
        <v>1</v>
      </c>
      <c r="BX18" s="13">
        <v>2</v>
      </c>
      <c r="BY18" s="13">
        <v>1</v>
      </c>
      <c r="BZ18" s="13">
        <v>2</v>
      </c>
      <c r="CA18" s="13">
        <v>2</v>
      </c>
      <c r="CB18" s="13">
        <v>2</v>
      </c>
      <c r="CC18" s="13">
        <v>1</v>
      </c>
      <c r="CD18" s="13">
        <v>1</v>
      </c>
      <c r="CE18" s="15">
        <v>1</v>
      </c>
      <c r="CF18" s="13">
        <f t="shared" si="0"/>
        <v>0</v>
      </c>
      <c r="CG18" s="13">
        <f t="shared" si="1"/>
        <v>0</v>
      </c>
      <c r="CH18" s="13">
        <f t="shared" si="2"/>
        <v>0</v>
      </c>
      <c r="CI18" s="13">
        <f t="shared" si="3"/>
        <v>0</v>
      </c>
      <c r="CJ18">
        <f t="shared" si="4"/>
        <v>0</v>
      </c>
    </row>
    <row r="19" spans="1:88" x14ac:dyDescent="0.3">
      <c r="A19" t="s">
        <v>12</v>
      </c>
      <c r="B19" s="1">
        <v>17</v>
      </c>
      <c r="C19" s="23" t="s">
        <v>12</v>
      </c>
      <c r="D19" s="13">
        <v>1</v>
      </c>
      <c r="E19" s="13">
        <v>1</v>
      </c>
      <c r="F19" s="13">
        <v>1</v>
      </c>
      <c r="G19" s="13">
        <v>2</v>
      </c>
      <c r="H19" s="13">
        <v>1</v>
      </c>
      <c r="I19" s="13">
        <v>2</v>
      </c>
      <c r="J19" s="13">
        <v>1</v>
      </c>
      <c r="K19" s="13">
        <v>2</v>
      </c>
      <c r="L19" s="13">
        <v>2</v>
      </c>
      <c r="M19" s="13">
        <v>1</v>
      </c>
      <c r="N19" s="13">
        <v>2</v>
      </c>
      <c r="O19" s="13">
        <v>2</v>
      </c>
      <c r="P19" s="13">
        <v>2</v>
      </c>
      <c r="Q19" s="13">
        <v>1</v>
      </c>
      <c r="R19" s="13">
        <v>2</v>
      </c>
      <c r="S19" s="13">
        <v>1</v>
      </c>
      <c r="T19" s="13">
        <v>1</v>
      </c>
      <c r="U19" s="13">
        <v>2</v>
      </c>
      <c r="V19" s="13">
        <v>1</v>
      </c>
      <c r="W19" s="13">
        <v>2</v>
      </c>
      <c r="X19" s="14">
        <v>2</v>
      </c>
      <c r="Y19" s="13">
        <v>1</v>
      </c>
      <c r="Z19" s="13">
        <v>1</v>
      </c>
      <c r="AA19" s="13">
        <v>1</v>
      </c>
      <c r="AB19" s="13">
        <v>1</v>
      </c>
      <c r="AC19" s="13">
        <v>1</v>
      </c>
      <c r="AD19" s="13">
        <v>1</v>
      </c>
      <c r="AE19" s="13">
        <v>1</v>
      </c>
      <c r="AF19" s="13">
        <v>2</v>
      </c>
      <c r="AG19" s="13">
        <v>2</v>
      </c>
      <c r="AH19" s="13">
        <v>2</v>
      </c>
      <c r="AI19" s="13">
        <v>2</v>
      </c>
      <c r="AJ19" s="13">
        <v>2</v>
      </c>
      <c r="AK19" s="13">
        <v>2</v>
      </c>
      <c r="AL19" s="13">
        <v>2</v>
      </c>
      <c r="AM19" s="13">
        <v>1</v>
      </c>
      <c r="AN19" s="13">
        <v>2</v>
      </c>
      <c r="AO19" s="13">
        <v>1</v>
      </c>
      <c r="AP19" s="13">
        <v>1</v>
      </c>
      <c r="AQ19" s="13">
        <v>1</v>
      </c>
      <c r="AR19" s="14">
        <v>1</v>
      </c>
      <c r="AS19" s="13">
        <v>2</v>
      </c>
      <c r="AT19" s="13">
        <v>2</v>
      </c>
      <c r="AU19" s="13">
        <v>1</v>
      </c>
      <c r="AV19" s="13">
        <v>1</v>
      </c>
      <c r="AW19" s="13">
        <v>2</v>
      </c>
      <c r="AX19" s="13">
        <v>1</v>
      </c>
      <c r="AY19" s="13">
        <v>1</v>
      </c>
      <c r="AZ19" s="13">
        <v>1</v>
      </c>
      <c r="BA19" s="13">
        <v>1</v>
      </c>
      <c r="BB19" s="13">
        <v>2</v>
      </c>
      <c r="BC19" s="13">
        <v>1</v>
      </c>
      <c r="BD19" s="13">
        <v>1</v>
      </c>
      <c r="BE19" s="13">
        <v>2</v>
      </c>
      <c r="BF19" s="13">
        <v>2</v>
      </c>
      <c r="BG19" s="13">
        <v>1</v>
      </c>
      <c r="BH19" s="13">
        <v>2</v>
      </c>
      <c r="BI19" s="13">
        <v>1</v>
      </c>
      <c r="BJ19" s="13">
        <v>2</v>
      </c>
      <c r="BK19" s="13">
        <v>1</v>
      </c>
      <c r="BL19" s="14">
        <v>2</v>
      </c>
      <c r="BM19" s="13">
        <v>1</v>
      </c>
      <c r="BN19" s="13">
        <v>1</v>
      </c>
      <c r="BO19" s="13">
        <v>1</v>
      </c>
      <c r="BP19" s="13">
        <v>1</v>
      </c>
      <c r="BQ19" s="13">
        <v>2</v>
      </c>
      <c r="BR19" s="13">
        <v>1</v>
      </c>
      <c r="BS19" s="13">
        <v>2</v>
      </c>
      <c r="BT19" s="13">
        <v>2</v>
      </c>
      <c r="BU19" s="13">
        <v>1</v>
      </c>
      <c r="BV19" s="13">
        <v>1</v>
      </c>
      <c r="BW19" s="13">
        <v>1</v>
      </c>
      <c r="BX19" s="13">
        <v>2</v>
      </c>
      <c r="BY19" s="13">
        <v>2</v>
      </c>
      <c r="BZ19" s="13">
        <v>2</v>
      </c>
      <c r="CA19" s="13">
        <v>1</v>
      </c>
      <c r="CB19" s="13">
        <v>2</v>
      </c>
      <c r="CC19" s="13">
        <v>1</v>
      </c>
      <c r="CD19" s="13">
        <v>1</v>
      </c>
      <c r="CE19" s="15">
        <v>1</v>
      </c>
      <c r="CF19" s="13">
        <f t="shared" si="0"/>
        <v>0</v>
      </c>
      <c r="CG19" s="13">
        <f t="shared" si="1"/>
        <v>0</v>
      </c>
      <c r="CH19" s="13">
        <f t="shared" si="2"/>
        <v>0</v>
      </c>
      <c r="CI19" s="13">
        <f t="shared" si="3"/>
        <v>0</v>
      </c>
      <c r="CJ19">
        <f t="shared" si="4"/>
        <v>0</v>
      </c>
    </row>
    <row r="20" spans="1:88" x14ac:dyDescent="0.3">
      <c r="A20" t="s">
        <v>12</v>
      </c>
      <c r="B20" s="1">
        <v>18</v>
      </c>
      <c r="C20" s="23" t="s">
        <v>12</v>
      </c>
      <c r="D20" s="13">
        <v>2</v>
      </c>
      <c r="E20" s="13">
        <v>2</v>
      </c>
      <c r="F20" s="13">
        <v>1</v>
      </c>
      <c r="G20" s="13">
        <v>1</v>
      </c>
      <c r="H20" s="13">
        <v>2</v>
      </c>
      <c r="I20" s="13">
        <v>2</v>
      </c>
      <c r="J20" s="13">
        <v>2</v>
      </c>
      <c r="K20" s="13">
        <v>2</v>
      </c>
      <c r="L20" s="13">
        <v>2</v>
      </c>
      <c r="M20" s="13">
        <v>1</v>
      </c>
      <c r="N20" s="13">
        <v>1</v>
      </c>
      <c r="O20" s="13">
        <v>1</v>
      </c>
      <c r="P20" s="13">
        <v>1</v>
      </c>
      <c r="Q20" s="13">
        <v>2</v>
      </c>
      <c r="R20" s="13">
        <v>1</v>
      </c>
      <c r="S20" s="13">
        <v>2</v>
      </c>
      <c r="T20" s="13">
        <v>1</v>
      </c>
      <c r="U20" s="13">
        <v>2</v>
      </c>
      <c r="V20" s="13">
        <v>2</v>
      </c>
      <c r="W20" s="13">
        <v>1</v>
      </c>
      <c r="X20" s="14">
        <v>1</v>
      </c>
      <c r="Y20" s="13">
        <v>1</v>
      </c>
      <c r="Z20" s="13">
        <v>2</v>
      </c>
      <c r="AA20" s="13">
        <v>1</v>
      </c>
      <c r="AB20" s="13">
        <v>1</v>
      </c>
      <c r="AC20" s="13">
        <v>1</v>
      </c>
      <c r="AD20" s="13">
        <v>1</v>
      </c>
      <c r="AE20" s="13">
        <v>1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2</v>
      </c>
      <c r="AN20" s="13">
        <v>1</v>
      </c>
      <c r="AO20" s="13">
        <v>1</v>
      </c>
      <c r="AP20" s="13">
        <v>1</v>
      </c>
      <c r="AQ20" s="13">
        <v>1</v>
      </c>
      <c r="AR20" s="14">
        <v>1</v>
      </c>
      <c r="AS20" s="13">
        <v>1</v>
      </c>
      <c r="AT20" s="13">
        <v>1</v>
      </c>
      <c r="AU20" s="13">
        <v>1</v>
      </c>
      <c r="AV20" s="13">
        <v>2</v>
      </c>
      <c r="AW20" s="13">
        <v>1</v>
      </c>
      <c r="AX20" s="13">
        <v>1</v>
      </c>
      <c r="AY20" s="13">
        <v>1</v>
      </c>
      <c r="AZ20" s="13">
        <v>1</v>
      </c>
      <c r="BA20" s="13">
        <v>1</v>
      </c>
      <c r="BB20" s="13">
        <v>1</v>
      </c>
      <c r="BC20" s="13">
        <v>2</v>
      </c>
      <c r="BD20" s="13">
        <v>2</v>
      </c>
      <c r="BE20" s="13">
        <v>1</v>
      </c>
      <c r="BF20" s="13">
        <v>1</v>
      </c>
      <c r="BG20" s="13">
        <v>1</v>
      </c>
      <c r="BH20" s="13">
        <v>1</v>
      </c>
      <c r="BI20" s="13">
        <v>1</v>
      </c>
      <c r="BJ20" s="13">
        <v>1</v>
      </c>
      <c r="BK20" s="13">
        <v>1</v>
      </c>
      <c r="BL20" s="14">
        <v>1</v>
      </c>
      <c r="BM20" s="13">
        <v>1</v>
      </c>
      <c r="BN20" s="13">
        <v>1</v>
      </c>
      <c r="BO20" s="13">
        <v>1</v>
      </c>
      <c r="BP20" s="13">
        <v>1</v>
      </c>
      <c r="BQ20" s="13">
        <v>1</v>
      </c>
      <c r="BR20" s="13">
        <v>1</v>
      </c>
      <c r="BS20" s="13">
        <v>1</v>
      </c>
      <c r="BT20" s="13">
        <v>1</v>
      </c>
      <c r="BU20" s="13">
        <v>1</v>
      </c>
      <c r="BV20" s="13">
        <v>2</v>
      </c>
      <c r="BW20" s="13">
        <v>2</v>
      </c>
      <c r="BX20" s="13">
        <v>1</v>
      </c>
      <c r="BY20" s="13">
        <v>1</v>
      </c>
      <c r="BZ20" s="13">
        <v>2</v>
      </c>
      <c r="CA20" s="13">
        <v>1</v>
      </c>
      <c r="CB20" s="13">
        <v>1</v>
      </c>
      <c r="CC20" s="13">
        <v>1</v>
      </c>
      <c r="CD20" s="13">
        <v>1</v>
      </c>
      <c r="CE20" s="15">
        <v>1</v>
      </c>
      <c r="CF20" s="13">
        <f t="shared" si="0"/>
        <v>0</v>
      </c>
      <c r="CG20" s="13">
        <f t="shared" si="1"/>
        <v>0</v>
      </c>
      <c r="CH20" s="13">
        <f t="shared" si="2"/>
        <v>0</v>
      </c>
      <c r="CI20" s="13">
        <f t="shared" si="3"/>
        <v>0</v>
      </c>
      <c r="CJ20">
        <f t="shared" si="4"/>
        <v>0</v>
      </c>
    </row>
    <row r="21" spans="1:88" x14ac:dyDescent="0.3">
      <c r="A21" t="s">
        <v>12</v>
      </c>
      <c r="B21" s="1">
        <v>19</v>
      </c>
      <c r="C21" s="23" t="s">
        <v>12</v>
      </c>
      <c r="D21" s="13">
        <v>2</v>
      </c>
      <c r="E21" s="13">
        <v>2</v>
      </c>
      <c r="F21" s="13">
        <v>2</v>
      </c>
      <c r="G21" s="13">
        <v>2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  <c r="M21" s="13">
        <v>2</v>
      </c>
      <c r="N21" s="13">
        <v>2</v>
      </c>
      <c r="O21" s="13">
        <v>2</v>
      </c>
      <c r="P21" s="13">
        <v>2</v>
      </c>
      <c r="Q21" s="13">
        <v>2</v>
      </c>
      <c r="R21" s="13">
        <v>2</v>
      </c>
      <c r="S21" s="13">
        <v>2</v>
      </c>
      <c r="T21" s="13">
        <v>2</v>
      </c>
      <c r="U21" s="13">
        <v>2</v>
      </c>
      <c r="V21" s="13">
        <v>2</v>
      </c>
      <c r="W21" s="13">
        <v>2</v>
      </c>
      <c r="X21" s="14">
        <v>1</v>
      </c>
      <c r="Y21" s="13">
        <v>2</v>
      </c>
      <c r="Z21" s="13">
        <v>1</v>
      </c>
      <c r="AA21" s="13">
        <v>2</v>
      </c>
      <c r="AB21" s="13">
        <v>1</v>
      </c>
      <c r="AC21" s="13">
        <v>1</v>
      </c>
      <c r="AD21" s="13">
        <v>2</v>
      </c>
      <c r="AE21" s="13">
        <v>2</v>
      </c>
      <c r="AF21" s="13">
        <v>2</v>
      </c>
      <c r="AG21" s="13">
        <v>2</v>
      </c>
      <c r="AH21" s="13">
        <v>2</v>
      </c>
      <c r="AI21" s="13">
        <v>2</v>
      </c>
      <c r="AJ21" s="13">
        <v>2</v>
      </c>
      <c r="AK21" s="13">
        <v>2</v>
      </c>
      <c r="AL21" s="13">
        <v>2</v>
      </c>
      <c r="AM21" s="13">
        <v>2</v>
      </c>
      <c r="AN21" s="13">
        <v>2</v>
      </c>
      <c r="AO21" s="13">
        <v>2</v>
      </c>
      <c r="AP21" s="13">
        <v>2</v>
      </c>
      <c r="AQ21" s="13">
        <v>2</v>
      </c>
      <c r="AR21" s="14">
        <v>2</v>
      </c>
      <c r="AS21" s="13">
        <v>2</v>
      </c>
      <c r="AT21" s="13">
        <v>1</v>
      </c>
      <c r="AU21" s="13">
        <v>2</v>
      </c>
      <c r="AV21" s="13">
        <v>2</v>
      </c>
      <c r="AW21" s="13">
        <v>2</v>
      </c>
      <c r="AX21" s="13">
        <v>2</v>
      </c>
      <c r="AY21" s="13">
        <v>1</v>
      </c>
      <c r="AZ21" s="13">
        <v>2</v>
      </c>
      <c r="BA21" s="13">
        <v>2</v>
      </c>
      <c r="BB21" s="13">
        <v>2</v>
      </c>
      <c r="BC21" s="13">
        <v>1</v>
      </c>
      <c r="BD21" s="13">
        <v>1</v>
      </c>
      <c r="BE21" s="13">
        <v>1</v>
      </c>
      <c r="BF21" s="13">
        <v>0</v>
      </c>
      <c r="BG21" s="13">
        <v>2</v>
      </c>
      <c r="BH21" s="13">
        <v>1</v>
      </c>
      <c r="BI21" s="13">
        <v>2</v>
      </c>
      <c r="BJ21" s="13">
        <v>2</v>
      </c>
      <c r="BK21" s="13">
        <v>1</v>
      </c>
      <c r="BL21" s="14">
        <v>2</v>
      </c>
      <c r="BM21" s="13">
        <v>1</v>
      </c>
      <c r="BN21" s="13">
        <v>2</v>
      </c>
      <c r="BO21" s="13">
        <v>2</v>
      </c>
      <c r="BP21" s="13">
        <v>1</v>
      </c>
      <c r="BQ21" s="13">
        <v>2</v>
      </c>
      <c r="BR21" s="13">
        <v>1</v>
      </c>
      <c r="BS21" s="13">
        <v>2</v>
      </c>
      <c r="BT21" s="13">
        <v>2</v>
      </c>
      <c r="BU21" s="13">
        <v>2</v>
      </c>
      <c r="BV21" s="13">
        <v>2</v>
      </c>
      <c r="BW21" s="13">
        <v>1</v>
      </c>
      <c r="BX21" s="13">
        <v>1</v>
      </c>
      <c r="BY21" s="13">
        <v>2</v>
      </c>
      <c r="BZ21" s="13">
        <v>2</v>
      </c>
      <c r="CA21" s="13">
        <v>1</v>
      </c>
      <c r="CB21" s="13">
        <v>1</v>
      </c>
      <c r="CC21" s="13">
        <v>2</v>
      </c>
      <c r="CD21" s="13">
        <v>2</v>
      </c>
      <c r="CE21" s="15">
        <v>1</v>
      </c>
      <c r="CF21" s="13">
        <f t="shared" si="0"/>
        <v>0</v>
      </c>
      <c r="CG21" s="13">
        <f t="shared" si="1"/>
        <v>0</v>
      </c>
      <c r="CH21" s="13">
        <f t="shared" si="2"/>
        <v>1</v>
      </c>
      <c r="CI21" s="13">
        <f t="shared" si="3"/>
        <v>0</v>
      </c>
      <c r="CJ21">
        <f t="shared" si="4"/>
        <v>1</v>
      </c>
    </row>
    <row r="22" spans="1:88" x14ac:dyDescent="0.3">
      <c r="A22" t="s">
        <v>12</v>
      </c>
      <c r="B22" s="1">
        <v>20</v>
      </c>
      <c r="C22" s="23" t="s">
        <v>12</v>
      </c>
      <c r="D22" s="13">
        <v>2</v>
      </c>
      <c r="E22" s="13">
        <v>1</v>
      </c>
      <c r="F22" s="13">
        <v>2</v>
      </c>
      <c r="G22" s="13">
        <v>2</v>
      </c>
      <c r="H22" s="13">
        <v>2</v>
      </c>
      <c r="I22" s="13">
        <v>1</v>
      </c>
      <c r="J22" s="13">
        <v>2</v>
      </c>
      <c r="K22" s="13">
        <v>2</v>
      </c>
      <c r="L22" s="13">
        <v>2</v>
      </c>
      <c r="M22" s="13">
        <v>1</v>
      </c>
      <c r="N22" s="13">
        <v>2</v>
      </c>
      <c r="O22" s="13">
        <v>1</v>
      </c>
      <c r="P22" s="13">
        <v>2</v>
      </c>
      <c r="Q22" s="13">
        <v>2</v>
      </c>
      <c r="R22" s="13">
        <v>1</v>
      </c>
      <c r="S22" s="13">
        <v>1</v>
      </c>
      <c r="T22" s="13">
        <v>2</v>
      </c>
      <c r="U22" s="13">
        <v>2</v>
      </c>
      <c r="V22" s="13">
        <v>1</v>
      </c>
      <c r="W22" s="13">
        <v>2</v>
      </c>
      <c r="X22" s="14">
        <v>2</v>
      </c>
      <c r="Y22" s="13">
        <v>2</v>
      </c>
      <c r="Z22" s="13">
        <v>2</v>
      </c>
      <c r="AA22" s="13">
        <v>2</v>
      </c>
      <c r="AB22" s="13">
        <v>1</v>
      </c>
      <c r="AC22" s="13">
        <v>1</v>
      </c>
      <c r="AD22" s="13">
        <v>2</v>
      </c>
      <c r="AE22" s="13">
        <v>1</v>
      </c>
      <c r="AF22" s="13">
        <v>1</v>
      </c>
      <c r="AG22" s="13">
        <v>1</v>
      </c>
      <c r="AH22" s="13">
        <v>2</v>
      </c>
      <c r="AI22" s="13">
        <v>1</v>
      </c>
      <c r="AJ22" s="13">
        <v>2</v>
      </c>
      <c r="AK22" s="13">
        <v>2</v>
      </c>
      <c r="AL22" s="13">
        <v>2</v>
      </c>
      <c r="AM22" s="13">
        <v>1</v>
      </c>
      <c r="AN22" s="13">
        <v>1</v>
      </c>
      <c r="AO22" s="13">
        <v>2</v>
      </c>
      <c r="AP22" s="13">
        <v>1</v>
      </c>
      <c r="AQ22" s="13">
        <v>2</v>
      </c>
      <c r="AR22" s="14">
        <v>2</v>
      </c>
      <c r="AS22" s="13">
        <v>2</v>
      </c>
      <c r="AT22" s="13">
        <v>2</v>
      </c>
      <c r="AU22" s="13">
        <v>1</v>
      </c>
      <c r="AV22" s="13">
        <v>2</v>
      </c>
      <c r="AW22" s="13">
        <v>2</v>
      </c>
      <c r="AX22" s="13">
        <v>2</v>
      </c>
      <c r="AY22" s="13">
        <v>2</v>
      </c>
      <c r="AZ22" s="13">
        <v>2</v>
      </c>
      <c r="BA22" s="13">
        <v>2</v>
      </c>
      <c r="BB22" s="13">
        <v>2</v>
      </c>
      <c r="BC22" s="13">
        <v>1</v>
      </c>
      <c r="BD22" s="13">
        <v>2</v>
      </c>
      <c r="BE22" s="13">
        <v>2</v>
      </c>
      <c r="BF22" s="13">
        <v>2</v>
      </c>
      <c r="BG22" s="13">
        <v>2</v>
      </c>
      <c r="BH22" s="13">
        <v>1</v>
      </c>
      <c r="BI22" s="13">
        <v>1</v>
      </c>
      <c r="BJ22" s="13">
        <v>1</v>
      </c>
      <c r="BK22" s="13">
        <v>0</v>
      </c>
      <c r="BL22" s="14">
        <v>2</v>
      </c>
      <c r="BM22" s="13">
        <v>1</v>
      </c>
      <c r="BN22" s="13">
        <v>2</v>
      </c>
      <c r="BO22" s="13">
        <v>2</v>
      </c>
      <c r="BP22" s="13">
        <v>2</v>
      </c>
      <c r="BQ22" s="13">
        <v>2</v>
      </c>
      <c r="BR22" s="13">
        <v>2</v>
      </c>
      <c r="BS22" s="13">
        <v>2</v>
      </c>
      <c r="BT22" s="13">
        <v>2</v>
      </c>
      <c r="BU22" s="13">
        <v>1</v>
      </c>
      <c r="BV22" s="13">
        <v>1</v>
      </c>
      <c r="BW22" s="13">
        <v>2</v>
      </c>
      <c r="BX22" s="13">
        <v>2</v>
      </c>
      <c r="BY22" s="13">
        <v>1</v>
      </c>
      <c r="BZ22" s="13">
        <v>2</v>
      </c>
      <c r="CA22" s="13">
        <v>1</v>
      </c>
      <c r="CB22" s="13">
        <v>2</v>
      </c>
      <c r="CC22" s="13">
        <v>2</v>
      </c>
      <c r="CD22" s="13">
        <v>2</v>
      </c>
      <c r="CE22" s="15">
        <v>2</v>
      </c>
      <c r="CF22" s="13">
        <f t="shared" si="0"/>
        <v>0</v>
      </c>
      <c r="CG22" s="13">
        <f t="shared" si="1"/>
        <v>0</v>
      </c>
      <c r="CH22" s="13">
        <f t="shared" si="2"/>
        <v>1</v>
      </c>
      <c r="CI22" s="13">
        <f t="shared" si="3"/>
        <v>0</v>
      </c>
      <c r="CJ22">
        <f t="shared" si="4"/>
        <v>1</v>
      </c>
    </row>
    <row r="23" spans="1:88" x14ac:dyDescent="0.3">
      <c r="A23" t="s">
        <v>12</v>
      </c>
      <c r="B23" s="1">
        <v>21</v>
      </c>
      <c r="C23" s="23" t="s">
        <v>12</v>
      </c>
      <c r="D23" s="13">
        <v>1</v>
      </c>
      <c r="E23" s="13">
        <v>2</v>
      </c>
      <c r="F23" s="13">
        <v>2</v>
      </c>
      <c r="G23" s="13">
        <v>2</v>
      </c>
      <c r="H23" s="13">
        <v>2</v>
      </c>
      <c r="I23" s="13">
        <v>2</v>
      </c>
      <c r="J23" s="13">
        <v>2</v>
      </c>
      <c r="K23" s="13">
        <v>1</v>
      </c>
      <c r="L23" s="13">
        <v>1</v>
      </c>
      <c r="M23" s="13">
        <v>1</v>
      </c>
      <c r="N23" s="13">
        <v>2</v>
      </c>
      <c r="O23" s="13">
        <v>2</v>
      </c>
      <c r="P23" s="13">
        <v>2</v>
      </c>
      <c r="Q23" s="13">
        <v>2</v>
      </c>
      <c r="R23" s="13">
        <v>1</v>
      </c>
      <c r="S23" s="13">
        <v>2</v>
      </c>
      <c r="T23" s="13">
        <v>1</v>
      </c>
      <c r="U23" s="13">
        <v>1</v>
      </c>
      <c r="V23" s="13">
        <v>2</v>
      </c>
      <c r="W23" s="13">
        <v>1</v>
      </c>
      <c r="X23" s="14">
        <v>2</v>
      </c>
      <c r="Y23" s="13">
        <v>2</v>
      </c>
      <c r="Z23" s="13">
        <v>2</v>
      </c>
      <c r="AA23" s="13">
        <v>1</v>
      </c>
      <c r="AB23" s="13">
        <v>1</v>
      </c>
      <c r="AC23" s="13">
        <v>2</v>
      </c>
      <c r="AD23" s="13">
        <v>1</v>
      </c>
      <c r="AE23" s="13">
        <v>1</v>
      </c>
      <c r="AF23" s="13">
        <v>2</v>
      </c>
      <c r="AG23" s="13">
        <v>2</v>
      </c>
      <c r="AH23" s="13">
        <v>1</v>
      </c>
      <c r="AI23" s="13">
        <v>1</v>
      </c>
      <c r="AJ23" s="13">
        <v>1</v>
      </c>
      <c r="AK23" s="13">
        <v>2</v>
      </c>
      <c r="AL23" s="13">
        <v>2</v>
      </c>
      <c r="AM23" s="13">
        <v>2</v>
      </c>
      <c r="AN23" s="13">
        <v>2</v>
      </c>
      <c r="AO23" s="13">
        <v>2</v>
      </c>
      <c r="AP23" s="13">
        <v>2</v>
      </c>
      <c r="AQ23" s="13">
        <v>1</v>
      </c>
      <c r="AR23" s="14">
        <v>2</v>
      </c>
      <c r="AS23" s="13">
        <v>2</v>
      </c>
      <c r="AT23" s="13">
        <v>1</v>
      </c>
      <c r="AU23" s="13">
        <v>2</v>
      </c>
      <c r="AV23" s="13">
        <v>2</v>
      </c>
      <c r="AW23" s="13">
        <v>2</v>
      </c>
      <c r="AX23" s="13">
        <v>1</v>
      </c>
      <c r="AY23" s="13">
        <v>1</v>
      </c>
      <c r="AZ23" s="13">
        <v>1</v>
      </c>
      <c r="BA23" s="13">
        <v>2</v>
      </c>
      <c r="BB23" s="13">
        <v>1</v>
      </c>
      <c r="BC23" s="13">
        <v>1</v>
      </c>
      <c r="BD23" s="13">
        <v>1</v>
      </c>
      <c r="BE23" s="13">
        <v>2</v>
      </c>
      <c r="BF23" s="13">
        <v>1</v>
      </c>
      <c r="BG23" s="13">
        <v>1</v>
      </c>
      <c r="BH23" s="13">
        <v>2</v>
      </c>
      <c r="BI23" s="13">
        <v>2</v>
      </c>
      <c r="BJ23" s="13">
        <v>2</v>
      </c>
      <c r="BK23" s="13">
        <v>2</v>
      </c>
      <c r="BL23" s="14">
        <v>2</v>
      </c>
      <c r="BM23" s="13">
        <v>1</v>
      </c>
      <c r="BN23" s="13">
        <v>2</v>
      </c>
      <c r="BO23" s="13">
        <v>1</v>
      </c>
      <c r="BP23" s="13">
        <v>1</v>
      </c>
      <c r="BQ23" s="13">
        <v>2</v>
      </c>
      <c r="BR23" s="13">
        <v>1</v>
      </c>
      <c r="BS23" s="13">
        <v>1</v>
      </c>
      <c r="BT23" s="13">
        <v>2</v>
      </c>
      <c r="BU23" s="13">
        <v>1</v>
      </c>
      <c r="BV23" s="13">
        <v>2</v>
      </c>
      <c r="BW23" s="13">
        <v>1</v>
      </c>
      <c r="BX23" s="13">
        <v>1</v>
      </c>
      <c r="BY23" s="13">
        <v>1</v>
      </c>
      <c r="BZ23" s="13">
        <v>2</v>
      </c>
      <c r="CA23" s="13">
        <v>2</v>
      </c>
      <c r="CB23" s="13">
        <v>1</v>
      </c>
      <c r="CC23" s="13">
        <v>2</v>
      </c>
      <c r="CD23" s="13">
        <v>1</v>
      </c>
      <c r="CE23" s="15">
        <v>1</v>
      </c>
      <c r="CF23" s="13">
        <f t="shared" si="0"/>
        <v>0</v>
      </c>
      <c r="CG23" s="13">
        <f t="shared" si="1"/>
        <v>0</v>
      </c>
      <c r="CH23" s="13">
        <f t="shared" si="2"/>
        <v>0</v>
      </c>
      <c r="CI23" s="13">
        <f t="shared" si="3"/>
        <v>0</v>
      </c>
      <c r="CJ23">
        <f t="shared" si="4"/>
        <v>0</v>
      </c>
    </row>
    <row r="24" spans="1:88" x14ac:dyDescent="0.3">
      <c r="A24" t="s">
        <v>12</v>
      </c>
      <c r="B24" s="1">
        <v>22</v>
      </c>
      <c r="C24" s="23" t="s">
        <v>12</v>
      </c>
      <c r="D24" s="13">
        <v>1</v>
      </c>
      <c r="E24" s="13">
        <v>2</v>
      </c>
      <c r="F24" s="13">
        <v>2</v>
      </c>
      <c r="G24" s="13">
        <v>2</v>
      </c>
      <c r="H24" s="13">
        <v>1</v>
      </c>
      <c r="I24" s="13">
        <v>2</v>
      </c>
      <c r="J24" s="13">
        <v>2</v>
      </c>
      <c r="K24" s="13">
        <v>2</v>
      </c>
      <c r="L24" s="13">
        <v>2</v>
      </c>
      <c r="M24" s="13">
        <v>1</v>
      </c>
      <c r="N24" s="13">
        <v>1</v>
      </c>
      <c r="O24" s="13">
        <v>2</v>
      </c>
      <c r="P24" s="13">
        <v>2</v>
      </c>
      <c r="Q24" s="13">
        <v>2</v>
      </c>
      <c r="R24" s="13">
        <v>2</v>
      </c>
      <c r="S24" s="13">
        <v>2</v>
      </c>
      <c r="T24" s="13">
        <v>2</v>
      </c>
      <c r="U24" s="13">
        <v>2</v>
      </c>
      <c r="V24" s="13">
        <v>2</v>
      </c>
      <c r="W24" s="13">
        <v>1</v>
      </c>
      <c r="X24" s="14">
        <v>1</v>
      </c>
      <c r="Y24" s="13">
        <v>1</v>
      </c>
      <c r="Z24" s="13">
        <v>1</v>
      </c>
      <c r="AA24" s="13">
        <v>2</v>
      </c>
      <c r="AB24" s="13">
        <v>1</v>
      </c>
      <c r="AC24" s="13">
        <v>2</v>
      </c>
      <c r="AD24" s="13">
        <v>1</v>
      </c>
      <c r="AE24" s="13">
        <v>1</v>
      </c>
      <c r="AF24" s="13">
        <v>2</v>
      </c>
      <c r="AG24" s="13">
        <v>1</v>
      </c>
      <c r="AH24" s="13">
        <v>1</v>
      </c>
      <c r="AI24" s="13">
        <v>2</v>
      </c>
      <c r="AJ24" s="13">
        <v>1</v>
      </c>
      <c r="AK24" s="13">
        <v>1</v>
      </c>
      <c r="AL24" s="13">
        <v>1</v>
      </c>
      <c r="AM24" s="13">
        <v>2</v>
      </c>
      <c r="AN24" s="13">
        <v>2</v>
      </c>
      <c r="AO24" s="13">
        <v>1</v>
      </c>
      <c r="AP24" s="13">
        <v>1</v>
      </c>
      <c r="AQ24" s="13">
        <v>2</v>
      </c>
      <c r="AR24" s="14">
        <v>1</v>
      </c>
      <c r="AS24" s="13">
        <v>1</v>
      </c>
      <c r="AT24" s="13">
        <v>1</v>
      </c>
      <c r="AU24" s="13">
        <v>2</v>
      </c>
      <c r="AV24" s="13">
        <v>2</v>
      </c>
      <c r="AW24" s="13">
        <v>1</v>
      </c>
      <c r="AX24" s="13">
        <v>1</v>
      </c>
      <c r="AY24" s="13">
        <v>1</v>
      </c>
      <c r="AZ24" s="13">
        <v>1</v>
      </c>
      <c r="BA24" s="13">
        <v>1</v>
      </c>
      <c r="BB24" s="13">
        <v>1</v>
      </c>
      <c r="BC24" s="13">
        <v>1</v>
      </c>
      <c r="BD24" s="13">
        <v>1</v>
      </c>
      <c r="BE24" s="13">
        <v>1</v>
      </c>
      <c r="BF24" s="13">
        <v>1</v>
      </c>
      <c r="BG24" s="13">
        <v>2</v>
      </c>
      <c r="BH24" s="13">
        <v>2</v>
      </c>
      <c r="BI24" s="13">
        <v>2</v>
      </c>
      <c r="BJ24" s="13">
        <v>1</v>
      </c>
      <c r="BK24" s="13">
        <v>1</v>
      </c>
      <c r="BL24" s="14">
        <v>1</v>
      </c>
      <c r="BM24" s="13">
        <v>1</v>
      </c>
      <c r="BN24" s="13">
        <v>1</v>
      </c>
      <c r="BO24" s="13">
        <v>1</v>
      </c>
      <c r="BP24" s="13">
        <v>1</v>
      </c>
      <c r="BQ24" s="13">
        <v>1</v>
      </c>
      <c r="BR24" s="13">
        <v>1</v>
      </c>
      <c r="BS24" s="13">
        <v>1</v>
      </c>
      <c r="BT24" s="13">
        <v>2</v>
      </c>
      <c r="BU24" s="13">
        <v>1</v>
      </c>
      <c r="BV24" s="13">
        <v>1</v>
      </c>
      <c r="BW24" s="13">
        <v>1</v>
      </c>
      <c r="BX24" s="13">
        <v>1</v>
      </c>
      <c r="BY24" s="13">
        <v>1</v>
      </c>
      <c r="BZ24" s="13">
        <v>1</v>
      </c>
      <c r="CA24" s="13">
        <v>1</v>
      </c>
      <c r="CB24" s="13">
        <v>1</v>
      </c>
      <c r="CC24" s="13">
        <v>1</v>
      </c>
      <c r="CD24" s="13">
        <v>1</v>
      </c>
      <c r="CE24" s="15">
        <v>1</v>
      </c>
      <c r="CF24" s="13">
        <f t="shared" si="0"/>
        <v>0</v>
      </c>
      <c r="CG24" s="13">
        <f t="shared" si="1"/>
        <v>0</v>
      </c>
      <c r="CH24" s="13">
        <f t="shared" si="2"/>
        <v>0</v>
      </c>
      <c r="CI24" s="13">
        <f t="shared" si="3"/>
        <v>0</v>
      </c>
      <c r="CJ24">
        <f t="shared" si="4"/>
        <v>0</v>
      </c>
    </row>
    <row r="25" spans="1:88" x14ac:dyDescent="0.3">
      <c r="A25" t="s">
        <v>12</v>
      </c>
      <c r="B25" s="1">
        <v>23</v>
      </c>
      <c r="C25" s="23" t="s">
        <v>12</v>
      </c>
      <c r="D25" s="13">
        <v>2</v>
      </c>
      <c r="E25" s="13">
        <v>2</v>
      </c>
      <c r="F25" s="13">
        <v>2</v>
      </c>
      <c r="G25" s="13">
        <v>2</v>
      </c>
      <c r="H25" s="13">
        <v>2</v>
      </c>
      <c r="I25" s="13">
        <v>2</v>
      </c>
      <c r="J25" s="13">
        <v>2</v>
      </c>
      <c r="K25" s="13">
        <v>2</v>
      </c>
      <c r="L25" s="13">
        <v>2</v>
      </c>
      <c r="M25" s="13">
        <v>2</v>
      </c>
      <c r="N25" s="13">
        <v>2</v>
      </c>
      <c r="O25" s="13">
        <v>2</v>
      </c>
      <c r="P25" s="13">
        <v>2</v>
      </c>
      <c r="Q25" s="13">
        <v>2</v>
      </c>
      <c r="R25" s="13">
        <v>2</v>
      </c>
      <c r="S25" s="13">
        <v>2</v>
      </c>
      <c r="T25" s="13">
        <v>2</v>
      </c>
      <c r="U25" s="13">
        <v>2</v>
      </c>
      <c r="V25" s="13">
        <v>2</v>
      </c>
      <c r="W25" s="13">
        <v>2</v>
      </c>
      <c r="X25" s="14">
        <v>2</v>
      </c>
      <c r="Y25" s="13">
        <v>1</v>
      </c>
      <c r="Z25" s="13">
        <v>2</v>
      </c>
      <c r="AA25" s="13">
        <v>2</v>
      </c>
      <c r="AB25" s="13">
        <v>1</v>
      </c>
      <c r="AC25" s="13">
        <v>2</v>
      </c>
      <c r="AD25" s="13">
        <v>1</v>
      </c>
      <c r="AE25" s="13">
        <v>2</v>
      </c>
      <c r="AF25" s="13">
        <v>2</v>
      </c>
      <c r="AG25" s="13">
        <v>2</v>
      </c>
      <c r="AH25" s="13">
        <v>2</v>
      </c>
      <c r="AI25" s="13">
        <v>2</v>
      </c>
      <c r="AJ25" s="13">
        <v>2</v>
      </c>
      <c r="AK25" s="13">
        <v>2</v>
      </c>
      <c r="AL25" s="13">
        <v>2</v>
      </c>
      <c r="AM25" s="13">
        <v>2</v>
      </c>
      <c r="AN25" s="13">
        <v>2</v>
      </c>
      <c r="AO25" s="13">
        <v>2</v>
      </c>
      <c r="AP25" s="13">
        <v>2</v>
      </c>
      <c r="AQ25" s="13">
        <v>2</v>
      </c>
      <c r="AR25" s="14">
        <v>2</v>
      </c>
      <c r="AS25" s="13">
        <v>2</v>
      </c>
      <c r="AT25" s="13">
        <v>2</v>
      </c>
      <c r="AU25" s="13">
        <v>2</v>
      </c>
      <c r="AV25" s="13">
        <v>2</v>
      </c>
      <c r="AW25" s="13">
        <v>2</v>
      </c>
      <c r="AX25" s="13">
        <v>2</v>
      </c>
      <c r="AY25" s="13">
        <v>1</v>
      </c>
      <c r="AZ25" s="13">
        <v>1</v>
      </c>
      <c r="BA25" s="13">
        <v>1</v>
      </c>
      <c r="BB25" s="13">
        <v>2</v>
      </c>
      <c r="BC25" s="13">
        <v>2</v>
      </c>
      <c r="BD25" s="13">
        <v>2</v>
      </c>
      <c r="BE25" s="13">
        <v>2</v>
      </c>
      <c r="BF25" s="13">
        <v>2</v>
      </c>
      <c r="BG25" s="13">
        <v>2</v>
      </c>
      <c r="BH25" s="13">
        <v>2</v>
      </c>
      <c r="BI25" s="13">
        <v>2</v>
      </c>
      <c r="BJ25" s="13">
        <v>2</v>
      </c>
      <c r="BK25" s="13">
        <v>2</v>
      </c>
      <c r="BL25" s="14">
        <v>2</v>
      </c>
      <c r="BM25" s="13">
        <v>2</v>
      </c>
      <c r="BN25" s="13">
        <v>1</v>
      </c>
      <c r="BO25" s="13">
        <v>1</v>
      </c>
      <c r="BP25" s="13">
        <v>2</v>
      </c>
      <c r="BQ25" s="13">
        <v>2</v>
      </c>
      <c r="BR25" s="13">
        <v>1</v>
      </c>
      <c r="BS25" s="13">
        <v>2</v>
      </c>
      <c r="BT25" s="13">
        <v>2</v>
      </c>
      <c r="BU25" s="13">
        <v>2</v>
      </c>
      <c r="BV25" s="13">
        <v>2</v>
      </c>
      <c r="BW25" s="13">
        <v>2</v>
      </c>
      <c r="BX25" s="13">
        <v>2</v>
      </c>
      <c r="BY25" s="13">
        <v>2</v>
      </c>
      <c r="BZ25" s="13">
        <v>2</v>
      </c>
      <c r="CA25" s="13">
        <v>2</v>
      </c>
      <c r="CB25" s="13">
        <v>2</v>
      </c>
      <c r="CC25" s="13">
        <v>2</v>
      </c>
      <c r="CD25" s="13">
        <v>2</v>
      </c>
      <c r="CE25" s="15">
        <v>2</v>
      </c>
      <c r="CF25" s="13">
        <f t="shared" si="0"/>
        <v>0</v>
      </c>
      <c r="CG25" s="13">
        <f t="shared" si="1"/>
        <v>0</v>
      </c>
      <c r="CH25" s="13">
        <f t="shared" si="2"/>
        <v>0</v>
      </c>
      <c r="CI25" s="13">
        <f t="shared" si="3"/>
        <v>0</v>
      </c>
      <c r="CJ25">
        <f t="shared" si="4"/>
        <v>0</v>
      </c>
    </row>
    <row r="26" spans="1:88" x14ac:dyDescent="0.3">
      <c r="A26" t="s">
        <v>12</v>
      </c>
      <c r="B26" s="1">
        <v>24</v>
      </c>
      <c r="C26" s="23" t="s">
        <v>12</v>
      </c>
      <c r="D26" s="13">
        <v>2</v>
      </c>
      <c r="E26" s="13">
        <v>2</v>
      </c>
      <c r="F26" s="13">
        <v>2</v>
      </c>
      <c r="G26" s="13">
        <v>1</v>
      </c>
      <c r="H26" s="13">
        <v>2</v>
      </c>
      <c r="I26" s="13">
        <v>1</v>
      </c>
      <c r="J26" s="13">
        <v>2</v>
      </c>
      <c r="K26" s="13">
        <v>2</v>
      </c>
      <c r="L26" s="13">
        <v>2</v>
      </c>
      <c r="M26" s="13">
        <v>2</v>
      </c>
      <c r="N26" s="13">
        <v>2</v>
      </c>
      <c r="O26" s="13">
        <v>2</v>
      </c>
      <c r="P26" s="13">
        <v>2</v>
      </c>
      <c r="Q26" s="13">
        <v>2</v>
      </c>
      <c r="R26" s="13">
        <v>2</v>
      </c>
      <c r="S26" s="13">
        <v>1</v>
      </c>
      <c r="T26" s="13">
        <v>2</v>
      </c>
      <c r="U26" s="13">
        <v>2</v>
      </c>
      <c r="V26" s="13">
        <v>2</v>
      </c>
      <c r="W26" s="13">
        <v>2</v>
      </c>
      <c r="X26" s="14">
        <v>1</v>
      </c>
      <c r="Y26" s="13">
        <v>1</v>
      </c>
      <c r="Z26" s="13">
        <v>2</v>
      </c>
      <c r="AA26" s="13">
        <v>2</v>
      </c>
      <c r="AB26" s="13">
        <v>2</v>
      </c>
      <c r="AC26" s="13">
        <v>2</v>
      </c>
      <c r="AD26" s="13">
        <v>2</v>
      </c>
      <c r="AE26" s="13">
        <v>1</v>
      </c>
      <c r="AF26" s="13">
        <v>1</v>
      </c>
      <c r="AG26" s="13">
        <v>2</v>
      </c>
      <c r="AH26" s="13">
        <v>2</v>
      </c>
      <c r="AI26" s="13">
        <v>2</v>
      </c>
      <c r="AJ26" s="13">
        <v>2</v>
      </c>
      <c r="AK26" s="13">
        <v>2</v>
      </c>
      <c r="AL26" s="13">
        <v>2</v>
      </c>
      <c r="AM26" s="13">
        <v>2</v>
      </c>
      <c r="AN26" s="13">
        <v>2</v>
      </c>
      <c r="AO26" s="13">
        <v>1</v>
      </c>
      <c r="AP26" s="13">
        <v>2</v>
      </c>
      <c r="AQ26" s="13">
        <v>2</v>
      </c>
      <c r="AR26" s="14">
        <v>1</v>
      </c>
      <c r="AS26" s="13">
        <v>2</v>
      </c>
      <c r="AT26" s="13">
        <v>2</v>
      </c>
      <c r="AU26" s="13">
        <v>2</v>
      </c>
      <c r="AV26" s="13">
        <v>2</v>
      </c>
      <c r="AW26" s="13">
        <v>2</v>
      </c>
      <c r="AX26" s="13">
        <v>2</v>
      </c>
      <c r="AY26" s="13">
        <v>2</v>
      </c>
      <c r="AZ26" s="13">
        <v>2</v>
      </c>
      <c r="BA26" s="13">
        <v>2</v>
      </c>
      <c r="BB26" s="13">
        <v>2</v>
      </c>
      <c r="BC26" s="13">
        <v>2</v>
      </c>
      <c r="BD26" s="13">
        <v>1</v>
      </c>
      <c r="BE26" s="13">
        <v>1</v>
      </c>
      <c r="BF26" s="13">
        <v>2</v>
      </c>
      <c r="BG26" s="13">
        <v>2</v>
      </c>
      <c r="BH26" s="13">
        <v>2</v>
      </c>
      <c r="BI26" s="13">
        <v>2</v>
      </c>
      <c r="BJ26" s="13">
        <v>2</v>
      </c>
      <c r="BK26" s="13">
        <v>2</v>
      </c>
      <c r="BL26" s="14">
        <v>2</v>
      </c>
      <c r="BM26" s="13">
        <v>1</v>
      </c>
      <c r="BN26" s="13">
        <v>1</v>
      </c>
      <c r="BO26" s="13">
        <v>2</v>
      </c>
      <c r="BP26" s="13">
        <v>2</v>
      </c>
      <c r="BQ26" s="13">
        <v>2</v>
      </c>
      <c r="BR26" s="13">
        <v>2</v>
      </c>
      <c r="BS26" s="13">
        <v>1</v>
      </c>
      <c r="BT26" s="13">
        <v>2</v>
      </c>
      <c r="BU26" s="13">
        <v>2</v>
      </c>
      <c r="BV26" s="13">
        <v>2</v>
      </c>
      <c r="BW26" s="13">
        <v>2</v>
      </c>
      <c r="BX26" s="13">
        <v>2</v>
      </c>
      <c r="BY26" s="13">
        <v>2</v>
      </c>
      <c r="BZ26" s="13">
        <v>2</v>
      </c>
      <c r="CA26" s="13">
        <v>2</v>
      </c>
      <c r="CB26" s="13">
        <v>2</v>
      </c>
      <c r="CC26" s="13">
        <v>1</v>
      </c>
      <c r="CD26" s="13">
        <v>2</v>
      </c>
      <c r="CE26" s="15">
        <v>1</v>
      </c>
      <c r="CF26" s="13">
        <f t="shared" si="0"/>
        <v>0</v>
      </c>
      <c r="CG26" s="13">
        <f t="shared" si="1"/>
        <v>0</v>
      </c>
      <c r="CH26" s="13">
        <f t="shared" si="2"/>
        <v>0</v>
      </c>
      <c r="CI26" s="13">
        <f t="shared" si="3"/>
        <v>0</v>
      </c>
      <c r="CJ26">
        <f t="shared" si="4"/>
        <v>0</v>
      </c>
    </row>
    <row r="27" spans="1:88" x14ac:dyDescent="0.3">
      <c r="A27" t="s">
        <v>12</v>
      </c>
      <c r="B27" s="1">
        <v>25</v>
      </c>
      <c r="C27" s="23" t="s">
        <v>12</v>
      </c>
      <c r="D27" s="13">
        <v>2</v>
      </c>
      <c r="E27" s="13">
        <v>2</v>
      </c>
      <c r="F27" s="13">
        <v>1</v>
      </c>
      <c r="G27" s="13">
        <v>2</v>
      </c>
      <c r="H27" s="13">
        <v>2</v>
      </c>
      <c r="I27" s="13">
        <v>2</v>
      </c>
      <c r="J27" s="13">
        <v>2</v>
      </c>
      <c r="K27" s="13">
        <v>2</v>
      </c>
      <c r="L27" s="13">
        <v>2</v>
      </c>
      <c r="M27" s="13">
        <v>2</v>
      </c>
      <c r="N27" s="13">
        <v>2</v>
      </c>
      <c r="O27" s="13">
        <v>2</v>
      </c>
      <c r="P27" s="13">
        <v>2</v>
      </c>
      <c r="Q27" s="13">
        <v>2</v>
      </c>
      <c r="R27" s="13">
        <v>2</v>
      </c>
      <c r="S27" s="13">
        <v>2</v>
      </c>
      <c r="T27" s="13">
        <v>2</v>
      </c>
      <c r="U27" s="13">
        <v>2</v>
      </c>
      <c r="V27" s="13">
        <v>2</v>
      </c>
      <c r="W27" s="13">
        <v>2</v>
      </c>
      <c r="X27" s="14">
        <v>2</v>
      </c>
      <c r="Y27" s="13">
        <v>2</v>
      </c>
      <c r="Z27" s="13">
        <v>2</v>
      </c>
      <c r="AA27" s="13">
        <v>2</v>
      </c>
      <c r="AB27" s="13">
        <v>2</v>
      </c>
      <c r="AC27" s="13">
        <v>2</v>
      </c>
      <c r="AD27" s="13">
        <v>2</v>
      </c>
      <c r="AE27" s="13">
        <v>2</v>
      </c>
      <c r="AF27" s="13">
        <v>2</v>
      </c>
      <c r="AG27" s="13">
        <v>2</v>
      </c>
      <c r="AH27" s="13">
        <v>2</v>
      </c>
      <c r="AI27" s="13">
        <v>2</v>
      </c>
      <c r="AJ27" s="13">
        <v>2</v>
      </c>
      <c r="AK27" s="13">
        <v>2</v>
      </c>
      <c r="AL27" s="13">
        <v>2</v>
      </c>
      <c r="AM27" s="13">
        <v>2</v>
      </c>
      <c r="AN27" s="13">
        <v>2</v>
      </c>
      <c r="AO27" s="13">
        <v>2</v>
      </c>
      <c r="AP27" s="13">
        <v>2</v>
      </c>
      <c r="AQ27" s="13">
        <v>2</v>
      </c>
      <c r="AR27" s="14">
        <v>2</v>
      </c>
      <c r="AS27" s="13">
        <v>2</v>
      </c>
      <c r="AT27" s="13">
        <v>2</v>
      </c>
      <c r="AU27" s="13">
        <v>2</v>
      </c>
      <c r="AV27" s="13">
        <v>2</v>
      </c>
      <c r="AW27" s="13">
        <v>2</v>
      </c>
      <c r="AX27" s="13">
        <v>2</v>
      </c>
      <c r="AY27" s="13">
        <v>2</v>
      </c>
      <c r="AZ27" s="13">
        <v>2</v>
      </c>
      <c r="BA27" s="13">
        <v>2</v>
      </c>
      <c r="BB27" s="13">
        <v>2</v>
      </c>
      <c r="BC27" s="13">
        <v>2</v>
      </c>
      <c r="BD27" s="13">
        <v>2</v>
      </c>
      <c r="BE27" s="13">
        <v>2</v>
      </c>
      <c r="BF27" s="13">
        <v>2</v>
      </c>
      <c r="BG27" s="13">
        <v>2</v>
      </c>
      <c r="BH27" s="13">
        <v>2</v>
      </c>
      <c r="BI27" s="13">
        <v>2</v>
      </c>
      <c r="BJ27" s="13">
        <v>2</v>
      </c>
      <c r="BK27" s="13">
        <v>2</v>
      </c>
      <c r="BL27" s="14">
        <v>2</v>
      </c>
      <c r="BM27" s="13">
        <v>2</v>
      </c>
      <c r="BN27" s="13">
        <v>2</v>
      </c>
      <c r="BO27" s="13">
        <v>2</v>
      </c>
      <c r="BP27" s="13">
        <v>2</v>
      </c>
      <c r="BQ27" s="13">
        <v>2</v>
      </c>
      <c r="BR27" s="13">
        <v>2</v>
      </c>
      <c r="BS27" s="13">
        <v>2</v>
      </c>
      <c r="BT27" s="13">
        <v>2</v>
      </c>
      <c r="BU27" s="13">
        <v>2</v>
      </c>
      <c r="BV27" s="13">
        <v>2</v>
      </c>
      <c r="BW27" s="13">
        <v>2</v>
      </c>
      <c r="BX27" s="13">
        <v>2</v>
      </c>
      <c r="BY27" s="13">
        <v>2</v>
      </c>
      <c r="BZ27" s="13">
        <v>2</v>
      </c>
      <c r="CA27" s="13">
        <v>2</v>
      </c>
      <c r="CB27" s="13">
        <v>2</v>
      </c>
      <c r="CC27" s="13">
        <v>2</v>
      </c>
      <c r="CD27" s="13">
        <v>2</v>
      </c>
      <c r="CE27" s="15">
        <v>2</v>
      </c>
      <c r="CF27" s="13">
        <f t="shared" si="0"/>
        <v>0</v>
      </c>
      <c r="CG27" s="13">
        <f t="shared" si="1"/>
        <v>0</v>
      </c>
      <c r="CH27" s="13">
        <f t="shared" si="2"/>
        <v>0</v>
      </c>
      <c r="CI27" s="13">
        <f t="shared" si="3"/>
        <v>0</v>
      </c>
      <c r="CJ27">
        <f t="shared" si="4"/>
        <v>0</v>
      </c>
    </row>
    <row r="28" spans="1:88" x14ac:dyDescent="0.3">
      <c r="A28" t="s">
        <v>12</v>
      </c>
      <c r="B28" s="1">
        <v>26</v>
      </c>
      <c r="C28" s="23" t="s">
        <v>12</v>
      </c>
      <c r="D28" s="13">
        <v>2</v>
      </c>
      <c r="E28" s="13">
        <v>2</v>
      </c>
      <c r="F28" s="13">
        <v>2</v>
      </c>
      <c r="G28" s="13">
        <v>1</v>
      </c>
      <c r="H28" s="13">
        <v>1</v>
      </c>
      <c r="I28" s="13">
        <v>2</v>
      </c>
      <c r="J28" s="13">
        <v>2</v>
      </c>
      <c r="K28" s="13">
        <v>1</v>
      </c>
      <c r="L28" s="13">
        <v>2</v>
      </c>
      <c r="M28" s="13">
        <v>1</v>
      </c>
      <c r="N28" s="13">
        <v>1</v>
      </c>
      <c r="O28" s="13">
        <v>2</v>
      </c>
      <c r="P28" s="13">
        <v>1</v>
      </c>
      <c r="Q28" s="13">
        <v>1</v>
      </c>
      <c r="R28" s="13">
        <v>2</v>
      </c>
      <c r="S28" s="13">
        <v>1</v>
      </c>
      <c r="T28" s="13">
        <v>2</v>
      </c>
      <c r="U28" s="13">
        <v>2</v>
      </c>
      <c r="V28" s="13">
        <v>2</v>
      </c>
      <c r="W28" s="13">
        <v>1</v>
      </c>
      <c r="X28" s="14">
        <v>1</v>
      </c>
      <c r="Y28" s="13">
        <v>1</v>
      </c>
      <c r="Z28" s="13">
        <v>1</v>
      </c>
      <c r="AA28" s="13">
        <v>2</v>
      </c>
      <c r="AB28" s="13">
        <v>1</v>
      </c>
      <c r="AC28" s="13">
        <v>1</v>
      </c>
      <c r="AD28" s="13">
        <v>2</v>
      </c>
      <c r="AE28" s="13">
        <v>1</v>
      </c>
      <c r="AF28" s="13">
        <v>2</v>
      </c>
      <c r="AG28" s="13">
        <v>1</v>
      </c>
      <c r="AH28" s="13">
        <v>1</v>
      </c>
      <c r="AI28" s="13">
        <v>2</v>
      </c>
      <c r="AJ28" s="13">
        <v>2</v>
      </c>
      <c r="AK28" s="13">
        <v>1</v>
      </c>
      <c r="AL28" s="13">
        <v>1</v>
      </c>
      <c r="AM28" s="13">
        <v>2</v>
      </c>
      <c r="AN28" s="13">
        <v>2</v>
      </c>
      <c r="AO28" s="13">
        <v>1</v>
      </c>
      <c r="AP28" s="13">
        <v>2</v>
      </c>
      <c r="AQ28" s="13">
        <v>1</v>
      </c>
      <c r="AR28" s="14">
        <v>1</v>
      </c>
      <c r="AS28" s="13">
        <v>1</v>
      </c>
      <c r="AT28" s="13">
        <v>1</v>
      </c>
      <c r="AU28" s="13">
        <v>1</v>
      </c>
      <c r="AV28" s="13">
        <v>1</v>
      </c>
      <c r="AW28" s="13">
        <v>1</v>
      </c>
      <c r="AX28" s="13">
        <v>1</v>
      </c>
      <c r="AY28" s="13">
        <v>1</v>
      </c>
      <c r="AZ28" s="13">
        <v>2</v>
      </c>
      <c r="BA28" s="13">
        <v>1</v>
      </c>
      <c r="BB28" s="13">
        <v>2</v>
      </c>
      <c r="BC28" s="13">
        <v>2</v>
      </c>
      <c r="BD28" s="13">
        <v>2</v>
      </c>
      <c r="BE28" s="13">
        <v>2</v>
      </c>
      <c r="BF28" s="13">
        <v>1</v>
      </c>
      <c r="BG28" s="13">
        <v>2</v>
      </c>
      <c r="BH28" s="13">
        <v>2</v>
      </c>
      <c r="BI28" s="13">
        <v>2</v>
      </c>
      <c r="BJ28" s="13">
        <v>2</v>
      </c>
      <c r="BK28" s="13">
        <v>1</v>
      </c>
      <c r="BL28" s="14">
        <v>2</v>
      </c>
      <c r="BM28" s="13">
        <v>1</v>
      </c>
      <c r="BN28" s="13">
        <v>1</v>
      </c>
      <c r="BO28" s="13">
        <v>1</v>
      </c>
      <c r="BP28" s="13">
        <v>1</v>
      </c>
      <c r="BQ28" s="13">
        <v>1</v>
      </c>
      <c r="BR28" s="13">
        <v>1</v>
      </c>
      <c r="BS28" s="13">
        <v>1</v>
      </c>
      <c r="BT28" s="13">
        <v>1</v>
      </c>
      <c r="BU28" s="13">
        <v>1</v>
      </c>
      <c r="BV28" s="13">
        <v>1</v>
      </c>
      <c r="BW28" s="13">
        <v>1</v>
      </c>
      <c r="BX28" s="13">
        <v>2</v>
      </c>
      <c r="BY28" s="13">
        <v>1</v>
      </c>
      <c r="BZ28" s="13">
        <v>1</v>
      </c>
      <c r="CA28" s="13">
        <v>1</v>
      </c>
      <c r="CB28" s="13">
        <v>1</v>
      </c>
      <c r="CC28" s="13">
        <v>1</v>
      </c>
      <c r="CD28" s="13">
        <v>1</v>
      </c>
      <c r="CE28" s="15">
        <v>1</v>
      </c>
      <c r="CF28" s="13">
        <f t="shared" si="0"/>
        <v>0</v>
      </c>
      <c r="CG28" s="13">
        <f t="shared" si="1"/>
        <v>0</v>
      </c>
      <c r="CH28" s="13">
        <f t="shared" si="2"/>
        <v>0</v>
      </c>
      <c r="CI28" s="13">
        <f t="shared" si="3"/>
        <v>0</v>
      </c>
      <c r="CJ28">
        <f t="shared" si="4"/>
        <v>0</v>
      </c>
    </row>
    <row r="29" spans="1:88" x14ac:dyDescent="0.3">
      <c r="A29" t="s">
        <v>12</v>
      </c>
      <c r="B29" s="1">
        <v>27</v>
      </c>
      <c r="C29" s="23" t="s">
        <v>12</v>
      </c>
      <c r="D29" s="13">
        <v>2</v>
      </c>
      <c r="E29" s="13">
        <v>2</v>
      </c>
      <c r="F29" s="13">
        <v>2</v>
      </c>
      <c r="G29" s="13">
        <v>2</v>
      </c>
      <c r="H29" s="13">
        <v>2</v>
      </c>
      <c r="I29" s="13">
        <v>2</v>
      </c>
      <c r="J29" s="13">
        <v>2</v>
      </c>
      <c r="K29" s="13">
        <v>2</v>
      </c>
      <c r="L29" s="13">
        <v>2</v>
      </c>
      <c r="M29" s="13">
        <v>2</v>
      </c>
      <c r="N29" s="13">
        <v>2</v>
      </c>
      <c r="O29" s="13">
        <v>2</v>
      </c>
      <c r="P29" s="13">
        <v>2</v>
      </c>
      <c r="Q29" s="13">
        <v>2</v>
      </c>
      <c r="R29" s="13">
        <v>2</v>
      </c>
      <c r="S29" s="13">
        <v>2</v>
      </c>
      <c r="T29" s="13">
        <v>2</v>
      </c>
      <c r="U29" s="13">
        <v>2</v>
      </c>
      <c r="V29" s="13">
        <v>2</v>
      </c>
      <c r="W29" s="13">
        <v>2</v>
      </c>
      <c r="X29" s="14">
        <v>1</v>
      </c>
      <c r="Y29" s="13">
        <v>2</v>
      </c>
      <c r="Z29" s="13">
        <v>2</v>
      </c>
      <c r="AA29" s="13">
        <v>2</v>
      </c>
      <c r="AB29" s="13">
        <v>2</v>
      </c>
      <c r="AC29" s="13">
        <v>2</v>
      </c>
      <c r="AD29" s="13">
        <v>2</v>
      </c>
      <c r="AE29" s="13">
        <v>2</v>
      </c>
      <c r="AF29" s="13">
        <v>1</v>
      </c>
      <c r="AG29" s="13">
        <v>1</v>
      </c>
      <c r="AH29" s="13">
        <v>2</v>
      </c>
      <c r="AI29" s="13">
        <v>2</v>
      </c>
      <c r="AJ29" s="13">
        <v>2</v>
      </c>
      <c r="AK29" s="13">
        <v>2</v>
      </c>
      <c r="AL29" s="13">
        <v>2</v>
      </c>
      <c r="AM29" s="13">
        <v>2</v>
      </c>
      <c r="AN29" s="13">
        <v>2</v>
      </c>
      <c r="AO29" s="13">
        <v>2</v>
      </c>
      <c r="AP29" s="13">
        <v>2</v>
      </c>
      <c r="AQ29" s="13">
        <v>2</v>
      </c>
      <c r="AR29" s="14">
        <v>2</v>
      </c>
      <c r="AS29" s="13">
        <v>2</v>
      </c>
      <c r="AT29" s="13">
        <v>2</v>
      </c>
      <c r="AU29" s="13">
        <v>2</v>
      </c>
      <c r="AV29" s="13">
        <v>1</v>
      </c>
      <c r="AW29" s="13">
        <v>2</v>
      </c>
      <c r="AX29" s="13">
        <v>2</v>
      </c>
      <c r="AY29" s="13">
        <v>2</v>
      </c>
      <c r="AZ29" s="13">
        <v>2</v>
      </c>
      <c r="BA29" s="13">
        <v>2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2</v>
      </c>
      <c r="BH29" s="13">
        <v>2</v>
      </c>
      <c r="BI29" s="13">
        <v>1</v>
      </c>
      <c r="BJ29" s="13">
        <v>2</v>
      </c>
      <c r="BK29" s="13">
        <v>1</v>
      </c>
      <c r="BL29" s="14">
        <v>2</v>
      </c>
      <c r="BM29" s="13">
        <v>2</v>
      </c>
      <c r="BN29" s="13">
        <v>2</v>
      </c>
      <c r="BO29" s="13">
        <v>2</v>
      </c>
      <c r="BP29" s="13">
        <v>1</v>
      </c>
      <c r="BQ29" s="13">
        <v>2</v>
      </c>
      <c r="BR29" s="13">
        <v>2</v>
      </c>
      <c r="BS29" s="13">
        <v>1</v>
      </c>
      <c r="BT29" s="13">
        <v>2</v>
      </c>
      <c r="BU29" s="13">
        <v>1</v>
      </c>
      <c r="BV29" s="13">
        <v>2</v>
      </c>
      <c r="BW29" s="13">
        <v>2</v>
      </c>
      <c r="BX29" s="13">
        <v>2</v>
      </c>
      <c r="BY29" s="13">
        <v>1</v>
      </c>
      <c r="BZ29" s="13">
        <v>2</v>
      </c>
      <c r="CA29" s="13">
        <v>1</v>
      </c>
      <c r="CB29" s="13">
        <v>2</v>
      </c>
      <c r="CC29" s="13">
        <v>2</v>
      </c>
      <c r="CD29" s="13">
        <v>1</v>
      </c>
      <c r="CE29" s="15">
        <v>1</v>
      </c>
      <c r="CF29" s="13">
        <f t="shared" si="0"/>
        <v>0</v>
      </c>
      <c r="CG29" s="13">
        <f t="shared" si="1"/>
        <v>0</v>
      </c>
      <c r="CH29" s="13">
        <f t="shared" si="2"/>
        <v>0</v>
      </c>
      <c r="CI29" s="13">
        <f t="shared" si="3"/>
        <v>0</v>
      </c>
      <c r="CJ29">
        <f t="shared" si="4"/>
        <v>0</v>
      </c>
    </row>
    <row r="30" spans="1:88" x14ac:dyDescent="0.3">
      <c r="A30" t="s">
        <v>12</v>
      </c>
      <c r="B30" s="1">
        <v>28</v>
      </c>
      <c r="C30" s="23" t="s">
        <v>12</v>
      </c>
      <c r="D30" s="13">
        <v>1</v>
      </c>
      <c r="E30" s="13">
        <v>2</v>
      </c>
      <c r="F30" s="13">
        <v>1</v>
      </c>
      <c r="G30" s="13">
        <v>2</v>
      </c>
      <c r="H30" s="13">
        <v>1</v>
      </c>
      <c r="I30" s="13">
        <v>2</v>
      </c>
      <c r="J30" s="13">
        <v>2</v>
      </c>
      <c r="K30" s="13">
        <v>2</v>
      </c>
      <c r="L30" s="13">
        <v>1</v>
      </c>
      <c r="M30" s="13">
        <v>2</v>
      </c>
      <c r="N30" s="13">
        <v>2</v>
      </c>
      <c r="O30" s="13">
        <v>2</v>
      </c>
      <c r="P30" s="13">
        <v>1</v>
      </c>
      <c r="Q30" s="13">
        <v>2</v>
      </c>
      <c r="R30" s="13">
        <v>1</v>
      </c>
      <c r="S30" s="13">
        <v>2</v>
      </c>
      <c r="T30" s="13">
        <v>1</v>
      </c>
      <c r="U30" s="13">
        <v>1</v>
      </c>
      <c r="V30" s="13">
        <v>2</v>
      </c>
      <c r="W30" s="13">
        <v>2</v>
      </c>
      <c r="X30" s="14">
        <v>0</v>
      </c>
      <c r="Y30" s="13">
        <v>1</v>
      </c>
      <c r="Z30" s="13">
        <v>1</v>
      </c>
      <c r="AA30" s="13">
        <v>1</v>
      </c>
      <c r="AB30" s="13">
        <v>2</v>
      </c>
      <c r="AC30" s="13">
        <v>1</v>
      </c>
      <c r="AD30" s="13">
        <v>2</v>
      </c>
      <c r="AE30" s="13">
        <v>2</v>
      </c>
      <c r="AF30" s="13">
        <v>1</v>
      </c>
      <c r="AG30" s="13">
        <v>2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4">
        <v>2</v>
      </c>
      <c r="AS30" s="13">
        <v>1</v>
      </c>
      <c r="AT30" s="13">
        <v>1</v>
      </c>
      <c r="AU30" s="13">
        <v>1</v>
      </c>
      <c r="AV30" s="13">
        <v>1</v>
      </c>
      <c r="AW30" s="13">
        <v>1</v>
      </c>
      <c r="AX30" s="13">
        <v>1</v>
      </c>
      <c r="AY30" s="13">
        <v>1</v>
      </c>
      <c r="AZ30" s="13">
        <v>1</v>
      </c>
      <c r="BA30" s="13">
        <v>1</v>
      </c>
      <c r="BB30" s="13">
        <v>1</v>
      </c>
      <c r="BC30" s="13">
        <v>1</v>
      </c>
      <c r="BD30" s="13">
        <v>1</v>
      </c>
      <c r="BE30" s="13">
        <v>1</v>
      </c>
      <c r="BF30" s="13">
        <v>1</v>
      </c>
      <c r="BG30" s="13">
        <v>1</v>
      </c>
      <c r="BH30" s="13">
        <v>0</v>
      </c>
      <c r="BI30" s="13">
        <v>0</v>
      </c>
      <c r="BJ30" s="13">
        <v>0</v>
      </c>
      <c r="BK30" s="13">
        <v>0</v>
      </c>
      <c r="BL30" s="14">
        <v>1</v>
      </c>
      <c r="BM30" s="13">
        <v>1</v>
      </c>
      <c r="BN30" s="13">
        <v>1</v>
      </c>
      <c r="BO30" s="13">
        <v>1</v>
      </c>
      <c r="BP30" s="13">
        <v>1</v>
      </c>
      <c r="BQ30" s="13">
        <v>1</v>
      </c>
      <c r="BR30" s="13">
        <v>1</v>
      </c>
      <c r="BS30" s="13">
        <v>1</v>
      </c>
      <c r="BT30" s="13">
        <v>1</v>
      </c>
      <c r="BU30" s="13">
        <v>1</v>
      </c>
      <c r="BV30" s="13">
        <v>1</v>
      </c>
      <c r="BW30" s="13">
        <v>1</v>
      </c>
      <c r="BX30" s="13">
        <v>1</v>
      </c>
      <c r="BY30" s="13">
        <v>1</v>
      </c>
      <c r="BZ30" s="13">
        <v>1</v>
      </c>
      <c r="CA30" s="13">
        <v>1</v>
      </c>
      <c r="CB30" s="13">
        <v>1</v>
      </c>
      <c r="CC30" s="13">
        <v>1</v>
      </c>
      <c r="CD30" s="13">
        <v>1</v>
      </c>
      <c r="CE30" s="15">
        <v>1</v>
      </c>
      <c r="CF30" s="13">
        <f t="shared" si="0"/>
        <v>0</v>
      </c>
      <c r="CG30" s="13">
        <f t="shared" si="1"/>
        <v>6</v>
      </c>
      <c r="CH30" s="13">
        <f t="shared" si="2"/>
        <v>4</v>
      </c>
      <c r="CI30" s="13">
        <f t="shared" si="3"/>
        <v>0</v>
      </c>
      <c r="CJ30">
        <f t="shared" si="4"/>
        <v>10</v>
      </c>
    </row>
    <row r="31" spans="1:88" x14ac:dyDescent="0.3">
      <c r="A31" t="s">
        <v>12</v>
      </c>
      <c r="B31" s="1">
        <v>29</v>
      </c>
      <c r="C31" s="23" t="s">
        <v>12</v>
      </c>
      <c r="D31" s="13">
        <v>1</v>
      </c>
      <c r="E31" s="13">
        <v>1</v>
      </c>
      <c r="F31" s="13">
        <v>2</v>
      </c>
      <c r="G31" s="13">
        <v>2</v>
      </c>
      <c r="H31" s="13">
        <v>1</v>
      </c>
      <c r="I31" s="13">
        <v>2</v>
      </c>
      <c r="J31" s="13">
        <v>2</v>
      </c>
      <c r="K31" s="13">
        <v>2</v>
      </c>
      <c r="L31" s="13">
        <v>2</v>
      </c>
      <c r="M31" s="13">
        <v>1</v>
      </c>
      <c r="N31" s="13">
        <v>1</v>
      </c>
      <c r="O31" s="13">
        <v>1</v>
      </c>
      <c r="P31" s="13">
        <v>1</v>
      </c>
      <c r="Q31" s="13">
        <v>2</v>
      </c>
      <c r="R31" s="13">
        <v>2</v>
      </c>
      <c r="S31" s="13">
        <v>2</v>
      </c>
      <c r="T31" s="13">
        <v>2</v>
      </c>
      <c r="U31" s="13">
        <v>2</v>
      </c>
      <c r="V31" s="13">
        <v>2</v>
      </c>
      <c r="W31" s="13">
        <v>1</v>
      </c>
      <c r="X31" s="14">
        <v>1</v>
      </c>
      <c r="Y31" s="13">
        <v>2</v>
      </c>
      <c r="Z31" s="13">
        <v>2</v>
      </c>
      <c r="AA31" s="13">
        <v>2</v>
      </c>
      <c r="AB31" s="13">
        <v>2</v>
      </c>
      <c r="AC31" s="13">
        <v>1</v>
      </c>
      <c r="AD31" s="13">
        <v>2</v>
      </c>
      <c r="AE31" s="13">
        <v>2</v>
      </c>
      <c r="AF31" s="13">
        <v>1</v>
      </c>
      <c r="AG31" s="13">
        <v>2</v>
      </c>
      <c r="AH31" s="13">
        <v>1</v>
      </c>
      <c r="AI31" s="13">
        <v>2</v>
      </c>
      <c r="AJ31" s="13">
        <v>2</v>
      </c>
      <c r="AK31" s="13">
        <v>2</v>
      </c>
      <c r="AL31" s="13">
        <v>1</v>
      </c>
      <c r="AM31" s="13">
        <v>1</v>
      </c>
      <c r="AN31" s="13">
        <v>1</v>
      </c>
      <c r="AO31" s="13">
        <v>2</v>
      </c>
      <c r="AP31" s="13">
        <v>2</v>
      </c>
      <c r="AQ31" s="13">
        <v>2</v>
      </c>
      <c r="AR31" s="14">
        <v>2</v>
      </c>
      <c r="AS31" s="13">
        <v>1</v>
      </c>
      <c r="AT31" s="13">
        <v>1</v>
      </c>
      <c r="AU31" s="13">
        <v>2</v>
      </c>
      <c r="AV31" s="13">
        <v>2</v>
      </c>
      <c r="AW31" s="13">
        <v>2</v>
      </c>
      <c r="AX31" s="13">
        <v>1</v>
      </c>
      <c r="AY31" s="13">
        <v>1</v>
      </c>
      <c r="AZ31" s="13">
        <v>1</v>
      </c>
      <c r="BA31" s="13">
        <v>1</v>
      </c>
      <c r="BB31" s="13">
        <v>2</v>
      </c>
      <c r="BC31" s="13">
        <v>1</v>
      </c>
      <c r="BD31" s="13">
        <v>2</v>
      </c>
      <c r="BE31" s="13">
        <v>1</v>
      </c>
      <c r="BF31" s="13">
        <v>2</v>
      </c>
      <c r="BG31" s="13">
        <v>2</v>
      </c>
      <c r="BH31" s="13">
        <v>1</v>
      </c>
      <c r="BI31" s="13">
        <v>1</v>
      </c>
      <c r="BJ31" s="13">
        <v>1</v>
      </c>
      <c r="BK31" s="13">
        <v>2</v>
      </c>
      <c r="BL31" s="14">
        <v>1</v>
      </c>
      <c r="BM31" s="13">
        <v>2</v>
      </c>
      <c r="BN31" s="13">
        <v>2</v>
      </c>
      <c r="BO31" s="13">
        <v>2</v>
      </c>
      <c r="BP31" s="13">
        <v>2</v>
      </c>
      <c r="BQ31" s="13">
        <v>2</v>
      </c>
      <c r="BR31" s="13">
        <v>1</v>
      </c>
      <c r="BS31" s="13">
        <v>2</v>
      </c>
      <c r="BT31" s="13">
        <v>1</v>
      </c>
      <c r="BU31" s="13">
        <v>2</v>
      </c>
      <c r="BV31" s="13">
        <v>2</v>
      </c>
      <c r="BW31" s="13">
        <v>2</v>
      </c>
      <c r="BX31" s="13">
        <v>2</v>
      </c>
      <c r="BY31" s="13">
        <v>2</v>
      </c>
      <c r="BZ31" s="13">
        <v>2</v>
      </c>
      <c r="CA31" s="13">
        <v>2</v>
      </c>
      <c r="CB31" s="13">
        <v>2</v>
      </c>
      <c r="CC31" s="13">
        <v>1</v>
      </c>
      <c r="CD31" s="13">
        <v>2</v>
      </c>
      <c r="CE31" s="15">
        <v>1</v>
      </c>
      <c r="CF31" s="13">
        <f t="shared" si="0"/>
        <v>0</v>
      </c>
      <c r="CG31" s="13">
        <f t="shared" si="1"/>
        <v>0</v>
      </c>
      <c r="CH31" s="13">
        <f t="shared" si="2"/>
        <v>0</v>
      </c>
      <c r="CI31" s="13">
        <f t="shared" si="3"/>
        <v>0</v>
      </c>
      <c r="CJ31">
        <f t="shared" si="4"/>
        <v>0</v>
      </c>
    </row>
    <row r="32" spans="1:88" x14ac:dyDescent="0.3">
      <c r="A32" t="s">
        <v>12</v>
      </c>
      <c r="B32" s="1">
        <v>30</v>
      </c>
      <c r="C32" s="23" t="s">
        <v>12</v>
      </c>
      <c r="D32" s="13">
        <v>2</v>
      </c>
      <c r="E32" s="13">
        <v>2</v>
      </c>
      <c r="F32" s="13">
        <v>2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>
        <v>2</v>
      </c>
      <c r="M32" s="13">
        <v>2</v>
      </c>
      <c r="N32" s="13">
        <v>2</v>
      </c>
      <c r="O32" s="13">
        <v>2</v>
      </c>
      <c r="P32" s="13">
        <v>2</v>
      </c>
      <c r="Q32" s="13">
        <v>2</v>
      </c>
      <c r="R32" s="13">
        <v>2</v>
      </c>
      <c r="S32" s="13">
        <v>2</v>
      </c>
      <c r="T32" s="13">
        <v>2</v>
      </c>
      <c r="U32" s="13">
        <v>2</v>
      </c>
      <c r="V32" s="13">
        <v>2</v>
      </c>
      <c r="W32" s="13">
        <v>2</v>
      </c>
      <c r="X32" s="14">
        <v>2</v>
      </c>
      <c r="Y32" s="13">
        <v>2</v>
      </c>
      <c r="Z32" s="13">
        <v>2</v>
      </c>
      <c r="AA32" s="13">
        <v>1</v>
      </c>
      <c r="AB32" s="13">
        <v>2</v>
      </c>
      <c r="AC32" s="13">
        <v>2</v>
      </c>
      <c r="AD32" s="13">
        <v>2</v>
      </c>
      <c r="AE32" s="13">
        <v>2</v>
      </c>
      <c r="AF32" s="13">
        <v>2</v>
      </c>
      <c r="AG32" s="13">
        <v>2</v>
      </c>
      <c r="AH32" s="13">
        <v>2</v>
      </c>
      <c r="AI32" s="13">
        <v>2</v>
      </c>
      <c r="AJ32" s="13">
        <v>2</v>
      </c>
      <c r="AK32" s="13">
        <v>2</v>
      </c>
      <c r="AL32" s="13">
        <v>2</v>
      </c>
      <c r="AM32" s="13">
        <v>2</v>
      </c>
      <c r="AN32" s="13">
        <v>2</v>
      </c>
      <c r="AO32" s="13">
        <v>2</v>
      </c>
      <c r="AP32" s="13">
        <v>2</v>
      </c>
      <c r="AQ32" s="13">
        <v>2</v>
      </c>
      <c r="AR32" s="14">
        <v>2</v>
      </c>
      <c r="AS32" s="13">
        <v>2</v>
      </c>
      <c r="AT32" s="13">
        <v>2</v>
      </c>
      <c r="AU32" s="13">
        <v>2</v>
      </c>
      <c r="AV32" s="13">
        <v>2</v>
      </c>
      <c r="AW32" s="13">
        <v>2</v>
      </c>
      <c r="AX32" s="13">
        <v>2</v>
      </c>
      <c r="AY32" s="13">
        <v>2</v>
      </c>
      <c r="AZ32" s="13">
        <v>2</v>
      </c>
      <c r="BA32" s="13">
        <v>2</v>
      </c>
      <c r="BB32" s="13">
        <v>2</v>
      </c>
      <c r="BC32" s="13">
        <v>2</v>
      </c>
      <c r="BD32" s="13">
        <v>2</v>
      </c>
      <c r="BE32" s="13">
        <v>2</v>
      </c>
      <c r="BF32" s="13">
        <v>2</v>
      </c>
      <c r="BG32" s="13">
        <v>2</v>
      </c>
      <c r="BH32" s="13">
        <v>2</v>
      </c>
      <c r="BI32" s="13">
        <v>2</v>
      </c>
      <c r="BJ32" s="13">
        <v>2</v>
      </c>
      <c r="BK32" s="13">
        <v>2</v>
      </c>
      <c r="BL32" s="14">
        <v>2</v>
      </c>
      <c r="BM32" s="13">
        <v>2</v>
      </c>
      <c r="BN32" s="13">
        <v>2</v>
      </c>
      <c r="BO32" s="13">
        <v>2</v>
      </c>
      <c r="BP32" s="13">
        <v>2</v>
      </c>
      <c r="BQ32" s="13">
        <v>2</v>
      </c>
      <c r="BR32" s="13">
        <v>2</v>
      </c>
      <c r="BS32" s="13">
        <v>2</v>
      </c>
      <c r="BT32" s="13">
        <v>2</v>
      </c>
      <c r="BU32" s="13">
        <v>2</v>
      </c>
      <c r="BV32" s="13">
        <v>2</v>
      </c>
      <c r="BW32" s="13">
        <v>0</v>
      </c>
      <c r="BX32" s="13">
        <v>2</v>
      </c>
      <c r="BY32" s="13">
        <v>2</v>
      </c>
      <c r="BZ32" s="13">
        <v>2</v>
      </c>
      <c r="CA32" s="13">
        <v>2</v>
      </c>
      <c r="CB32" s="13">
        <v>2</v>
      </c>
      <c r="CC32" s="13">
        <v>2</v>
      </c>
      <c r="CD32" s="13">
        <v>2</v>
      </c>
      <c r="CE32" s="15">
        <v>0</v>
      </c>
      <c r="CF32" s="13">
        <f t="shared" si="0"/>
        <v>0</v>
      </c>
      <c r="CG32" s="13">
        <f t="shared" si="1"/>
        <v>0</v>
      </c>
      <c r="CH32" s="13">
        <f t="shared" si="2"/>
        <v>0</v>
      </c>
      <c r="CI32" s="13">
        <f t="shared" si="3"/>
        <v>2</v>
      </c>
      <c r="CJ32">
        <f t="shared" si="4"/>
        <v>2</v>
      </c>
    </row>
    <row r="33" spans="1:88" x14ac:dyDescent="0.3">
      <c r="A33" t="s">
        <v>12</v>
      </c>
      <c r="B33" s="1">
        <v>31</v>
      </c>
      <c r="C33" s="23" t="s">
        <v>12</v>
      </c>
      <c r="D33" s="13">
        <v>2</v>
      </c>
      <c r="E33" s="13">
        <v>2</v>
      </c>
      <c r="F33" s="13">
        <v>2</v>
      </c>
      <c r="G33" s="13">
        <v>2</v>
      </c>
      <c r="H33" s="13">
        <v>1</v>
      </c>
      <c r="I33" s="13">
        <v>1</v>
      </c>
      <c r="J33" s="13">
        <v>2</v>
      </c>
      <c r="K33" s="13">
        <v>2</v>
      </c>
      <c r="L33" s="13">
        <v>2</v>
      </c>
      <c r="M33" s="13">
        <v>2</v>
      </c>
      <c r="N33" s="13">
        <v>2</v>
      </c>
      <c r="O33" s="13">
        <v>1</v>
      </c>
      <c r="P33" s="13">
        <v>2</v>
      </c>
      <c r="Q33" s="13">
        <v>2</v>
      </c>
      <c r="R33" s="13">
        <v>1</v>
      </c>
      <c r="S33" s="13">
        <v>2</v>
      </c>
      <c r="T33" s="13">
        <v>2</v>
      </c>
      <c r="U33" s="13">
        <v>2</v>
      </c>
      <c r="V33" s="13">
        <v>2</v>
      </c>
      <c r="W33" s="13">
        <v>2</v>
      </c>
      <c r="X33" s="14">
        <v>1</v>
      </c>
      <c r="Y33" s="13">
        <v>1</v>
      </c>
      <c r="Z33" s="13">
        <v>2</v>
      </c>
      <c r="AA33" s="13">
        <v>2</v>
      </c>
      <c r="AB33" s="13">
        <v>2</v>
      </c>
      <c r="AC33" s="13">
        <v>1</v>
      </c>
      <c r="AD33" s="13">
        <v>2</v>
      </c>
      <c r="AE33" s="13">
        <v>2</v>
      </c>
      <c r="AF33" s="13">
        <v>2</v>
      </c>
      <c r="AG33" s="13">
        <v>2</v>
      </c>
      <c r="AH33" s="13">
        <v>2</v>
      </c>
      <c r="AI33" s="13">
        <v>2</v>
      </c>
      <c r="AJ33" s="13">
        <v>1</v>
      </c>
      <c r="AK33" s="13">
        <v>2</v>
      </c>
      <c r="AL33" s="13">
        <v>2</v>
      </c>
      <c r="AM33" s="13">
        <v>1</v>
      </c>
      <c r="AN33" s="13">
        <v>1</v>
      </c>
      <c r="AO33" s="13">
        <v>2</v>
      </c>
      <c r="AP33" s="13">
        <v>2</v>
      </c>
      <c r="AQ33" s="13">
        <v>2</v>
      </c>
      <c r="AR33" s="14">
        <v>2</v>
      </c>
      <c r="AS33" s="13">
        <v>2</v>
      </c>
      <c r="AT33" s="13">
        <v>1</v>
      </c>
      <c r="AU33" s="13">
        <v>2</v>
      </c>
      <c r="AV33" s="13">
        <v>2</v>
      </c>
      <c r="AW33" s="13">
        <v>2</v>
      </c>
      <c r="AX33" s="13">
        <v>2</v>
      </c>
      <c r="AY33" s="13">
        <v>2</v>
      </c>
      <c r="AZ33" s="13">
        <v>2</v>
      </c>
      <c r="BA33" s="13">
        <v>2</v>
      </c>
      <c r="BB33" s="13">
        <v>2</v>
      </c>
      <c r="BC33" s="13">
        <v>2</v>
      </c>
      <c r="BD33" s="13">
        <v>2</v>
      </c>
      <c r="BE33" s="13">
        <v>1</v>
      </c>
      <c r="BF33" s="13">
        <v>2</v>
      </c>
      <c r="BG33" s="13">
        <v>2</v>
      </c>
      <c r="BH33" s="13">
        <v>1</v>
      </c>
      <c r="BI33" s="13">
        <v>2</v>
      </c>
      <c r="BJ33" s="13">
        <v>2</v>
      </c>
      <c r="BK33" s="13">
        <v>1</v>
      </c>
      <c r="BL33" s="14">
        <v>1</v>
      </c>
      <c r="BM33" s="13">
        <v>1</v>
      </c>
      <c r="BN33" s="13">
        <v>2</v>
      </c>
      <c r="BO33" s="13">
        <v>1</v>
      </c>
      <c r="BP33" s="13">
        <v>1</v>
      </c>
      <c r="BQ33" s="13">
        <v>2</v>
      </c>
      <c r="BR33" s="13">
        <v>1</v>
      </c>
      <c r="BS33" s="13">
        <v>1</v>
      </c>
      <c r="BT33" s="13">
        <v>1</v>
      </c>
      <c r="BU33" s="13">
        <v>1</v>
      </c>
      <c r="BV33" s="13">
        <v>1</v>
      </c>
      <c r="BW33" s="13">
        <v>2</v>
      </c>
      <c r="BX33" s="13">
        <v>2</v>
      </c>
      <c r="BY33" s="13">
        <v>2</v>
      </c>
      <c r="BZ33" s="13">
        <v>2</v>
      </c>
      <c r="CA33" s="13">
        <v>1</v>
      </c>
      <c r="CB33" s="13">
        <v>2</v>
      </c>
      <c r="CC33" s="13">
        <v>1</v>
      </c>
      <c r="CD33" s="13">
        <v>2</v>
      </c>
      <c r="CE33" s="15">
        <v>2</v>
      </c>
      <c r="CF33" s="13">
        <f t="shared" si="0"/>
        <v>0</v>
      </c>
      <c r="CG33" s="13">
        <f t="shared" si="1"/>
        <v>0</v>
      </c>
      <c r="CH33" s="13">
        <f t="shared" si="2"/>
        <v>0</v>
      </c>
      <c r="CI33" s="13">
        <f t="shared" si="3"/>
        <v>0</v>
      </c>
      <c r="CJ33">
        <f t="shared" si="4"/>
        <v>0</v>
      </c>
    </row>
    <row r="34" spans="1:88" x14ac:dyDescent="0.3">
      <c r="A34" t="s">
        <v>12</v>
      </c>
      <c r="B34" s="1">
        <v>32</v>
      </c>
      <c r="C34" s="23" t="s">
        <v>12</v>
      </c>
      <c r="D34" s="13">
        <v>2</v>
      </c>
      <c r="E34" s="13">
        <v>2</v>
      </c>
      <c r="F34" s="13">
        <v>2</v>
      </c>
      <c r="G34" s="13">
        <v>2</v>
      </c>
      <c r="H34" s="13">
        <v>2</v>
      </c>
      <c r="I34" s="13">
        <v>2</v>
      </c>
      <c r="J34" s="13">
        <v>2</v>
      </c>
      <c r="K34" s="13">
        <v>2</v>
      </c>
      <c r="L34" s="13">
        <v>2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13">
        <v>2</v>
      </c>
      <c r="S34" s="13">
        <v>2</v>
      </c>
      <c r="T34" s="13">
        <v>2</v>
      </c>
      <c r="U34" s="13">
        <v>2</v>
      </c>
      <c r="V34" s="13">
        <v>2</v>
      </c>
      <c r="W34" s="13">
        <v>2</v>
      </c>
      <c r="X34" s="14">
        <v>2</v>
      </c>
      <c r="Y34" s="13">
        <v>2</v>
      </c>
      <c r="Z34" s="13">
        <v>2</v>
      </c>
      <c r="AA34" s="13">
        <v>2</v>
      </c>
      <c r="AB34" s="13">
        <v>2</v>
      </c>
      <c r="AC34" s="13">
        <v>2</v>
      </c>
      <c r="AD34" s="13">
        <v>2</v>
      </c>
      <c r="AE34" s="13">
        <v>2</v>
      </c>
      <c r="AF34" s="13">
        <v>2</v>
      </c>
      <c r="AG34" s="13">
        <v>2</v>
      </c>
      <c r="AH34" s="13">
        <v>2</v>
      </c>
      <c r="AI34" s="13">
        <v>2</v>
      </c>
      <c r="AJ34" s="13">
        <v>2</v>
      </c>
      <c r="AK34" s="13">
        <v>2</v>
      </c>
      <c r="AL34" s="13">
        <v>2</v>
      </c>
      <c r="AM34" s="13">
        <v>2</v>
      </c>
      <c r="AN34" s="13">
        <v>2</v>
      </c>
      <c r="AO34" s="13">
        <v>2</v>
      </c>
      <c r="AP34" s="13">
        <v>2</v>
      </c>
      <c r="AQ34" s="13">
        <v>2</v>
      </c>
      <c r="AR34" s="14">
        <v>2</v>
      </c>
      <c r="AS34" s="13">
        <v>2</v>
      </c>
      <c r="AT34" s="13">
        <v>2</v>
      </c>
      <c r="AU34" s="13">
        <v>2</v>
      </c>
      <c r="AV34" s="13">
        <v>2</v>
      </c>
      <c r="AW34" s="13">
        <v>2</v>
      </c>
      <c r="AX34" s="13">
        <v>2</v>
      </c>
      <c r="AY34" s="13">
        <v>2</v>
      </c>
      <c r="AZ34" s="13">
        <v>2</v>
      </c>
      <c r="BA34" s="13">
        <v>2</v>
      </c>
      <c r="BB34" s="13">
        <v>2</v>
      </c>
      <c r="BC34" s="13">
        <v>2</v>
      </c>
      <c r="BD34" s="13">
        <v>2</v>
      </c>
      <c r="BE34" s="13">
        <v>2</v>
      </c>
      <c r="BF34" s="13">
        <v>2</v>
      </c>
      <c r="BG34" s="13">
        <v>2</v>
      </c>
      <c r="BH34" s="13">
        <v>2</v>
      </c>
      <c r="BI34" s="13">
        <v>2</v>
      </c>
      <c r="BJ34" s="13">
        <v>2</v>
      </c>
      <c r="BK34" s="13">
        <v>2</v>
      </c>
      <c r="BL34" s="14">
        <v>2</v>
      </c>
      <c r="BM34" s="13">
        <v>2</v>
      </c>
      <c r="BN34" s="13">
        <v>1</v>
      </c>
      <c r="BO34" s="13">
        <v>2</v>
      </c>
      <c r="BP34" s="13">
        <v>2</v>
      </c>
      <c r="BQ34" s="13">
        <v>2</v>
      </c>
      <c r="BR34" s="13">
        <v>2</v>
      </c>
      <c r="BS34" s="13">
        <v>2</v>
      </c>
      <c r="BT34" s="13">
        <v>2</v>
      </c>
      <c r="BU34" s="13">
        <v>2</v>
      </c>
      <c r="BV34" s="13">
        <v>2</v>
      </c>
      <c r="BW34" s="13">
        <v>2</v>
      </c>
      <c r="BX34" s="13">
        <v>2</v>
      </c>
      <c r="BY34" s="13">
        <v>2</v>
      </c>
      <c r="BZ34" s="13">
        <v>2</v>
      </c>
      <c r="CA34" s="13">
        <v>2</v>
      </c>
      <c r="CB34" s="13">
        <v>2</v>
      </c>
      <c r="CC34" s="13">
        <v>2</v>
      </c>
      <c r="CD34" s="13">
        <v>2</v>
      </c>
      <c r="CE34" s="15">
        <v>2</v>
      </c>
      <c r="CF34" s="13">
        <f t="shared" si="0"/>
        <v>0</v>
      </c>
      <c r="CG34" s="13">
        <f t="shared" si="1"/>
        <v>0</v>
      </c>
      <c r="CH34" s="13">
        <f t="shared" si="2"/>
        <v>0</v>
      </c>
      <c r="CI34" s="13">
        <f t="shared" si="3"/>
        <v>0</v>
      </c>
      <c r="CJ34">
        <f t="shared" si="4"/>
        <v>0</v>
      </c>
    </row>
    <row r="35" spans="1:88" x14ac:dyDescent="0.3">
      <c r="A35" t="s">
        <v>12</v>
      </c>
      <c r="B35" s="1">
        <v>33</v>
      </c>
      <c r="C35" s="23" t="s">
        <v>12</v>
      </c>
      <c r="D35" s="13">
        <v>1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1</v>
      </c>
      <c r="M35" s="13">
        <v>1</v>
      </c>
      <c r="N35" s="13">
        <v>1</v>
      </c>
      <c r="O35" s="13">
        <v>2</v>
      </c>
      <c r="P35" s="13">
        <v>2</v>
      </c>
      <c r="Q35" s="13">
        <v>2</v>
      </c>
      <c r="R35" s="13">
        <v>2</v>
      </c>
      <c r="S35" s="13">
        <v>1</v>
      </c>
      <c r="T35" s="13">
        <v>2</v>
      </c>
      <c r="U35" s="13">
        <v>2</v>
      </c>
      <c r="V35" s="13">
        <v>1</v>
      </c>
      <c r="W35" s="13">
        <v>1</v>
      </c>
      <c r="X35" s="14">
        <v>1</v>
      </c>
      <c r="Y35" s="13">
        <v>1</v>
      </c>
      <c r="Z35" s="13">
        <v>1</v>
      </c>
      <c r="AA35" s="13">
        <v>1</v>
      </c>
      <c r="AB35" s="13">
        <v>2</v>
      </c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2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2</v>
      </c>
      <c r="AP35" s="13">
        <v>1</v>
      </c>
      <c r="AQ35" s="13">
        <v>1</v>
      </c>
      <c r="AR35" s="14">
        <v>1</v>
      </c>
      <c r="AS35" s="13">
        <v>2</v>
      </c>
      <c r="AT35" s="13">
        <v>1</v>
      </c>
      <c r="AU35" s="13">
        <v>1</v>
      </c>
      <c r="AV35" s="13">
        <v>1</v>
      </c>
      <c r="AW35" s="13">
        <v>1</v>
      </c>
      <c r="AX35" s="13">
        <v>2</v>
      </c>
      <c r="AY35" s="13">
        <v>2</v>
      </c>
      <c r="AZ35" s="13">
        <v>1</v>
      </c>
      <c r="BA35" s="13">
        <v>1</v>
      </c>
      <c r="BB35" s="13">
        <v>2</v>
      </c>
      <c r="BC35" s="13">
        <v>1</v>
      </c>
      <c r="BD35" s="13">
        <v>2</v>
      </c>
      <c r="BE35" s="13">
        <v>2</v>
      </c>
      <c r="BF35" s="13">
        <v>2</v>
      </c>
      <c r="BG35" s="13">
        <v>1</v>
      </c>
      <c r="BH35" s="13">
        <v>1</v>
      </c>
      <c r="BI35" s="13">
        <v>1</v>
      </c>
      <c r="BJ35" s="13">
        <v>1</v>
      </c>
      <c r="BK35" s="13">
        <v>1</v>
      </c>
      <c r="BL35" s="14">
        <v>1</v>
      </c>
      <c r="BM35" s="13">
        <v>2</v>
      </c>
      <c r="BN35" s="13">
        <v>1</v>
      </c>
      <c r="BO35" s="13">
        <v>1</v>
      </c>
      <c r="BP35" s="13">
        <v>1</v>
      </c>
      <c r="BQ35" s="13">
        <v>1</v>
      </c>
      <c r="BR35" s="13">
        <v>2</v>
      </c>
      <c r="BS35" s="13">
        <v>1</v>
      </c>
      <c r="BT35" s="13">
        <v>1</v>
      </c>
      <c r="BU35" s="13">
        <v>1</v>
      </c>
      <c r="BV35" s="13">
        <v>1</v>
      </c>
      <c r="BW35" s="13">
        <v>1</v>
      </c>
      <c r="BX35" s="13">
        <v>1</v>
      </c>
      <c r="BY35" s="13">
        <v>1</v>
      </c>
      <c r="BZ35" s="13">
        <v>1</v>
      </c>
      <c r="CA35" s="13">
        <v>2</v>
      </c>
      <c r="CB35" s="13">
        <v>2</v>
      </c>
      <c r="CC35" s="13">
        <v>1</v>
      </c>
      <c r="CD35" s="13">
        <v>1</v>
      </c>
      <c r="CE35" s="15">
        <v>1</v>
      </c>
      <c r="CF35" s="13">
        <f t="shared" si="0"/>
        <v>0</v>
      </c>
      <c r="CG35" s="13">
        <f t="shared" si="1"/>
        <v>0</v>
      </c>
      <c r="CH35" s="13">
        <f t="shared" si="2"/>
        <v>0</v>
      </c>
      <c r="CI35" s="13">
        <f t="shared" si="3"/>
        <v>0</v>
      </c>
      <c r="CJ35">
        <f t="shared" si="4"/>
        <v>0</v>
      </c>
    </row>
    <row r="36" spans="1:88" x14ac:dyDescent="0.3">
      <c r="A36" t="s">
        <v>12</v>
      </c>
      <c r="B36" s="1">
        <v>34</v>
      </c>
      <c r="C36" s="23" t="s">
        <v>12</v>
      </c>
      <c r="D36" s="13">
        <v>2</v>
      </c>
      <c r="E36" s="13">
        <v>2</v>
      </c>
      <c r="F36" s="13">
        <v>2</v>
      </c>
      <c r="G36" s="13">
        <v>1</v>
      </c>
      <c r="H36" s="13">
        <v>2</v>
      </c>
      <c r="I36" s="13">
        <v>2</v>
      </c>
      <c r="J36" s="13">
        <v>2</v>
      </c>
      <c r="K36" s="13">
        <v>2</v>
      </c>
      <c r="L36" s="13">
        <v>2</v>
      </c>
      <c r="M36" s="13">
        <v>1</v>
      </c>
      <c r="N36" s="13">
        <v>2</v>
      </c>
      <c r="O36" s="13">
        <v>2</v>
      </c>
      <c r="P36" s="13">
        <v>2</v>
      </c>
      <c r="Q36" s="13">
        <v>2</v>
      </c>
      <c r="R36" s="13">
        <v>2</v>
      </c>
      <c r="S36" s="13">
        <v>2</v>
      </c>
      <c r="T36" s="13">
        <v>2</v>
      </c>
      <c r="U36" s="13">
        <v>2</v>
      </c>
      <c r="V36" s="13">
        <v>2</v>
      </c>
      <c r="W36" s="13">
        <v>2</v>
      </c>
      <c r="X36" s="14">
        <v>1</v>
      </c>
      <c r="Y36" s="13">
        <v>2</v>
      </c>
      <c r="Z36" s="13">
        <v>1</v>
      </c>
      <c r="AA36" s="13">
        <v>2</v>
      </c>
      <c r="AB36" s="13">
        <v>2</v>
      </c>
      <c r="AC36" s="13">
        <v>2</v>
      </c>
      <c r="AD36" s="13">
        <v>1</v>
      </c>
      <c r="AE36" s="13">
        <v>2</v>
      </c>
      <c r="AF36" s="13">
        <v>1</v>
      </c>
      <c r="AG36" s="13">
        <v>2</v>
      </c>
      <c r="AH36" s="13">
        <v>2</v>
      </c>
      <c r="AI36" s="13">
        <v>2</v>
      </c>
      <c r="AJ36" s="13">
        <v>1</v>
      </c>
      <c r="AK36" s="13">
        <v>1</v>
      </c>
      <c r="AL36" s="13">
        <v>2</v>
      </c>
      <c r="AM36" s="13">
        <v>2</v>
      </c>
      <c r="AN36" s="13">
        <v>1</v>
      </c>
      <c r="AO36" s="13">
        <v>2</v>
      </c>
      <c r="AP36" s="13">
        <v>2</v>
      </c>
      <c r="AQ36" s="13">
        <v>2</v>
      </c>
      <c r="AR36" s="14">
        <v>2</v>
      </c>
      <c r="AS36" s="13">
        <v>2</v>
      </c>
      <c r="AT36" s="13">
        <v>2</v>
      </c>
      <c r="AU36" s="13">
        <v>2</v>
      </c>
      <c r="AV36" s="13">
        <v>1</v>
      </c>
      <c r="AW36" s="13">
        <v>2</v>
      </c>
      <c r="AX36" s="13">
        <v>1</v>
      </c>
      <c r="AY36" s="13">
        <v>2</v>
      </c>
      <c r="AZ36" s="13">
        <v>2</v>
      </c>
      <c r="BA36" s="13">
        <v>2</v>
      </c>
      <c r="BB36" s="13">
        <v>2</v>
      </c>
      <c r="BC36" s="13">
        <v>2</v>
      </c>
      <c r="BD36" s="13">
        <v>2</v>
      </c>
      <c r="BE36" s="13">
        <v>1</v>
      </c>
      <c r="BF36" s="13">
        <v>1</v>
      </c>
      <c r="BG36" s="13">
        <v>2</v>
      </c>
      <c r="BH36" s="13">
        <v>2</v>
      </c>
      <c r="BI36" s="13">
        <v>2</v>
      </c>
      <c r="BJ36" s="13">
        <v>2</v>
      </c>
      <c r="BK36" s="13">
        <v>2</v>
      </c>
      <c r="BL36" s="14">
        <v>2</v>
      </c>
      <c r="BM36" s="13">
        <v>2</v>
      </c>
      <c r="BN36" s="13">
        <v>2</v>
      </c>
      <c r="BO36" s="13">
        <v>2</v>
      </c>
      <c r="BP36" s="13">
        <v>2</v>
      </c>
      <c r="BQ36" s="13">
        <v>2</v>
      </c>
      <c r="BR36" s="13">
        <v>2</v>
      </c>
      <c r="BS36" s="13">
        <v>2</v>
      </c>
      <c r="BT36" s="13">
        <v>2</v>
      </c>
      <c r="BU36" s="13">
        <v>2</v>
      </c>
      <c r="BV36" s="13">
        <v>2</v>
      </c>
      <c r="BW36" s="13">
        <v>2</v>
      </c>
      <c r="BX36" s="13">
        <v>2</v>
      </c>
      <c r="BY36" s="13">
        <v>2</v>
      </c>
      <c r="BZ36" s="13">
        <v>2</v>
      </c>
      <c r="CA36" s="13">
        <v>2</v>
      </c>
      <c r="CB36" s="13">
        <v>2</v>
      </c>
      <c r="CC36" s="13">
        <v>2</v>
      </c>
      <c r="CD36" s="13">
        <v>2</v>
      </c>
      <c r="CE36" s="15">
        <v>2</v>
      </c>
      <c r="CF36" s="13">
        <f t="shared" si="0"/>
        <v>0</v>
      </c>
      <c r="CG36" s="13">
        <f t="shared" si="1"/>
        <v>0</v>
      </c>
      <c r="CH36" s="13">
        <f t="shared" si="2"/>
        <v>0</v>
      </c>
      <c r="CI36" s="13">
        <f t="shared" si="3"/>
        <v>0</v>
      </c>
      <c r="CJ36">
        <f t="shared" si="4"/>
        <v>0</v>
      </c>
    </row>
    <row r="37" spans="1:88" x14ac:dyDescent="0.3">
      <c r="A37" t="s">
        <v>12</v>
      </c>
      <c r="B37" s="1">
        <v>35</v>
      </c>
      <c r="C37" s="23" t="s">
        <v>12</v>
      </c>
      <c r="D37" s="13">
        <v>1</v>
      </c>
      <c r="E37" s="13">
        <v>2</v>
      </c>
      <c r="F37" s="13">
        <v>2</v>
      </c>
      <c r="G37" s="13">
        <v>2</v>
      </c>
      <c r="H37" s="13">
        <v>1</v>
      </c>
      <c r="I37" s="13">
        <v>1</v>
      </c>
      <c r="J37" s="13">
        <v>2</v>
      </c>
      <c r="K37" s="13">
        <v>2</v>
      </c>
      <c r="L37" s="13">
        <v>1</v>
      </c>
      <c r="M37" s="13">
        <v>2</v>
      </c>
      <c r="N37" s="13">
        <v>2</v>
      </c>
      <c r="O37" s="13">
        <v>2</v>
      </c>
      <c r="P37" s="13">
        <v>1</v>
      </c>
      <c r="Q37" s="13">
        <v>1</v>
      </c>
      <c r="R37" s="13">
        <v>2</v>
      </c>
      <c r="S37" s="13">
        <v>1</v>
      </c>
      <c r="T37" s="13">
        <v>2</v>
      </c>
      <c r="U37" s="13">
        <v>2</v>
      </c>
      <c r="V37" s="13">
        <v>1</v>
      </c>
      <c r="W37" s="13">
        <v>2</v>
      </c>
      <c r="X37" s="14">
        <v>1</v>
      </c>
      <c r="Y37" s="13">
        <v>0</v>
      </c>
      <c r="Z37" s="13">
        <v>1</v>
      </c>
      <c r="AA37" s="13">
        <v>1</v>
      </c>
      <c r="AB37" s="13">
        <v>1</v>
      </c>
      <c r="AC37" s="13">
        <v>1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4">
        <v>1</v>
      </c>
      <c r="AS37" s="13">
        <v>1</v>
      </c>
      <c r="AT37" s="13">
        <v>1</v>
      </c>
      <c r="AU37" s="13">
        <v>1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4">
        <v>2</v>
      </c>
      <c r="BM37" s="13">
        <v>2</v>
      </c>
      <c r="BN37" s="13">
        <v>1</v>
      </c>
      <c r="BO37" s="13">
        <v>2</v>
      </c>
      <c r="BP37" s="13">
        <v>1</v>
      </c>
      <c r="BQ37" s="13">
        <v>1</v>
      </c>
      <c r="BR37" s="13">
        <v>1</v>
      </c>
      <c r="BS37" s="13">
        <v>2</v>
      </c>
      <c r="BT37" s="13">
        <v>1</v>
      </c>
      <c r="BU37" s="13">
        <v>1</v>
      </c>
      <c r="BV37" s="13">
        <v>1</v>
      </c>
      <c r="BW37" s="13">
        <v>1</v>
      </c>
      <c r="BX37" s="13">
        <v>2</v>
      </c>
      <c r="BY37" s="13">
        <v>1</v>
      </c>
      <c r="BZ37" s="13">
        <v>1</v>
      </c>
      <c r="CA37" s="13">
        <v>2</v>
      </c>
      <c r="CB37" s="13">
        <v>1</v>
      </c>
      <c r="CC37" s="13">
        <v>1</v>
      </c>
      <c r="CD37" s="13">
        <v>1</v>
      </c>
      <c r="CE37" s="15">
        <v>0</v>
      </c>
      <c r="CF37" s="13">
        <f t="shared" si="0"/>
        <v>0</v>
      </c>
      <c r="CG37" s="13">
        <f t="shared" si="1"/>
        <v>15</v>
      </c>
      <c r="CH37" s="13">
        <f t="shared" si="2"/>
        <v>16</v>
      </c>
      <c r="CI37" s="13">
        <f t="shared" si="3"/>
        <v>1</v>
      </c>
      <c r="CJ37">
        <f t="shared" si="4"/>
        <v>32</v>
      </c>
    </row>
    <row r="38" spans="1:88" x14ac:dyDescent="0.3">
      <c r="A38" t="s">
        <v>12</v>
      </c>
      <c r="B38" s="1">
        <v>36</v>
      </c>
      <c r="C38" s="23" t="s">
        <v>12</v>
      </c>
      <c r="D38" s="13">
        <v>2</v>
      </c>
      <c r="E38" s="13">
        <v>2</v>
      </c>
      <c r="F38" s="13">
        <v>2</v>
      </c>
      <c r="G38" s="13">
        <v>2</v>
      </c>
      <c r="H38" s="13">
        <v>2</v>
      </c>
      <c r="I38" s="13">
        <v>2</v>
      </c>
      <c r="J38" s="13">
        <v>2</v>
      </c>
      <c r="K38" s="13">
        <v>2</v>
      </c>
      <c r="L38" s="13">
        <v>2</v>
      </c>
      <c r="M38" s="13">
        <v>2</v>
      </c>
      <c r="N38" s="13">
        <v>2</v>
      </c>
      <c r="O38" s="13">
        <v>2</v>
      </c>
      <c r="P38" s="13">
        <v>2</v>
      </c>
      <c r="Q38" s="13">
        <v>1</v>
      </c>
      <c r="R38" s="13">
        <v>2</v>
      </c>
      <c r="S38" s="13">
        <v>2</v>
      </c>
      <c r="T38" s="13">
        <v>1</v>
      </c>
      <c r="U38" s="13">
        <v>1</v>
      </c>
      <c r="V38" s="13">
        <v>2</v>
      </c>
      <c r="W38" s="13">
        <v>2</v>
      </c>
      <c r="X38" s="14">
        <v>1</v>
      </c>
      <c r="Y38" s="13">
        <v>2</v>
      </c>
      <c r="Z38" s="13">
        <v>1</v>
      </c>
      <c r="AA38" s="13">
        <v>2</v>
      </c>
      <c r="AB38" s="13">
        <v>1</v>
      </c>
      <c r="AC38" s="13">
        <v>2</v>
      </c>
      <c r="AD38" s="13">
        <v>2</v>
      </c>
      <c r="AE38" s="13">
        <v>1</v>
      </c>
      <c r="AF38" s="13">
        <v>2</v>
      </c>
      <c r="AG38" s="13">
        <v>1</v>
      </c>
      <c r="AH38" s="13">
        <v>1</v>
      </c>
      <c r="AI38" s="13">
        <v>2</v>
      </c>
      <c r="AJ38" s="13">
        <v>1</v>
      </c>
      <c r="AK38" s="13">
        <v>1</v>
      </c>
      <c r="AL38" s="13">
        <v>1</v>
      </c>
      <c r="AM38" s="13">
        <v>2</v>
      </c>
      <c r="AN38" s="13">
        <v>1</v>
      </c>
      <c r="AO38" s="13">
        <v>1</v>
      </c>
      <c r="AP38" s="13">
        <v>1</v>
      </c>
      <c r="AQ38" s="13">
        <v>2</v>
      </c>
      <c r="AR38" s="14">
        <v>2</v>
      </c>
      <c r="AS38" s="13">
        <v>2</v>
      </c>
      <c r="AT38" s="13">
        <v>2</v>
      </c>
      <c r="AU38" s="13">
        <v>2</v>
      </c>
      <c r="AV38" s="13">
        <v>1</v>
      </c>
      <c r="AW38" s="13">
        <v>2</v>
      </c>
      <c r="AX38" s="13">
        <v>1</v>
      </c>
      <c r="AY38" s="13">
        <v>1</v>
      </c>
      <c r="AZ38" s="13">
        <v>1</v>
      </c>
      <c r="BA38" s="13">
        <v>2</v>
      </c>
      <c r="BB38" s="13">
        <v>2</v>
      </c>
      <c r="BC38" s="13">
        <v>1</v>
      </c>
      <c r="BD38" s="13">
        <v>1</v>
      </c>
      <c r="BE38" s="13">
        <v>1</v>
      </c>
      <c r="BF38" s="13">
        <v>1</v>
      </c>
      <c r="BG38" s="13">
        <v>1</v>
      </c>
      <c r="BH38" s="13">
        <v>1</v>
      </c>
      <c r="BI38" s="13">
        <v>1</v>
      </c>
      <c r="BJ38" s="13">
        <v>1</v>
      </c>
      <c r="BK38" s="13">
        <v>1</v>
      </c>
      <c r="BL38" s="14">
        <v>1</v>
      </c>
      <c r="BM38" s="13">
        <v>1</v>
      </c>
      <c r="BN38" s="13">
        <v>1</v>
      </c>
      <c r="BO38" s="13">
        <v>1</v>
      </c>
      <c r="BP38" s="13">
        <v>1</v>
      </c>
      <c r="BQ38" s="13">
        <v>1</v>
      </c>
      <c r="BR38" s="13">
        <v>1</v>
      </c>
      <c r="BS38" s="13">
        <v>2</v>
      </c>
      <c r="BT38" s="13">
        <v>1</v>
      </c>
      <c r="BU38" s="13">
        <v>1</v>
      </c>
      <c r="BV38" s="13">
        <v>1</v>
      </c>
      <c r="BW38" s="13">
        <v>1</v>
      </c>
      <c r="BX38" s="13">
        <v>2</v>
      </c>
      <c r="BY38" s="13">
        <v>1</v>
      </c>
      <c r="BZ38" s="13">
        <v>2</v>
      </c>
      <c r="CA38" s="13">
        <v>2</v>
      </c>
      <c r="CB38" s="13">
        <v>2</v>
      </c>
      <c r="CC38" s="13">
        <v>1</v>
      </c>
      <c r="CD38" s="13">
        <v>1</v>
      </c>
      <c r="CE38" s="15">
        <v>2</v>
      </c>
      <c r="CF38" s="13">
        <f t="shared" si="0"/>
        <v>0</v>
      </c>
      <c r="CG38" s="13">
        <f t="shared" si="1"/>
        <v>0</v>
      </c>
      <c r="CH38" s="13">
        <f t="shared" si="2"/>
        <v>0</v>
      </c>
      <c r="CI38" s="13">
        <f t="shared" si="3"/>
        <v>0</v>
      </c>
      <c r="CJ38">
        <f t="shared" si="4"/>
        <v>0</v>
      </c>
    </row>
    <row r="39" spans="1:88" x14ac:dyDescent="0.3">
      <c r="A39" t="s">
        <v>12</v>
      </c>
      <c r="B39" s="1">
        <v>37</v>
      </c>
      <c r="C39" s="23" t="s">
        <v>12</v>
      </c>
      <c r="D39" s="13">
        <v>2</v>
      </c>
      <c r="E39" s="13">
        <v>2</v>
      </c>
      <c r="F39" s="13">
        <v>2</v>
      </c>
      <c r="G39" s="13">
        <v>2</v>
      </c>
      <c r="H39" s="13">
        <v>2</v>
      </c>
      <c r="I39" s="13">
        <v>2</v>
      </c>
      <c r="J39" s="13">
        <v>2</v>
      </c>
      <c r="K39" s="13">
        <v>2</v>
      </c>
      <c r="L39" s="13">
        <v>2</v>
      </c>
      <c r="M39" s="13">
        <v>2</v>
      </c>
      <c r="N39" s="13">
        <v>2</v>
      </c>
      <c r="O39" s="13">
        <v>2</v>
      </c>
      <c r="P39" s="13">
        <v>1</v>
      </c>
      <c r="Q39" s="13">
        <v>1</v>
      </c>
      <c r="R39" s="13">
        <v>2</v>
      </c>
      <c r="S39" s="13">
        <v>2</v>
      </c>
      <c r="T39" s="13">
        <v>1</v>
      </c>
      <c r="U39" s="13">
        <v>2</v>
      </c>
      <c r="V39" s="13">
        <v>2</v>
      </c>
      <c r="W39" s="13">
        <v>2</v>
      </c>
      <c r="X39" s="14">
        <v>2</v>
      </c>
      <c r="Y39" s="13">
        <v>2</v>
      </c>
      <c r="Z39" s="13">
        <v>2</v>
      </c>
      <c r="AA39" s="13">
        <v>1</v>
      </c>
      <c r="AB39" s="13">
        <v>2</v>
      </c>
      <c r="AC39" s="13">
        <v>2</v>
      </c>
      <c r="AD39" s="13">
        <v>2</v>
      </c>
      <c r="AE39" s="13">
        <v>2</v>
      </c>
      <c r="AF39" s="13">
        <v>2</v>
      </c>
      <c r="AG39" s="13">
        <v>2</v>
      </c>
      <c r="AH39" s="13">
        <v>2</v>
      </c>
      <c r="AI39" s="13">
        <v>2</v>
      </c>
      <c r="AJ39" s="13">
        <v>2</v>
      </c>
      <c r="AK39" s="13">
        <v>2</v>
      </c>
      <c r="AL39" s="13">
        <v>2</v>
      </c>
      <c r="AM39" s="13">
        <v>2</v>
      </c>
      <c r="AN39" s="13">
        <v>2</v>
      </c>
      <c r="AO39" s="13">
        <v>2</v>
      </c>
      <c r="AP39" s="13">
        <v>2</v>
      </c>
      <c r="AQ39" s="13">
        <v>2</v>
      </c>
      <c r="AR39" s="14">
        <v>2</v>
      </c>
      <c r="AS39" s="13">
        <v>2</v>
      </c>
      <c r="AT39" s="13">
        <v>2</v>
      </c>
      <c r="AU39" s="13">
        <v>2</v>
      </c>
      <c r="AV39" s="13">
        <v>2</v>
      </c>
      <c r="AW39" s="13">
        <v>2</v>
      </c>
      <c r="AX39" s="13">
        <v>2</v>
      </c>
      <c r="AY39" s="13">
        <v>2</v>
      </c>
      <c r="AZ39" s="13">
        <v>2</v>
      </c>
      <c r="BA39" s="13">
        <v>2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2</v>
      </c>
      <c r="BH39" s="13">
        <v>2</v>
      </c>
      <c r="BI39" s="13">
        <v>2</v>
      </c>
      <c r="BJ39" s="13">
        <v>2</v>
      </c>
      <c r="BK39" s="13">
        <v>2</v>
      </c>
      <c r="BL39" s="14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  <c r="BX39" s="13">
        <v>0</v>
      </c>
      <c r="BY39" s="13">
        <v>0</v>
      </c>
      <c r="BZ39" s="13">
        <v>0</v>
      </c>
      <c r="CA39" s="13">
        <v>0</v>
      </c>
      <c r="CB39" s="13">
        <v>0</v>
      </c>
      <c r="CC39" s="13">
        <v>0</v>
      </c>
      <c r="CD39" s="13">
        <v>0</v>
      </c>
      <c r="CE39" s="15">
        <v>0</v>
      </c>
      <c r="CF39" s="13">
        <f t="shared" si="0"/>
        <v>0</v>
      </c>
      <c r="CG39" s="13">
        <f t="shared" si="1"/>
        <v>0</v>
      </c>
      <c r="CH39" s="13">
        <f t="shared" si="2"/>
        <v>0</v>
      </c>
      <c r="CI39" s="13">
        <f t="shared" si="3"/>
        <v>20</v>
      </c>
      <c r="CJ39">
        <f t="shared" si="4"/>
        <v>20</v>
      </c>
    </row>
    <row r="40" spans="1:88" ht="16.2" thickBot="1" x14ac:dyDescent="0.35">
      <c r="A40" t="s">
        <v>12</v>
      </c>
      <c r="B40" s="2">
        <v>38</v>
      </c>
      <c r="C40" s="24" t="s">
        <v>12</v>
      </c>
      <c r="D40" s="19">
        <v>2</v>
      </c>
      <c r="E40" s="19">
        <v>2</v>
      </c>
      <c r="F40" s="19">
        <v>2</v>
      </c>
      <c r="G40" s="19">
        <v>2</v>
      </c>
      <c r="H40" s="19">
        <v>1</v>
      </c>
      <c r="I40" s="19">
        <v>1</v>
      </c>
      <c r="J40" s="19">
        <v>1</v>
      </c>
      <c r="K40" s="19">
        <v>2</v>
      </c>
      <c r="L40" s="19">
        <v>2</v>
      </c>
      <c r="M40" s="19">
        <v>1</v>
      </c>
      <c r="N40" s="19">
        <v>2</v>
      </c>
      <c r="O40" s="19">
        <v>2</v>
      </c>
      <c r="P40" s="19">
        <v>2</v>
      </c>
      <c r="Q40" s="19">
        <v>2</v>
      </c>
      <c r="R40" s="19">
        <v>1</v>
      </c>
      <c r="S40" s="19">
        <v>2</v>
      </c>
      <c r="T40" s="19">
        <v>1</v>
      </c>
      <c r="U40" s="19">
        <v>2</v>
      </c>
      <c r="V40" s="19">
        <v>2</v>
      </c>
      <c r="W40" s="19">
        <v>2</v>
      </c>
      <c r="X40" s="20">
        <v>1</v>
      </c>
      <c r="Y40" s="19">
        <v>1</v>
      </c>
      <c r="Z40" s="19">
        <v>2</v>
      </c>
      <c r="AA40" s="19">
        <v>1</v>
      </c>
      <c r="AB40" s="19">
        <v>2</v>
      </c>
      <c r="AC40" s="19">
        <v>1</v>
      </c>
      <c r="AD40" s="19">
        <v>1</v>
      </c>
      <c r="AE40" s="19">
        <v>2</v>
      </c>
      <c r="AF40" s="19">
        <v>1</v>
      </c>
      <c r="AG40" s="19">
        <v>2</v>
      </c>
      <c r="AH40" s="19">
        <v>2</v>
      </c>
      <c r="AI40" s="19">
        <v>2</v>
      </c>
      <c r="AJ40" s="19">
        <v>1</v>
      </c>
      <c r="AK40" s="19">
        <v>1</v>
      </c>
      <c r="AL40" s="19">
        <v>2</v>
      </c>
      <c r="AM40" s="19">
        <v>2</v>
      </c>
      <c r="AN40" s="19">
        <v>1</v>
      </c>
      <c r="AO40" s="19">
        <v>1</v>
      </c>
      <c r="AP40" s="19">
        <v>2</v>
      </c>
      <c r="AQ40" s="19">
        <v>1</v>
      </c>
      <c r="AR40" s="20">
        <v>2</v>
      </c>
      <c r="AS40" s="19">
        <v>2</v>
      </c>
      <c r="AT40" s="19">
        <v>2</v>
      </c>
      <c r="AU40" s="19">
        <v>2</v>
      </c>
      <c r="AV40" s="19">
        <v>2</v>
      </c>
      <c r="AW40" s="19">
        <v>2</v>
      </c>
      <c r="AX40" s="19">
        <v>1</v>
      </c>
      <c r="AY40" s="19">
        <v>2</v>
      </c>
      <c r="AZ40" s="19">
        <v>1</v>
      </c>
      <c r="BA40" s="19">
        <v>1</v>
      </c>
      <c r="BB40" s="19">
        <v>2</v>
      </c>
      <c r="BC40" s="19">
        <v>2</v>
      </c>
      <c r="BD40" s="19">
        <v>2</v>
      </c>
      <c r="BE40" s="19">
        <v>2</v>
      </c>
      <c r="BF40" s="19">
        <v>2</v>
      </c>
      <c r="BG40" s="19">
        <v>2</v>
      </c>
      <c r="BH40" s="19">
        <v>1</v>
      </c>
      <c r="BI40" s="19">
        <v>2</v>
      </c>
      <c r="BJ40" s="19">
        <v>1</v>
      </c>
      <c r="BK40" s="19">
        <v>1</v>
      </c>
      <c r="BL40" s="20">
        <v>1</v>
      </c>
      <c r="BM40" s="19">
        <v>1</v>
      </c>
      <c r="BN40" s="19">
        <v>2</v>
      </c>
      <c r="BO40" s="19">
        <v>2</v>
      </c>
      <c r="BP40" s="19">
        <v>2</v>
      </c>
      <c r="BQ40" s="19">
        <v>2</v>
      </c>
      <c r="BR40" s="19">
        <v>1</v>
      </c>
      <c r="BS40" s="19">
        <v>2</v>
      </c>
      <c r="BT40" s="19">
        <v>1</v>
      </c>
      <c r="BU40" s="19">
        <v>2</v>
      </c>
      <c r="BV40" s="19">
        <v>1</v>
      </c>
      <c r="BW40" s="19">
        <v>2</v>
      </c>
      <c r="BX40" s="19">
        <v>2</v>
      </c>
      <c r="BY40" s="19">
        <v>2</v>
      </c>
      <c r="BZ40" s="19">
        <v>1</v>
      </c>
      <c r="CA40" s="19">
        <v>2</v>
      </c>
      <c r="CB40" s="19">
        <v>2</v>
      </c>
      <c r="CC40" s="19">
        <v>2</v>
      </c>
      <c r="CD40" s="19">
        <v>1</v>
      </c>
      <c r="CE40" s="21">
        <v>2</v>
      </c>
      <c r="CF40" s="13">
        <f t="shared" si="0"/>
        <v>0</v>
      </c>
      <c r="CG40" s="13">
        <f t="shared" si="1"/>
        <v>0</v>
      </c>
      <c r="CH40" s="13">
        <f t="shared" si="2"/>
        <v>0</v>
      </c>
      <c r="CI40" s="13">
        <f t="shared" si="3"/>
        <v>0</v>
      </c>
      <c r="CJ40">
        <f t="shared" si="4"/>
        <v>0</v>
      </c>
    </row>
    <row r="41" spans="1:88" ht="16.2" thickTop="1" x14ac:dyDescent="0.3">
      <c r="A41" t="s">
        <v>17</v>
      </c>
      <c r="B41" s="3">
        <v>39</v>
      </c>
      <c r="C41" s="25" t="s">
        <v>17</v>
      </c>
      <c r="D41" s="13">
        <v>2</v>
      </c>
      <c r="E41" s="13">
        <v>2</v>
      </c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>
        <v>2</v>
      </c>
      <c r="M41" s="13">
        <v>2</v>
      </c>
      <c r="N41" s="13">
        <v>2</v>
      </c>
      <c r="O41" s="13">
        <v>2</v>
      </c>
      <c r="P41" s="13">
        <v>2</v>
      </c>
      <c r="Q41" s="13">
        <v>2</v>
      </c>
      <c r="R41" s="13">
        <v>2</v>
      </c>
      <c r="S41" s="13">
        <v>2</v>
      </c>
      <c r="T41" s="13">
        <v>1</v>
      </c>
      <c r="U41" s="13">
        <v>1</v>
      </c>
      <c r="V41" s="13">
        <v>2</v>
      </c>
      <c r="W41" s="13">
        <v>1</v>
      </c>
      <c r="X41" s="14">
        <v>1</v>
      </c>
      <c r="Y41" s="13">
        <v>1</v>
      </c>
      <c r="Z41" s="13">
        <v>2</v>
      </c>
      <c r="AA41" s="13">
        <v>2</v>
      </c>
      <c r="AB41" s="13">
        <v>2</v>
      </c>
      <c r="AC41" s="13">
        <v>2</v>
      </c>
      <c r="AD41" s="13">
        <v>2</v>
      </c>
      <c r="AE41" s="13">
        <v>2</v>
      </c>
      <c r="AF41" s="13">
        <v>2</v>
      </c>
      <c r="AG41" s="13">
        <v>2</v>
      </c>
      <c r="AH41" s="13">
        <v>2</v>
      </c>
      <c r="AI41" s="13">
        <v>2</v>
      </c>
      <c r="AJ41" s="13">
        <v>2</v>
      </c>
      <c r="AK41" s="13">
        <v>2</v>
      </c>
      <c r="AL41" s="13">
        <v>2</v>
      </c>
      <c r="AM41" s="13">
        <v>2</v>
      </c>
      <c r="AN41" s="13">
        <v>2</v>
      </c>
      <c r="AO41" s="13">
        <v>2</v>
      </c>
      <c r="AP41" s="13">
        <v>2</v>
      </c>
      <c r="AQ41" s="13">
        <v>2</v>
      </c>
      <c r="AR41" s="14">
        <v>2</v>
      </c>
      <c r="AS41" s="13">
        <v>2</v>
      </c>
      <c r="AT41" s="13">
        <v>2</v>
      </c>
      <c r="AU41" s="13">
        <v>2</v>
      </c>
      <c r="AV41" s="13">
        <v>2</v>
      </c>
      <c r="AW41" s="13">
        <v>2</v>
      </c>
      <c r="AX41" s="13">
        <v>2</v>
      </c>
      <c r="AY41" s="13">
        <v>2</v>
      </c>
      <c r="AZ41" s="13">
        <v>2</v>
      </c>
      <c r="BA41" s="13">
        <v>2</v>
      </c>
      <c r="BB41" s="13">
        <v>2</v>
      </c>
      <c r="BC41" s="13">
        <v>1</v>
      </c>
      <c r="BD41" s="13">
        <v>2</v>
      </c>
      <c r="BE41" s="13">
        <v>2</v>
      </c>
      <c r="BF41" s="13">
        <v>2</v>
      </c>
      <c r="BG41" s="13">
        <v>2</v>
      </c>
      <c r="BH41" s="13">
        <v>2</v>
      </c>
      <c r="BI41" s="13">
        <v>2</v>
      </c>
      <c r="BJ41" s="13">
        <v>2</v>
      </c>
      <c r="BK41" s="13">
        <v>2</v>
      </c>
      <c r="BL41" s="14">
        <v>2</v>
      </c>
      <c r="BM41" s="13">
        <v>2</v>
      </c>
      <c r="BN41" s="13">
        <v>2</v>
      </c>
      <c r="BO41" s="13">
        <v>2</v>
      </c>
      <c r="BP41" s="13">
        <v>2</v>
      </c>
      <c r="BQ41" s="13">
        <v>2</v>
      </c>
      <c r="BR41" s="13">
        <v>2</v>
      </c>
      <c r="BS41" s="13">
        <v>2</v>
      </c>
      <c r="BT41" s="13">
        <v>2</v>
      </c>
      <c r="BU41" s="13">
        <v>2</v>
      </c>
      <c r="BV41" s="13">
        <v>2</v>
      </c>
      <c r="BW41" s="13">
        <v>2</v>
      </c>
      <c r="BX41" s="13">
        <v>2</v>
      </c>
      <c r="BY41" s="13">
        <v>1</v>
      </c>
      <c r="BZ41" s="13">
        <v>2</v>
      </c>
      <c r="CA41" s="13">
        <v>2</v>
      </c>
      <c r="CB41" s="13">
        <v>1</v>
      </c>
      <c r="CC41" s="13">
        <v>2</v>
      </c>
      <c r="CD41" s="13">
        <v>2</v>
      </c>
      <c r="CE41" s="15">
        <v>2</v>
      </c>
      <c r="CF41" s="13">
        <f t="shared" si="0"/>
        <v>0</v>
      </c>
      <c r="CG41" s="13">
        <f t="shared" si="1"/>
        <v>0</v>
      </c>
      <c r="CH41" s="13">
        <f t="shared" si="2"/>
        <v>0</v>
      </c>
      <c r="CI41" s="13">
        <f t="shared" si="3"/>
        <v>0</v>
      </c>
      <c r="CJ41">
        <f t="shared" si="4"/>
        <v>0</v>
      </c>
    </row>
    <row r="42" spans="1:88" x14ac:dyDescent="0.3">
      <c r="A42" t="s">
        <v>17</v>
      </c>
      <c r="B42" s="1">
        <v>40</v>
      </c>
      <c r="C42" s="26" t="s">
        <v>17</v>
      </c>
      <c r="D42" s="13">
        <v>2</v>
      </c>
      <c r="E42" s="13">
        <v>2</v>
      </c>
      <c r="F42" s="13">
        <v>2</v>
      </c>
      <c r="G42" s="13">
        <v>2</v>
      </c>
      <c r="H42" s="13">
        <v>2</v>
      </c>
      <c r="I42" s="13">
        <v>2</v>
      </c>
      <c r="J42" s="13">
        <v>2</v>
      </c>
      <c r="K42" s="13">
        <v>2</v>
      </c>
      <c r="L42" s="13">
        <v>2</v>
      </c>
      <c r="M42" s="13">
        <v>2</v>
      </c>
      <c r="N42" s="13">
        <v>2</v>
      </c>
      <c r="O42" s="13">
        <v>2</v>
      </c>
      <c r="P42" s="13">
        <v>2</v>
      </c>
      <c r="Q42" s="13">
        <v>2</v>
      </c>
      <c r="R42" s="13">
        <v>2</v>
      </c>
      <c r="S42" s="13">
        <v>2</v>
      </c>
      <c r="T42" s="13">
        <v>2</v>
      </c>
      <c r="U42" s="13">
        <v>2</v>
      </c>
      <c r="V42" s="13">
        <v>2</v>
      </c>
      <c r="W42" s="13">
        <v>2</v>
      </c>
      <c r="X42" s="14">
        <v>2</v>
      </c>
      <c r="Y42" s="13">
        <v>2</v>
      </c>
      <c r="Z42" s="13">
        <v>2</v>
      </c>
      <c r="AA42" s="13">
        <v>2</v>
      </c>
      <c r="AB42" s="13">
        <v>2</v>
      </c>
      <c r="AC42" s="13">
        <v>1</v>
      </c>
      <c r="AD42" s="13">
        <v>2</v>
      </c>
      <c r="AE42" s="13">
        <v>2</v>
      </c>
      <c r="AF42" s="13">
        <v>2</v>
      </c>
      <c r="AG42" s="13">
        <v>2</v>
      </c>
      <c r="AH42" s="13">
        <v>2</v>
      </c>
      <c r="AI42" s="13">
        <v>2</v>
      </c>
      <c r="AJ42" s="13">
        <v>2</v>
      </c>
      <c r="AK42" s="13">
        <v>2</v>
      </c>
      <c r="AL42" s="13">
        <v>2</v>
      </c>
      <c r="AM42" s="13">
        <v>2</v>
      </c>
      <c r="AN42" s="13">
        <v>2</v>
      </c>
      <c r="AO42" s="13">
        <v>2</v>
      </c>
      <c r="AP42" s="13">
        <v>2</v>
      </c>
      <c r="AQ42" s="13">
        <v>2</v>
      </c>
      <c r="AR42" s="14">
        <v>2</v>
      </c>
      <c r="AS42" s="13">
        <v>2</v>
      </c>
      <c r="AT42" s="13">
        <v>2</v>
      </c>
      <c r="AU42" s="13">
        <v>2</v>
      </c>
      <c r="AV42" s="13">
        <v>2</v>
      </c>
      <c r="AW42" s="13">
        <v>2</v>
      </c>
      <c r="AX42" s="13">
        <v>2</v>
      </c>
      <c r="AY42" s="13">
        <v>2</v>
      </c>
      <c r="AZ42" s="13">
        <v>2</v>
      </c>
      <c r="BA42" s="13">
        <v>2</v>
      </c>
      <c r="BB42" s="13">
        <v>2</v>
      </c>
      <c r="BC42" s="13">
        <v>2</v>
      </c>
      <c r="BD42" s="13">
        <v>2</v>
      </c>
      <c r="BE42" s="13">
        <v>2</v>
      </c>
      <c r="BF42" s="13">
        <v>2</v>
      </c>
      <c r="BG42" s="13">
        <v>2</v>
      </c>
      <c r="BH42" s="13">
        <v>2</v>
      </c>
      <c r="BI42" s="13">
        <v>2</v>
      </c>
      <c r="BJ42" s="13">
        <v>2</v>
      </c>
      <c r="BK42" s="13">
        <v>2</v>
      </c>
      <c r="BL42" s="14">
        <v>2</v>
      </c>
      <c r="BM42" s="13">
        <v>2</v>
      </c>
      <c r="BN42" s="13">
        <v>2</v>
      </c>
      <c r="BO42" s="13">
        <v>2</v>
      </c>
      <c r="BP42" s="13">
        <v>2</v>
      </c>
      <c r="BQ42" s="13">
        <v>2</v>
      </c>
      <c r="BR42" s="13">
        <v>2</v>
      </c>
      <c r="BS42" s="13">
        <v>2</v>
      </c>
      <c r="BT42" s="13">
        <v>2</v>
      </c>
      <c r="BU42" s="13">
        <v>2</v>
      </c>
      <c r="BV42" s="13">
        <v>2</v>
      </c>
      <c r="BW42" s="13">
        <v>2</v>
      </c>
      <c r="BX42" s="13">
        <v>2</v>
      </c>
      <c r="BY42" s="13">
        <v>2</v>
      </c>
      <c r="BZ42" s="13">
        <v>2</v>
      </c>
      <c r="CA42" s="13">
        <v>2</v>
      </c>
      <c r="CB42" s="13">
        <v>2</v>
      </c>
      <c r="CC42" s="13">
        <v>2</v>
      </c>
      <c r="CD42" s="13">
        <v>2</v>
      </c>
      <c r="CE42" s="15">
        <v>2</v>
      </c>
      <c r="CF42" s="13">
        <f t="shared" si="0"/>
        <v>0</v>
      </c>
      <c r="CG42" s="13">
        <f t="shared" si="1"/>
        <v>0</v>
      </c>
      <c r="CH42" s="13">
        <f t="shared" si="2"/>
        <v>0</v>
      </c>
      <c r="CI42" s="13">
        <f t="shared" si="3"/>
        <v>0</v>
      </c>
      <c r="CJ42">
        <f t="shared" si="4"/>
        <v>0</v>
      </c>
    </row>
    <row r="43" spans="1:88" x14ac:dyDescent="0.3">
      <c r="A43" t="s">
        <v>17</v>
      </c>
      <c r="B43" s="1">
        <v>41</v>
      </c>
      <c r="C43" s="26" t="s">
        <v>17</v>
      </c>
      <c r="D43" s="13">
        <v>1</v>
      </c>
      <c r="E43" s="13">
        <v>2</v>
      </c>
      <c r="F43" s="13">
        <v>2</v>
      </c>
      <c r="G43" s="13">
        <v>2</v>
      </c>
      <c r="H43" s="13">
        <v>2</v>
      </c>
      <c r="I43" s="13">
        <v>2</v>
      </c>
      <c r="J43" s="13">
        <v>2</v>
      </c>
      <c r="K43" s="13">
        <v>2</v>
      </c>
      <c r="L43" s="13">
        <v>2</v>
      </c>
      <c r="M43" s="13">
        <v>2</v>
      </c>
      <c r="N43" s="13">
        <v>2</v>
      </c>
      <c r="O43" s="13">
        <v>2</v>
      </c>
      <c r="P43" s="13">
        <v>1</v>
      </c>
      <c r="Q43" s="13">
        <v>2</v>
      </c>
      <c r="R43" s="13">
        <v>2</v>
      </c>
      <c r="S43" s="13">
        <v>2</v>
      </c>
      <c r="T43" s="13">
        <v>2</v>
      </c>
      <c r="U43" s="13">
        <v>2</v>
      </c>
      <c r="V43" s="13">
        <v>2</v>
      </c>
      <c r="W43" s="13">
        <v>2</v>
      </c>
      <c r="X43" s="14">
        <v>2</v>
      </c>
      <c r="Y43" s="13">
        <v>2</v>
      </c>
      <c r="Z43" s="13">
        <v>1</v>
      </c>
      <c r="AA43" s="13">
        <v>1</v>
      </c>
      <c r="AB43" s="13">
        <v>2</v>
      </c>
      <c r="AC43" s="13">
        <v>2</v>
      </c>
      <c r="AD43" s="13">
        <v>2</v>
      </c>
      <c r="AE43" s="13">
        <v>2</v>
      </c>
      <c r="AF43" s="13">
        <v>2</v>
      </c>
      <c r="AG43" s="13">
        <v>2</v>
      </c>
      <c r="AH43" s="13">
        <v>2</v>
      </c>
      <c r="AI43" s="13">
        <v>2</v>
      </c>
      <c r="AJ43" s="13">
        <v>2</v>
      </c>
      <c r="AK43" s="13">
        <v>2</v>
      </c>
      <c r="AL43" s="13">
        <v>2</v>
      </c>
      <c r="AM43" s="13">
        <v>2</v>
      </c>
      <c r="AN43" s="13">
        <v>0</v>
      </c>
      <c r="AO43" s="13">
        <v>2</v>
      </c>
      <c r="AP43" s="13">
        <v>2</v>
      </c>
      <c r="AQ43" s="13">
        <v>1</v>
      </c>
      <c r="AR43" s="14">
        <v>1</v>
      </c>
      <c r="AS43" s="13">
        <v>1</v>
      </c>
      <c r="AT43" s="13">
        <v>1</v>
      </c>
      <c r="AU43" s="13">
        <v>1</v>
      </c>
      <c r="AV43" s="13">
        <v>1</v>
      </c>
      <c r="AW43" s="13">
        <v>2</v>
      </c>
      <c r="AX43" s="13">
        <v>2</v>
      </c>
      <c r="AY43" s="13">
        <v>1</v>
      </c>
      <c r="AZ43" s="13">
        <v>1</v>
      </c>
      <c r="BA43" s="13">
        <v>1</v>
      </c>
      <c r="BB43" s="13">
        <v>2</v>
      </c>
      <c r="BC43" s="13">
        <v>2</v>
      </c>
      <c r="BD43" s="13">
        <v>1</v>
      </c>
      <c r="BE43" s="13">
        <v>2</v>
      </c>
      <c r="BF43" s="13">
        <v>1</v>
      </c>
      <c r="BG43" s="13">
        <v>2</v>
      </c>
      <c r="BH43" s="13">
        <v>2</v>
      </c>
      <c r="BI43" s="13">
        <v>2</v>
      </c>
      <c r="BJ43" s="13">
        <v>2</v>
      </c>
      <c r="BK43" s="13">
        <v>2</v>
      </c>
      <c r="BL43" s="14">
        <v>1</v>
      </c>
      <c r="BM43" s="13">
        <v>2</v>
      </c>
      <c r="BN43" s="13">
        <v>1</v>
      </c>
      <c r="BO43" s="13">
        <v>2</v>
      </c>
      <c r="BP43" s="13">
        <v>2</v>
      </c>
      <c r="BQ43" s="13">
        <v>2</v>
      </c>
      <c r="BR43" s="13">
        <v>2</v>
      </c>
      <c r="BS43" s="13">
        <v>1</v>
      </c>
      <c r="BT43" s="13">
        <v>2</v>
      </c>
      <c r="BU43" s="13">
        <v>2</v>
      </c>
      <c r="BV43" s="13">
        <v>2</v>
      </c>
      <c r="BW43" s="13">
        <v>2</v>
      </c>
      <c r="BX43" s="13">
        <v>2</v>
      </c>
      <c r="BY43" s="13">
        <v>2</v>
      </c>
      <c r="BZ43" s="13">
        <v>2</v>
      </c>
      <c r="CA43" s="13">
        <v>2</v>
      </c>
      <c r="CB43" s="13">
        <v>2</v>
      </c>
      <c r="CC43" s="13">
        <v>2</v>
      </c>
      <c r="CD43" s="13">
        <v>2</v>
      </c>
      <c r="CE43" s="15">
        <v>1</v>
      </c>
      <c r="CF43" s="13">
        <f t="shared" si="0"/>
        <v>0</v>
      </c>
      <c r="CG43" s="13">
        <f t="shared" si="1"/>
        <v>1</v>
      </c>
      <c r="CH43" s="13">
        <f t="shared" si="2"/>
        <v>0</v>
      </c>
      <c r="CI43" s="13">
        <f t="shared" si="3"/>
        <v>0</v>
      </c>
      <c r="CJ43">
        <f t="shared" si="4"/>
        <v>1</v>
      </c>
    </row>
    <row r="44" spans="1:88" x14ac:dyDescent="0.3">
      <c r="A44" t="s">
        <v>17</v>
      </c>
      <c r="B44" s="1">
        <v>42</v>
      </c>
      <c r="C44" s="26" t="s">
        <v>17</v>
      </c>
      <c r="D44" s="13">
        <v>1</v>
      </c>
      <c r="E44" s="13">
        <v>2</v>
      </c>
      <c r="F44" s="13">
        <v>2</v>
      </c>
      <c r="G44" s="13">
        <v>2</v>
      </c>
      <c r="H44" s="13">
        <v>2</v>
      </c>
      <c r="I44" s="13">
        <v>2</v>
      </c>
      <c r="J44" s="13">
        <v>2</v>
      </c>
      <c r="K44" s="13">
        <v>2</v>
      </c>
      <c r="L44" s="13">
        <v>2</v>
      </c>
      <c r="M44" s="13">
        <v>2</v>
      </c>
      <c r="N44" s="13">
        <v>2</v>
      </c>
      <c r="O44" s="13">
        <v>2</v>
      </c>
      <c r="P44" s="13">
        <v>2</v>
      </c>
      <c r="Q44" s="13">
        <v>2</v>
      </c>
      <c r="R44" s="13">
        <v>1</v>
      </c>
      <c r="S44" s="13">
        <v>2</v>
      </c>
      <c r="T44" s="13">
        <v>2</v>
      </c>
      <c r="U44" s="13">
        <v>2</v>
      </c>
      <c r="V44" s="13">
        <v>2</v>
      </c>
      <c r="W44" s="13">
        <v>1</v>
      </c>
      <c r="X44" s="14">
        <v>1</v>
      </c>
      <c r="Y44" s="13">
        <v>2</v>
      </c>
      <c r="Z44" s="13">
        <v>2</v>
      </c>
      <c r="AA44" s="13">
        <v>2</v>
      </c>
      <c r="AB44" s="13">
        <v>2</v>
      </c>
      <c r="AC44" s="13">
        <v>2</v>
      </c>
      <c r="AD44" s="13">
        <v>2</v>
      </c>
      <c r="AE44" s="13">
        <v>2</v>
      </c>
      <c r="AF44" s="13">
        <v>2</v>
      </c>
      <c r="AG44" s="13">
        <v>2</v>
      </c>
      <c r="AH44" s="13">
        <v>2</v>
      </c>
      <c r="AI44" s="13">
        <v>2</v>
      </c>
      <c r="AJ44" s="13">
        <v>2</v>
      </c>
      <c r="AK44" s="13">
        <v>2</v>
      </c>
      <c r="AL44" s="13">
        <v>2</v>
      </c>
      <c r="AM44" s="13">
        <v>2</v>
      </c>
      <c r="AN44" s="13">
        <v>1</v>
      </c>
      <c r="AO44" s="13">
        <v>2</v>
      </c>
      <c r="AP44" s="13">
        <v>2</v>
      </c>
      <c r="AQ44" s="13">
        <v>2</v>
      </c>
      <c r="AR44" s="14">
        <v>1</v>
      </c>
      <c r="AS44" s="13">
        <v>2</v>
      </c>
      <c r="AT44" s="13">
        <v>2</v>
      </c>
      <c r="AU44" s="13">
        <v>2</v>
      </c>
      <c r="AV44" s="13">
        <v>2</v>
      </c>
      <c r="AW44" s="13">
        <v>2</v>
      </c>
      <c r="AX44" s="13">
        <v>2</v>
      </c>
      <c r="AY44" s="13">
        <v>2</v>
      </c>
      <c r="AZ44" s="13">
        <v>2</v>
      </c>
      <c r="BA44" s="13">
        <v>2</v>
      </c>
      <c r="BB44" s="13">
        <v>2</v>
      </c>
      <c r="BC44" s="13">
        <v>2</v>
      </c>
      <c r="BD44" s="13">
        <v>1</v>
      </c>
      <c r="BE44" s="13">
        <v>2</v>
      </c>
      <c r="BF44" s="13">
        <v>2</v>
      </c>
      <c r="BG44" s="13">
        <v>2</v>
      </c>
      <c r="BH44" s="13">
        <v>2</v>
      </c>
      <c r="BI44" s="13">
        <v>2</v>
      </c>
      <c r="BJ44" s="13">
        <v>2</v>
      </c>
      <c r="BK44" s="13">
        <v>1</v>
      </c>
      <c r="BL44" s="14">
        <v>2</v>
      </c>
      <c r="BM44" s="13">
        <v>2</v>
      </c>
      <c r="BN44" s="13">
        <v>2</v>
      </c>
      <c r="BO44" s="13">
        <v>2</v>
      </c>
      <c r="BP44" s="13">
        <v>1</v>
      </c>
      <c r="BQ44" s="13">
        <v>1</v>
      </c>
      <c r="BR44" s="13">
        <v>1</v>
      </c>
      <c r="BS44" s="13">
        <v>1</v>
      </c>
      <c r="BT44" s="13">
        <v>1</v>
      </c>
      <c r="BU44" s="13">
        <v>1</v>
      </c>
      <c r="BV44" s="13">
        <v>2</v>
      </c>
      <c r="BW44" s="13">
        <v>1</v>
      </c>
      <c r="BX44" s="13">
        <v>2</v>
      </c>
      <c r="BY44" s="13">
        <v>2</v>
      </c>
      <c r="BZ44" s="13">
        <v>2</v>
      </c>
      <c r="CA44" s="13">
        <v>2</v>
      </c>
      <c r="CB44" s="13">
        <v>2</v>
      </c>
      <c r="CC44" s="13">
        <v>2</v>
      </c>
      <c r="CD44" s="13">
        <v>2</v>
      </c>
      <c r="CE44" s="15">
        <v>2</v>
      </c>
      <c r="CF44" s="13">
        <f t="shared" si="0"/>
        <v>0</v>
      </c>
      <c r="CG44" s="13">
        <f t="shared" si="1"/>
        <v>0</v>
      </c>
      <c r="CH44" s="13">
        <f t="shared" si="2"/>
        <v>0</v>
      </c>
      <c r="CI44" s="13">
        <f t="shared" si="3"/>
        <v>0</v>
      </c>
      <c r="CJ44">
        <f t="shared" si="4"/>
        <v>0</v>
      </c>
    </row>
    <row r="45" spans="1:88" x14ac:dyDescent="0.3">
      <c r="A45" t="s">
        <v>17</v>
      </c>
      <c r="B45" s="1">
        <v>43</v>
      </c>
      <c r="C45" s="26" t="s">
        <v>17</v>
      </c>
      <c r="D45" s="13">
        <v>1</v>
      </c>
      <c r="E45" s="13">
        <v>2</v>
      </c>
      <c r="F45" s="13">
        <v>2</v>
      </c>
      <c r="G45" s="13">
        <v>2</v>
      </c>
      <c r="H45" s="13">
        <v>2</v>
      </c>
      <c r="I45" s="13">
        <v>2</v>
      </c>
      <c r="J45" s="13">
        <v>2</v>
      </c>
      <c r="K45" s="13">
        <v>1</v>
      </c>
      <c r="L45" s="13">
        <v>2</v>
      </c>
      <c r="M45" s="13">
        <v>2</v>
      </c>
      <c r="N45" s="13">
        <v>2</v>
      </c>
      <c r="O45" s="13">
        <v>2</v>
      </c>
      <c r="P45" s="13">
        <v>1</v>
      </c>
      <c r="Q45" s="13">
        <v>2</v>
      </c>
      <c r="R45" s="13">
        <v>2</v>
      </c>
      <c r="S45" s="13">
        <v>2</v>
      </c>
      <c r="T45" s="13">
        <v>2</v>
      </c>
      <c r="U45" s="13">
        <v>2</v>
      </c>
      <c r="V45" s="13">
        <v>2</v>
      </c>
      <c r="W45" s="13">
        <v>2</v>
      </c>
      <c r="X45" s="14">
        <v>1</v>
      </c>
      <c r="Y45" s="13">
        <v>1</v>
      </c>
      <c r="Z45" s="13">
        <v>2</v>
      </c>
      <c r="AA45" s="13">
        <v>2</v>
      </c>
      <c r="AB45" s="13">
        <v>2</v>
      </c>
      <c r="AC45" s="13">
        <v>1</v>
      </c>
      <c r="AD45" s="13">
        <v>2</v>
      </c>
      <c r="AE45" s="13">
        <v>2</v>
      </c>
      <c r="AF45" s="13">
        <v>2</v>
      </c>
      <c r="AG45" s="13">
        <v>2</v>
      </c>
      <c r="AH45" s="13">
        <v>2</v>
      </c>
      <c r="AI45" s="13">
        <v>2</v>
      </c>
      <c r="AJ45" s="13">
        <v>2</v>
      </c>
      <c r="AK45" s="13">
        <v>2</v>
      </c>
      <c r="AL45" s="13">
        <v>1</v>
      </c>
      <c r="AM45" s="13">
        <v>1</v>
      </c>
      <c r="AN45" s="13">
        <v>1</v>
      </c>
      <c r="AO45" s="13">
        <v>1</v>
      </c>
      <c r="AP45" s="13">
        <v>2</v>
      </c>
      <c r="AQ45" s="13">
        <v>2</v>
      </c>
      <c r="AR45" s="14">
        <v>1</v>
      </c>
      <c r="AS45" s="13">
        <v>2</v>
      </c>
      <c r="AT45" s="13">
        <v>2</v>
      </c>
      <c r="AU45" s="13">
        <v>2</v>
      </c>
      <c r="AV45" s="13">
        <v>2</v>
      </c>
      <c r="AW45" s="13">
        <v>2</v>
      </c>
      <c r="AX45" s="13">
        <v>1</v>
      </c>
      <c r="AY45" s="13">
        <v>1</v>
      </c>
      <c r="AZ45" s="13">
        <v>2</v>
      </c>
      <c r="BA45" s="13">
        <v>2</v>
      </c>
      <c r="BB45" s="13">
        <v>2</v>
      </c>
      <c r="BC45" s="13">
        <v>2</v>
      </c>
      <c r="BD45" s="13">
        <v>2</v>
      </c>
      <c r="BE45" s="13">
        <v>2</v>
      </c>
      <c r="BF45" s="13">
        <v>2</v>
      </c>
      <c r="BG45" s="13">
        <v>2</v>
      </c>
      <c r="BH45" s="13">
        <v>2</v>
      </c>
      <c r="BI45" s="13">
        <v>2</v>
      </c>
      <c r="BJ45" s="13">
        <v>2</v>
      </c>
      <c r="BK45" s="13">
        <v>2</v>
      </c>
      <c r="BL45" s="14">
        <v>2</v>
      </c>
      <c r="BM45" s="13">
        <v>2</v>
      </c>
      <c r="BN45" s="13">
        <v>2</v>
      </c>
      <c r="BO45" s="13">
        <v>2</v>
      </c>
      <c r="BP45" s="13">
        <v>2</v>
      </c>
      <c r="BQ45" s="13">
        <v>2</v>
      </c>
      <c r="BR45" s="13">
        <v>2</v>
      </c>
      <c r="BS45" s="13">
        <v>2</v>
      </c>
      <c r="BT45" s="13">
        <v>2</v>
      </c>
      <c r="BU45" s="13">
        <v>2</v>
      </c>
      <c r="BV45" s="13">
        <v>2</v>
      </c>
      <c r="BW45" s="13">
        <v>2</v>
      </c>
      <c r="BX45" s="13">
        <v>2</v>
      </c>
      <c r="BY45" s="13">
        <v>2</v>
      </c>
      <c r="BZ45" s="13">
        <v>2</v>
      </c>
      <c r="CA45" s="13">
        <v>2</v>
      </c>
      <c r="CB45" s="13">
        <v>2</v>
      </c>
      <c r="CC45" s="13">
        <v>2</v>
      </c>
      <c r="CD45" s="13">
        <v>2</v>
      </c>
      <c r="CE45" s="15">
        <v>2</v>
      </c>
      <c r="CF45" s="13">
        <f t="shared" si="0"/>
        <v>0</v>
      </c>
      <c r="CG45" s="13">
        <f t="shared" si="1"/>
        <v>0</v>
      </c>
      <c r="CH45" s="13">
        <f t="shared" si="2"/>
        <v>0</v>
      </c>
      <c r="CI45" s="13">
        <f t="shared" si="3"/>
        <v>0</v>
      </c>
      <c r="CJ45">
        <f t="shared" si="4"/>
        <v>0</v>
      </c>
    </row>
    <row r="46" spans="1:88" x14ac:dyDescent="0.3">
      <c r="A46" t="s">
        <v>17</v>
      </c>
      <c r="B46" s="1">
        <v>44</v>
      </c>
      <c r="C46" s="26" t="s">
        <v>17</v>
      </c>
      <c r="D46" s="13">
        <v>2</v>
      </c>
      <c r="E46" s="13">
        <v>2</v>
      </c>
      <c r="F46" s="13">
        <v>2</v>
      </c>
      <c r="G46" s="13">
        <v>2</v>
      </c>
      <c r="H46" s="13">
        <v>2</v>
      </c>
      <c r="I46" s="13">
        <v>2</v>
      </c>
      <c r="J46" s="13">
        <v>2</v>
      </c>
      <c r="K46" s="13">
        <v>2</v>
      </c>
      <c r="L46" s="13">
        <v>2</v>
      </c>
      <c r="M46" s="13">
        <v>2</v>
      </c>
      <c r="N46" s="13">
        <v>2</v>
      </c>
      <c r="O46" s="13">
        <v>2</v>
      </c>
      <c r="P46" s="13">
        <v>2</v>
      </c>
      <c r="Q46" s="13">
        <v>2</v>
      </c>
      <c r="R46" s="13">
        <v>2</v>
      </c>
      <c r="S46" s="13">
        <v>2</v>
      </c>
      <c r="T46" s="13">
        <v>2</v>
      </c>
      <c r="U46" s="13">
        <v>2</v>
      </c>
      <c r="V46" s="13">
        <v>2</v>
      </c>
      <c r="W46" s="13">
        <v>2</v>
      </c>
      <c r="X46" s="14">
        <v>2</v>
      </c>
      <c r="Y46" s="13">
        <v>2</v>
      </c>
      <c r="Z46" s="13">
        <v>1</v>
      </c>
      <c r="AA46" s="13">
        <v>2</v>
      </c>
      <c r="AB46" s="13">
        <v>2</v>
      </c>
      <c r="AC46" s="13">
        <v>2</v>
      </c>
      <c r="AD46" s="13">
        <v>2</v>
      </c>
      <c r="AE46" s="13">
        <v>2</v>
      </c>
      <c r="AF46" s="13">
        <v>2</v>
      </c>
      <c r="AG46" s="13">
        <v>2</v>
      </c>
      <c r="AH46" s="13">
        <v>2</v>
      </c>
      <c r="AI46" s="13">
        <v>2</v>
      </c>
      <c r="AJ46" s="13">
        <v>2</v>
      </c>
      <c r="AK46" s="13">
        <v>2</v>
      </c>
      <c r="AL46" s="13">
        <v>2</v>
      </c>
      <c r="AM46" s="13">
        <v>2</v>
      </c>
      <c r="AN46" s="13">
        <v>2</v>
      </c>
      <c r="AO46" s="13">
        <v>2</v>
      </c>
      <c r="AP46" s="13">
        <v>2</v>
      </c>
      <c r="AQ46" s="13">
        <v>2</v>
      </c>
      <c r="AR46" s="14">
        <v>2</v>
      </c>
      <c r="AS46" s="13">
        <v>2</v>
      </c>
      <c r="AT46" s="13">
        <v>2</v>
      </c>
      <c r="AU46" s="13">
        <v>2</v>
      </c>
      <c r="AV46" s="13">
        <v>2</v>
      </c>
      <c r="AW46" s="13">
        <v>2</v>
      </c>
      <c r="AX46" s="13">
        <v>2</v>
      </c>
      <c r="AY46" s="13">
        <v>2</v>
      </c>
      <c r="AZ46" s="13">
        <v>2</v>
      </c>
      <c r="BA46" s="13">
        <v>2</v>
      </c>
      <c r="BB46" s="13">
        <v>2</v>
      </c>
      <c r="BC46" s="13">
        <v>2</v>
      </c>
      <c r="BD46" s="13">
        <v>1</v>
      </c>
      <c r="BE46" s="13">
        <v>1</v>
      </c>
      <c r="BF46" s="13">
        <v>2</v>
      </c>
      <c r="BG46" s="13">
        <v>2</v>
      </c>
      <c r="BH46" s="13">
        <v>2</v>
      </c>
      <c r="BI46" s="13">
        <v>2</v>
      </c>
      <c r="BJ46" s="13">
        <v>2</v>
      </c>
      <c r="BK46" s="13">
        <v>2</v>
      </c>
      <c r="BL46" s="14">
        <v>2</v>
      </c>
      <c r="BM46" s="13">
        <v>2</v>
      </c>
      <c r="BN46" s="13">
        <v>2</v>
      </c>
      <c r="BO46" s="13">
        <v>2</v>
      </c>
      <c r="BP46" s="13">
        <v>2</v>
      </c>
      <c r="BQ46" s="13">
        <v>2</v>
      </c>
      <c r="BR46" s="13">
        <v>2</v>
      </c>
      <c r="BS46" s="13">
        <v>2</v>
      </c>
      <c r="BT46" s="13">
        <v>2</v>
      </c>
      <c r="BU46" s="13">
        <v>2</v>
      </c>
      <c r="BV46" s="13">
        <v>2</v>
      </c>
      <c r="BW46" s="13">
        <v>2</v>
      </c>
      <c r="BX46" s="13">
        <v>2</v>
      </c>
      <c r="BY46" s="13">
        <v>2</v>
      </c>
      <c r="BZ46" s="13">
        <v>1</v>
      </c>
      <c r="CA46" s="13">
        <v>2</v>
      </c>
      <c r="CB46" s="13">
        <v>2</v>
      </c>
      <c r="CC46" s="13">
        <v>2</v>
      </c>
      <c r="CD46" s="13">
        <v>2</v>
      </c>
      <c r="CE46" s="15">
        <v>2</v>
      </c>
      <c r="CF46" s="13">
        <f t="shared" si="0"/>
        <v>0</v>
      </c>
      <c r="CG46" s="13">
        <f t="shared" si="1"/>
        <v>0</v>
      </c>
      <c r="CH46" s="13">
        <f t="shared" si="2"/>
        <v>0</v>
      </c>
      <c r="CI46" s="13">
        <f t="shared" si="3"/>
        <v>0</v>
      </c>
      <c r="CJ46">
        <f t="shared" si="4"/>
        <v>0</v>
      </c>
    </row>
    <row r="47" spans="1:88" x14ac:dyDescent="0.3">
      <c r="A47" t="s">
        <v>17</v>
      </c>
      <c r="B47" s="1">
        <v>45</v>
      </c>
      <c r="C47" s="26" t="s">
        <v>17</v>
      </c>
      <c r="D47" s="13">
        <v>1</v>
      </c>
      <c r="E47" s="13">
        <v>2</v>
      </c>
      <c r="F47" s="13">
        <v>1</v>
      </c>
      <c r="G47" s="13">
        <v>2</v>
      </c>
      <c r="H47" s="13">
        <v>1</v>
      </c>
      <c r="I47" s="13">
        <v>2</v>
      </c>
      <c r="J47" s="13">
        <v>2</v>
      </c>
      <c r="K47" s="13">
        <v>1</v>
      </c>
      <c r="L47" s="13">
        <v>2</v>
      </c>
      <c r="M47" s="13">
        <v>2</v>
      </c>
      <c r="N47" s="13">
        <v>1</v>
      </c>
      <c r="O47" s="13">
        <v>1</v>
      </c>
      <c r="P47" s="13">
        <v>1</v>
      </c>
      <c r="Q47" s="13">
        <v>2</v>
      </c>
      <c r="R47" s="13">
        <v>2</v>
      </c>
      <c r="S47" s="13">
        <v>2</v>
      </c>
      <c r="T47" s="13">
        <v>2</v>
      </c>
      <c r="U47" s="13">
        <v>2</v>
      </c>
      <c r="V47" s="13">
        <v>2</v>
      </c>
      <c r="W47" s="13">
        <v>2</v>
      </c>
      <c r="X47" s="14">
        <v>1</v>
      </c>
      <c r="Y47" s="13">
        <v>1</v>
      </c>
      <c r="Z47" s="13">
        <v>1</v>
      </c>
      <c r="AA47" s="13">
        <v>1</v>
      </c>
      <c r="AB47" s="13">
        <v>1</v>
      </c>
      <c r="AC47" s="13">
        <v>1</v>
      </c>
      <c r="AD47" s="13">
        <v>2</v>
      </c>
      <c r="AE47" s="13">
        <v>2</v>
      </c>
      <c r="AF47" s="13">
        <v>2</v>
      </c>
      <c r="AG47" s="13">
        <v>2</v>
      </c>
      <c r="AH47" s="13">
        <v>2</v>
      </c>
      <c r="AI47" s="13">
        <v>2</v>
      </c>
      <c r="AJ47" s="13">
        <v>2</v>
      </c>
      <c r="AK47" s="13">
        <v>2</v>
      </c>
      <c r="AL47" s="13">
        <v>2</v>
      </c>
      <c r="AM47" s="13">
        <v>2</v>
      </c>
      <c r="AN47" s="13">
        <v>2</v>
      </c>
      <c r="AO47" s="13">
        <v>2</v>
      </c>
      <c r="AP47" s="13">
        <v>2</v>
      </c>
      <c r="AQ47" s="13">
        <v>2</v>
      </c>
      <c r="AR47" s="14">
        <v>2</v>
      </c>
      <c r="AS47" s="13">
        <v>1</v>
      </c>
      <c r="AT47" s="13">
        <v>1</v>
      </c>
      <c r="AU47" s="13">
        <v>2</v>
      </c>
      <c r="AV47" s="13">
        <v>1</v>
      </c>
      <c r="AW47" s="13">
        <v>2</v>
      </c>
      <c r="AX47" s="13">
        <v>1</v>
      </c>
      <c r="AY47" s="13">
        <v>2</v>
      </c>
      <c r="AZ47" s="13">
        <v>2</v>
      </c>
      <c r="BA47" s="13">
        <v>2</v>
      </c>
      <c r="BB47" s="13">
        <v>1</v>
      </c>
      <c r="BC47" s="13">
        <v>2</v>
      </c>
      <c r="BD47" s="13">
        <v>2</v>
      </c>
      <c r="BE47" s="13">
        <v>2</v>
      </c>
      <c r="BF47" s="13">
        <v>2</v>
      </c>
      <c r="BG47" s="13">
        <v>2</v>
      </c>
      <c r="BH47" s="13">
        <v>2</v>
      </c>
      <c r="BI47" s="13">
        <v>1</v>
      </c>
      <c r="BJ47" s="13">
        <v>2</v>
      </c>
      <c r="BK47" s="13">
        <v>2</v>
      </c>
      <c r="BL47" s="14">
        <v>2</v>
      </c>
      <c r="BM47" s="13">
        <v>1</v>
      </c>
      <c r="BN47" s="13">
        <v>1</v>
      </c>
      <c r="BO47" s="13">
        <v>1</v>
      </c>
      <c r="BP47" s="13">
        <v>2</v>
      </c>
      <c r="BQ47" s="13">
        <v>2</v>
      </c>
      <c r="BR47" s="13">
        <v>2</v>
      </c>
      <c r="BS47" s="13">
        <v>2</v>
      </c>
      <c r="BT47" s="13">
        <v>2</v>
      </c>
      <c r="BU47" s="13">
        <v>2</v>
      </c>
      <c r="BV47" s="13">
        <v>2</v>
      </c>
      <c r="BW47" s="13">
        <v>2</v>
      </c>
      <c r="BX47" s="13">
        <v>2</v>
      </c>
      <c r="BY47" s="13">
        <v>2</v>
      </c>
      <c r="BZ47" s="13">
        <v>1</v>
      </c>
      <c r="CA47" s="13">
        <v>1</v>
      </c>
      <c r="CB47" s="13">
        <v>2</v>
      </c>
      <c r="CC47" s="13">
        <v>2</v>
      </c>
      <c r="CD47" s="13">
        <v>2</v>
      </c>
      <c r="CE47" s="15">
        <v>2</v>
      </c>
      <c r="CF47" s="13">
        <f t="shared" si="0"/>
        <v>0</v>
      </c>
      <c r="CG47" s="13">
        <f t="shared" si="1"/>
        <v>0</v>
      </c>
      <c r="CH47" s="13">
        <f t="shared" si="2"/>
        <v>0</v>
      </c>
      <c r="CI47" s="13">
        <f t="shared" si="3"/>
        <v>0</v>
      </c>
      <c r="CJ47">
        <f t="shared" si="4"/>
        <v>0</v>
      </c>
    </row>
    <row r="48" spans="1:88" ht="16.2" thickBot="1" x14ac:dyDescent="0.35">
      <c r="A48" t="s">
        <v>17</v>
      </c>
      <c r="B48" s="2">
        <v>46</v>
      </c>
      <c r="C48" s="27" t="s">
        <v>17</v>
      </c>
      <c r="D48" s="19">
        <v>2</v>
      </c>
      <c r="E48" s="19">
        <v>2</v>
      </c>
      <c r="F48" s="19">
        <v>2</v>
      </c>
      <c r="G48" s="19">
        <v>2</v>
      </c>
      <c r="H48" s="19">
        <v>2</v>
      </c>
      <c r="I48" s="19">
        <v>2</v>
      </c>
      <c r="J48" s="19">
        <v>2</v>
      </c>
      <c r="K48" s="19">
        <v>2</v>
      </c>
      <c r="L48" s="19">
        <v>2</v>
      </c>
      <c r="M48" s="19">
        <v>2</v>
      </c>
      <c r="N48" s="19">
        <v>2</v>
      </c>
      <c r="O48" s="19">
        <v>2</v>
      </c>
      <c r="P48" s="19">
        <v>2</v>
      </c>
      <c r="Q48" s="19">
        <v>2</v>
      </c>
      <c r="R48" s="19">
        <v>2</v>
      </c>
      <c r="S48" s="19">
        <v>2</v>
      </c>
      <c r="T48" s="19">
        <v>2</v>
      </c>
      <c r="U48" s="19">
        <v>2</v>
      </c>
      <c r="V48" s="19">
        <v>2</v>
      </c>
      <c r="W48" s="19">
        <v>2</v>
      </c>
      <c r="X48" s="20">
        <v>2</v>
      </c>
      <c r="Y48" s="19">
        <v>2</v>
      </c>
      <c r="Z48" s="19">
        <v>2</v>
      </c>
      <c r="AA48" s="19">
        <v>2</v>
      </c>
      <c r="AB48" s="19">
        <v>2</v>
      </c>
      <c r="AC48" s="19">
        <v>2</v>
      </c>
      <c r="AD48" s="19">
        <v>2</v>
      </c>
      <c r="AE48" s="19">
        <v>2</v>
      </c>
      <c r="AF48" s="19">
        <v>2</v>
      </c>
      <c r="AG48" s="19">
        <v>2</v>
      </c>
      <c r="AH48" s="19">
        <v>2</v>
      </c>
      <c r="AI48" s="19">
        <v>2</v>
      </c>
      <c r="AJ48" s="19">
        <v>2</v>
      </c>
      <c r="AK48" s="19">
        <v>2</v>
      </c>
      <c r="AL48" s="19">
        <v>2</v>
      </c>
      <c r="AM48" s="19">
        <v>2</v>
      </c>
      <c r="AN48" s="19">
        <v>2</v>
      </c>
      <c r="AO48" s="19">
        <v>2</v>
      </c>
      <c r="AP48" s="19">
        <v>2</v>
      </c>
      <c r="AQ48" s="19">
        <v>2</v>
      </c>
      <c r="AR48" s="20">
        <v>2</v>
      </c>
      <c r="AS48" s="19">
        <v>2</v>
      </c>
      <c r="AT48" s="19">
        <v>2</v>
      </c>
      <c r="AU48" s="19">
        <v>2</v>
      </c>
      <c r="AV48" s="19">
        <v>2</v>
      </c>
      <c r="AW48" s="19">
        <v>2</v>
      </c>
      <c r="AX48" s="19">
        <v>2</v>
      </c>
      <c r="AY48" s="19">
        <v>2</v>
      </c>
      <c r="AZ48" s="19">
        <v>2</v>
      </c>
      <c r="BA48" s="19">
        <v>2</v>
      </c>
      <c r="BB48" s="19">
        <v>2</v>
      </c>
      <c r="BC48" s="19">
        <v>2</v>
      </c>
      <c r="BD48" s="19">
        <v>2</v>
      </c>
      <c r="BE48" s="19">
        <v>2</v>
      </c>
      <c r="BF48" s="19">
        <v>2</v>
      </c>
      <c r="BG48" s="19">
        <v>2</v>
      </c>
      <c r="BH48" s="19">
        <v>2</v>
      </c>
      <c r="BI48" s="19">
        <v>2</v>
      </c>
      <c r="BJ48" s="19">
        <v>2</v>
      </c>
      <c r="BK48" s="19">
        <v>2</v>
      </c>
      <c r="BL48" s="20">
        <v>2</v>
      </c>
      <c r="BM48" s="19">
        <v>2</v>
      </c>
      <c r="BN48" s="19">
        <v>2</v>
      </c>
      <c r="BO48" s="19">
        <v>2</v>
      </c>
      <c r="BP48" s="19">
        <v>2</v>
      </c>
      <c r="BQ48" s="19">
        <v>2</v>
      </c>
      <c r="BR48" s="19">
        <v>2</v>
      </c>
      <c r="BS48" s="19">
        <v>2</v>
      </c>
      <c r="BT48" s="19">
        <v>2</v>
      </c>
      <c r="BU48" s="19">
        <v>2</v>
      </c>
      <c r="BV48" s="19">
        <v>2</v>
      </c>
      <c r="BW48" s="19">
        <v>2</v>
      </c>
      <c r="BX48" s="19">
        <v>2</v>
      </c>
      <c r="BY48" s="19">
        <v>2</v>
      </c>
      <c r="BZ48" s="19">
        <v>2</v>
      </c>
      <c r="CA48" s="19">
        <v>2</v>
      </c>
      <c r="CB48" s="19">
        <v>2</v>
      </c>
      <c r="CC48" s="19">
        <v>2</v>
      </c>
      <c r="CD48" s="19">
        <v>2</v>
      </c>
      <c r="CE48" s="21">
        <v>2</v>
      </c>
      <c r="CF48" s="13">
        <f t="shared" si="0"/>
        <v>0</v>
      </c>
      <c r="CG48" s="13">
        <f t="shared" si="1"/>
        <v>0</v>
      </c>
      <c r="CH48" s="13">
        <f t="shared" si="2"/>
        <v>0</v>
      </c>
      <c r="CI48" s="13">
        <f t="shared" si="3"/>
        <v>0</v>
      </c>
      <c r="CJ48">
        <f t="shared" si="4"/>
        <v>0</v>
      </c>
    </row>
    <row r="49" spans="1:87" ht="16.2" thickTop="1" x14ac:dyDescent="0.3">
      <c r="A49" t="s">
        <v>18</v>
      </c>
      <c r="B49" s="3">
        <v>47</v>
      </c>
      <c r="C49" s="3" t="s">
        <v>18</v>
      </c>
      <c r="D49" s="13">
        <v>2</v>
      </c>
      <c r="E49" s="13">
        <v>1</v>
      </c>
      <c r="F49" s="13">
        <v>2</v>
      </c>
      <c r="G49" s="13">
        <v>2</v>
      </c>
      <c r="H49" s="13">
        <v>2</v>
      </c>
      <c r="I49" s="13">
        <v>1</v>
      </c>
      <c r="J49" s="13">
        <v>2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2</v>
      </c>
      <c r="Q49" s="13">
        <v>2</v>
      </c>
      <c r="R49" s="13">
        <v>1</v>
      </c>
      <c r="S49" s="13">
        <v>2</v>
      </c>
      <c r="T49" s="13">
        <v>1</v>
      </c>
      <c r="U49" s="13">
        <v>1</v>
      </c>
      <c r="V49" s="13">
        <v>2</v>
      </c>
      <c r="W49" s="13">
        <v>2</v>
      </c>
      <c r="X49" s="14">
        <v>2</v>
      </c>
      <c r="Y49" s="13">
        <v>2</v>
      </c>
      <c r="Z49" s="13">
        <v>2</v>
      </c>
      <c r="AA49" s="13">
        <v>2</v>
      </c>
      <c r="AB49" s="13">
        <v>2</v>
      </c>
      <c r="AC49" s="13">
        <v>2</v>
      </c>
      <c r="AD49" s="13">
        <v>2</v>
      </c>
      <c r="AE49" s="13">
        <v>2</v>
      </c>
      <c r="AF49" s="13">
        <v>1</v>
      </c>
      <c r="AG49" s="13">
        <v>2</v>
      </c>
      <c r="AH49" s="13">
        <v>1</v>
      </c>
      <c r="AI49" s="13">
        <v>2</v>
      </c>
      <c r="AJ49" s="13">
        <v>2</v>
      </c>
      <c r="AK49" s="13">
        <v>1</v>
      </c>
      <c r="AL49" s="13">
        <v>2</v>
      </c>
      <c r="AM49" s="13">
        <v>2</v>
      </c>
      <c r="AN49" s="13">
        <v>2</v>
      </c>
      <c r="AO49" s="13">
        <v>2</v>
      </c>
      <c r="AP49" s="13">
        <v>2</v>
      </c>
      <c r="AQ49" s="13">
        <v>1</v>
      </c>
      <c r="AR49" s="14">
        <v>2</v>
      </c>
      <c r="AS49" s="13">
        <v>1</v>
      </c>
      <c r="AT49" s="13">
        <v>1</v>
      </c>
      <c r="AU49" s="13">
        <v>1</v>
      </c>
      <c r="AV49" s="13">
        <v>2</v>
      </c>
      <c r="AW49" s="13">
        <v>1</v>
      </c>
      <c r="AX49" s="13">
        <v>1</v>
      </c>
      <c r="AY49" s="13">
        <v>1</v>
      </c>
      <c r="AZ49" s="13">
        <v>1</v>
      </c>
      <c r="BA49" s="13">
        <v>2</v>
      </c>
      <c r="BB49" s="13">
        <v>1</v>
      </c>
      <c r="BC49" s="13">
        <v>1</v>
      </c>
      <c r="BD49" s="13">
        <v>1</v>
      </c>
      <c r="BE49" s="13">
        <v>2</v>
      </c>
      <c r="BF49" s="13">
        <v>1</v>
      </c>
      <c r="BG49" s="13">
        <v>1</v>
      </c>
      <c r="BH49" s="13">
        <v>1</v>
      </c>
      <c r="BI49" s="13">
        <v>1</v>
      </c>
      <c r="BJ49" s="13">
        <v>2</v>
      </c>
      <c r="BK49" s="13">
        <v>2</v>
      </c>
      <c r="BL49" s="14">
        <v>1</v>
      </c>
      <c r="BM49" s="13">
        <v>1</v>
      </c>
      <c r="BN49" s="13">
        <v>1</v>
      </c>
      <c r="BO49" s="13">
        <v>1</v>
      </c>
      <c r="BP49" s="13">
        <v>1</v>
      </c>
      <c r="BQ49" s="13">
        <v>1</v>
      </c>
      <c r="BR49" s="13">
        <v>2</v>
      </c>
      <c r="BS49" s="13">
        <v>1</v>
      </c>
      <c r="BT49" s="13">
        <v>1</v>
      </c>
      <c r="BU49" s="13">
        <v>2</v>
      </c>
      <c r="BV49" s="13">
        <v>1</v>
      </c>
      <c r="BW49" s="13">
        <v>1</v>
      </c>
      <c r="BX49" s="13">
        <v>1</v>
      </c>
      <c r="BY49" s="13">
        <v>2</v>
      </c>
      <c r="BZ49" s="13">
        <v>1</v>
      </c>
      <c r="CA49" s="13">
        <v>1</v>
      </c>
      <c r="CB49" s="13">
        <v>2</v>
      </c>
      <c r="CC49" s="13">
        <v>1</v>
      </c>
      <c r="CD49" s="13">
        <v>2</v>
      </c>
      <c r="CE49" s="15">
        <v>1</v>
      </c>
      <c r="CF49" s="13">
        <f t="shared" si="0"/>
        <v>0</v>
      </c>
      <c r="CG49" s="13">
        <f t="shared" si="1"/>
        <v>0</v>
      </c>
      <c r="CH49" s="13">
        <f t="shared" si="2"/>
        <v>0</v>
      </c>
      <c r="CI49" s="13">
        <f t="shared" si="3"/>
        <v>0</v>
      </c>
    </row>
    <row r="50" spans="1:87" x14ac:dyDescent="0.3">
      <c r="A50" t="s">
        <v>18</v>
      </c>
      <c r="B50" s="1">
        <v>48</v>
      </c>
      <c r="C50" s="1" t="s">
        <v>18</v>
      </c>
      <c r="D50" s="13">
        <v>2</v>
      </c>
      <c r="E50" s="13">
        <v>2</v>
      </c>
      <c r="F50" s="13">
        <v>2</v>
      </c>
      <c r="G50" s="13">
        <v>2</v>
      </c>
      <c r="H50" s="13">
        <v>2</v>
      </c>
      <c r="I50" s="13">
        <v>2</v>
      </c>
      <c r="J50" s="13">
        <v>2</v>
      </c>
      <c r="K50" s="13">
        <v>2</v>
      </c>
      <c r="L50" s="13">
        <v>2</v>
      </c>
      <c r="M50" s="13">
        <v>1</v>
      </c>
      <c r="N50" s="13">
        <v>2</v>
      </c>
      <c r="O50" s="13">
        <v>2</v>
      </c>
      <c r="P50" s="13">
        <v>2</v>
      </c>
      <c r="Q50" s="13">
        <v>2</v>
      </c>
      <c r="R50" s="13">
        <v>2</v>
      </c>
      <c r="S50" s="13">
        <v>2</v>
      </c>
      <c r="T50" s="13">
        <v>2</v>
      </c>
      <c r="U50" s="13">
        <v>2</v>
      </c>
      <c r="V50" s="13">
        <v>2</v>
      </c>
      <c r="W50" s="13">
        <v>2</v>
      </c>
      <c r="X50" s="14">
        <v>1</v>
      </c>
      <c r="Y50" s="13">
        <v>1</v>
      </c>
      <c r="Z50" s="13">
        <v>2</v>
      </c>
      <c r="AA50" s="13">
        <v>2</v>
      </c>
      <c r="AB50" s="13">
        <v>1</v>
      </c>
      <c r="AC50" s="13">
        <v>2</v>
      </c>
      <c r="AD50" s="13">
        <v>2</v>
      </c>
      <c r="AE50" s="13">
        <v>2</v>
      </c>
      <c r="AF50" s="13">
        <v>2</v>
      </c>
      <c r="AG50" s="13">
        <v>2</v>
      </c>
      <c r="AH50" s="13">
        <v>2</v>
      </c>
      <c r="AI50" s="13">
        <v>1</v>
      </c>
      <c r="AJ50" s="13">
        <v>2</v>
      </c>
      <c r="AK50" s="13">
        <v>1</v>
      </c>
      <c r="AL50" s="13">
        <v>1</v>
      </c>
      <c r="AM50" s="13">
        <v>1</v>
      </c>
      <c r="AN50" s="13">
        <v>2</v>
      </c>
      <c r="AO50" s="13">
        <v>2</v>
      </c>
      <c r="AP50" s="13">
        <v>2</v>
      </c>
      <c r="AQ50" s="13">
        <v>1</v>
      </c>
      <c r="AR50" s="14">
        <v>2</v>
      </c>
      <c r="AS50" s="13">
        <v>2</v>
      </c>
      <c r="AT50" s="13">
        <v>1</v>
      </c>
      <c r="AU50" s="13">
        <v>2</v>
      </c>
      <c r="AV50" s="13">
        <v>1</v>
      </c>
      <c r="AW50" s="13">
        <v>1</v>
      </c>
      <c r="AX50" s="13">
        <v>1</v>
      </c>
      <c r="AY50" s="13">
        <v>1</v>
      </c>
      <c r="AZ50" s="13">
        <v>2</v>
      </c>
      <c r="BA50" s="13">
        <v>2</v>
      </c>
      <c r="BB50" s="13">
        <v>1</v>
      </c>
      <c r="BC50" s="13">
        <v>1</v>
      </c>
      <c r="BD50" s="13">
        <v>1</v>
      </c>
      <c r="BE50" s="13">
        <v>2</v>
      </c>
      <c r="BF50" s="13">
        <v>2</v>
      </c>
      <c r="BG50" s="13">
        <v>1</v>
      </c>
      <c r="BH50" s="13">
        <v>2</v>
      </c>
      <c r="BI50" s="13">
        <v>1</v>
      </c>
      <c r="BJ50" s="13">
        <v>2</v>
      </c>
      <c r="BK50" s="13">
        <v>1</v>
      </c>
      <c r="BL50" s="14">
        <v>2</v>
      </c>
      <c r="BM50" s="13">
        <v>1</v>
      </c>
      <c r="BN50" s="13">
        <v>1</v>
      </c>
      <c r="BO50" s="13">
        <v>2</v>
      </c>
      <c r="BP50" s="13">
        <v>1</v>
      </c>
      <c r="BQ50" s="13">
        <v>2</v>
      </c>
      <c r="BR50" s="13">
        <v>2</v>
      </c>
      <c r="BS50" s="13">
        <v>1</v>
      </c>
      <c r="BT50" s="13">
        <v>2</v>
      </c>
      <c r="BU50" s="13">
        <v>1</v>
      </c>
      <c r="BV50" s="13">
        <v>1</v>
      </c>
      <c r="BW50" s="13">
        <v>2</v>
      </c>
      <c r="BX50" s="13">
        <v>2</v>
      </c>
      <c r="BY50" s="13">
        <v>1</v>
      </c>
      <c r="BZ50" s="13">
        <v>1</v>
      </c>
      <c r="CA50" s="13">
        <v>1</v>
      </c>
      <c r="CB50" s="13">
        <v>1</v>
      </c>
      <c r="CC50" s="13">
        <v>1</v>
      </c>
      <c r="CD50" s="13">
        <v>1</v>
      </c>
      <c r="CE50" s="15">
        <v>1</v>
      </c>
      <c r="CF50" s="13">
        <f t="shared" si="0"/>
        <v>0</v>
      </c>
      <c r="CG50" s="13">
        <f t="shared" si="1"/>
        <v>0</v>
      </c>
      <c r="CH50" s="13">
        <f t="shared" si="2"/>
        <v>0</v>
      </c>
      <c r="CI50" s="13">
        <f t="shared" si="3"/>
        <v>0</v>
      </c>
    </row>
    <row r="51" spans="1:87" x14ac:dyDescent="0.3">
      <c r="A51" t="s">
        <v>18</v>
      </c>
      <c r="B51" s="1">
        <v>49</v>
      </c>
      <c r="C51" s="1" t="s">
        <v>18</v>
      </c>
      <c r="D51" s="13">
        <v>2</v>
      </c>
      <c r="E51" s="13">
        <v>2</v>
      </c>
      <c r="F51" s="13">
        <v>2</v>
      </c>
      <c r="G51" s="13">
        <v>2</v>
      </c>
      <c r="H51" s="13">
        <v>2</v>
      </c>
      <c r="I51" s="13">
        <v>2</v>
      </c>
      <c r="J51" s="13">
        <v>2</v>
      </c>
      <c r="K51" s="13">
        <v>2</v>
      </c>
      <c r="L51" s="13">
        <v>2</v>
      </c>
      <c r="M51" s="13">
        <v>2</v>
      </c>
      <c r="N51" s="13">
        <v>2</v>
      </c>
      <c r="O51" s="13">
        <v>2</v>
      </c>
      <c r="P51" s="13">
        <v>2</v>
      </c>
      <c r="Q51" s="13">
        <v>1</v>
      </c>
      <c r="R51" s="13">
        <v>2</v>
      </c>
      <c r="S51" s="13">
        <v>2</v>
      </c>
      <c r="T51" s="13">
        <v>2</v>
      </c>
      <c r="U51" s="13">
        <v>2</v>
      </c>
      <c r="V51" s="13">
        <v>1</v>
      </c>
      <c r="W51" s="13">
        <v>1</v>
      </c>
      <c r="X51" s="14">
        <v>2</v>
      </c>
      <c r="Y51" s="13">
        <v>2</v>
      </c>
      <c r="Z51" s="13">
        <v>2</v>
      </c>
      <c r="AA51" s="13">
        <v>2</v>
      </c>
      <c r="AB51" s="13">
        <v>2</v>
      </c>
      <c r="AC51" s="13">
        <v>1</v>
      </c>
      <c r="AD51" s="13">
        <v>2</v>
      </c>
      <c r="AE51" s="13">
        <v>2</v>
      </c>
      <c r="AF51" s="13">
        <v>2</v>
      </c>
      <c r="AG51" s="13">
        <v>2</v>
      </c>
      <c r="AH51" s="13">
        <v>2</v>
      </c>
      <c r="AI51" s="13">
        <v>2</v>
      </c>
      <c r="AJ51" s="13">
        <v>2</v>
      </c>
      <c r="AK51" s="13">
        <v>2</v>
      </c>
      <c r="AL51" s="13">
        <v>2</v>
      </c>
      <c r="AM51" s="13">
        <v>2</v>
      </c>
      <c r="AN51" s="13">
        <v>2</v>
      </c>
      <c r="AO51" s="13">
        <v>1</v>
      </c>
      <c r="AP51" s="13">
        <v>2</v>
      </c>
      <c r="AQ51" s="13">
        <v>2</v>
      </c>
      <c r="AR51" s="14">
        <v>2</v>
      </c>
      <c r="AS51" s="13">
        <v>2</v>
      </c>
      <c r="AT51" s="13">
        <v>2</v>
      </c>
      <c r="AU51" s="13">
        <v>2</v>
      </c>
      <c r="AV51" s="13">
        <v>2</v>
      </c>
      <c r="AW51" s="13">
        <v>2</v>
      </c>
      <c r="AX51" s="13">
        <v>1</v>
      </c>
      <c r="AY51" s="13">
        <v>2</v>
      </c>
      <c r="AZ51" s="13">
        <v>2</v>
      </c>
      <c r="BA51" s="13">
        <v>2</v>
      </c>
      <c r="BB51" s="13">
        <v>2</v>
      </c>
      <c r="BC51" s="13">
        <v>2</v>
      </c>
      <c r="BD51" s="13">
        <v>2</v>
      </c>
      <c r="BE51" s="13">
        <v>2</v>
      </c>
      <c r="BF51" s="13">
        <v>2</v>
      </c>
      <c r="BG51" s="13">
        <v>2</v>
      </c>
      <c r="BH51" s="13">
        <v>2</v>
      </c>
      <c r="BI51" s="13">
        <v>2</v>
      </c>
      <c r="BJ51" s="13">
        <v>1</v>
      </c>
      <c r="BK51" s="13">
        <v>2</v>
      </c>
      <c r="BL51" s="14">
        <v>2</v>
      </c>
      <c r="BM51" s="13">
        <v>2</v>
      </c>
      <c r="BN51" s="13">
        <v>2</v>
      </c>
      <c r="BO51" s="13">
        <v>2</v>
      </c>
      <c r="BP51" s="13">
        <v>2</v>
      </c>
      <c r="BQ51" s="13">
        <v>2</v>
      </c>
      <c r="BR51" s="13">
        <v>2</v>
      </c>
      <c r="BS51" s="13">
        <v>2</v>
      </c>
      <c r="BT51" s="13">
        <v>1</v>
      </c>
      <c r="BU51" s="13">
        <v>1</v>
      </c>
      <c r="BV51" s="13">
        <v>2</v>
      </c>
      <c r="BW51" s="13">
        <v>2</v>
      </c>
      <c r="BX51" s="13">
        <v>2</v>
      </c>
      <c r="BY51" s="13">
        <v>2</v>
      </c>
      <c r="BZ51" s="13">
        <v>2</v>
      </c>
      <c r="CA51" s="13">
        <v>2</v>
      </c>
      <c r="CB51" s="13">
        <v>2</v>
      </c>
      <c r="CC51" s="13">
        <v>2</v>
      </c>
      <c r="CD51" s="13">
        <v>2</v>
      </c>
      <c r="CE51" s="15">
        <v>2</v>
      </c>
      <c r="CF51" s="13">
        <f t="shared" si="0"/>
        <v>0</v>
      </c>
      <c r="CG51" s="13">
        <f t="shared" si="1"/>
        <v>0</v>
      </c>
      <c r="CH51" s="13">
        <f t="shared" si="2"/>
        <v>0</v>
      </c>
      <c r="CI51" s="13">
        <f t="shared" si="3"/>
        <v>0</v>
      </c>
    </row>
    <row r="52" spans="1:87" x14ac:dyDescent="0.3">
      <c r="A52" t="s">
        <v>18</v>
      </c>
      <c r="B52" s="1">
        <v>50</v>
      </c>
      <c r="C52" s="1" t="s">
        <v>18</v>
      </c>
      <c r="D52" s="13">
        <v>2</v>
      </c>
      <c r="E52" s="13">
        <v>2</v>
      </c>
      <c r="F52" s="13">
        <v>2</v>
      </c>
      <c r="G52" s="13">
        <v>2</v>
      </c>
      <c r="H52" s="13">
        <v>2</v>
      </c>
      <c r="I52" s="13">
        <v>2</v>
      </c>
      <c r="J52" s="13">
        <v>2</v>
      </c>
      <c r="K52" s="13">
        <v>1</v>
      </c>
      <c r="L52" s="13">
        <v>2</v>
      </c>
      <c r="M52" s="13">
        <v>2</v>
      </c>
      <c r="N52" s="13">
        <v>2</v>
      </c>
      <c r="O52" s="13">
        <v>2</v>
      </c>
      <c r="P52" s="13">
        <v>2</v>
      </c>
      <c r="Q52" s="13">
        <v>2</v>
      </c>
      <c r="R52" s="13">
        <v>2</v>
      </c>
      <c r="S52" s="13">
        <v>1</v>
      </c>
      <c r="T52" s="13">
        <v>2</v>
      </c>
      <c r="U52" s="13">
        <v>2</v>
      </c>
      <c r="V52" s="13">
        <v>2</v>
      </c>
      <c r="W52" s="13">
        <v>2</v>
      </c>
      <c r="X52" s="14">
        <v>2</v>
      </c>
      <c r="Y52" s="13">
        <v>2</v>
      </c>
      <c r="Z52" s="13">
        <v>1</v>
      </c>
      <c r="AA52" s="13">
        <v>2</v>
      </c>
      <c r="AB52" s="13">
        <v>2</v>
      </c>
      <c r="AC52" s="13">
        <v>2</v>
      </c>
      <c r="AD52" s="13">
        <v>2</v>
      </c>
      <c r="AE52" s="13">
        <v>2</v>
      </c>
      <c r="AF52" s="13">
        <v>2</v>
      </c>
      <c r="AG52" s="13">
        <v>2</v>
      </c>
      <c r="AH52" s="13">
        <v>2</v>
      </c>
      <c r="AI52" s="13">
        <v>2</v>
      </c>
      <c r="AJ52" s="13">
        <v>2</v>
      </c>
      <c r="AK52" s="13">
        <v>2</v>
      </c>
      <c r="AL52" s="13">
        <v>2</v>
      </c>
      <c r="AM52" s="13">
        <v>2</v>
      </c>
      <c r="AN52" s="13">
        <v>2</v>
      </c>
      <c r="AO52" s="13">
        <v>2</v>
      </c>
      <c r="AP52" s="13">
        <v>2</v>
      </c>
      <c r="AQ52" s="13">
        <v>2</v>
      </c>
      <c r="AR52" s="14">
        <v>2</v>
      </c>
      <c r="AS52" s="13">
        <v>2</v>
      </c>
      <c r="AT52" s="13">
        <v>2</v>
      </c>
      <c r="AU52" s="13">
        <v>2</v>
      </c>
      <c r="AV52" s="13">
        <v>2</v>
      </c>
      <c r="AW52" s="13">
        <v>2</v>
      </c>
      <c r="AX52" s="13">
        <v>2</v>
      </c>
      <c r="AY52" s="13">
        <v>2</v>
      </c>
      <c r="AZ52" s="13">
        <v>2</v>
      </c>
      <c r="BA52" s="13">
        <v>2</v>
      </c>
      <c r="BB52" s="13">
        <v>2</v>
      </c>
      <c r="BC52" s="13">
        <v>2</v>
      </c>
      <c r="BD52" s="13">
        <v>2</v>
      </c>
      <c r="BE52" s="13">
        <v>2</v>
      </c>
      <c r="BF52" s="13">
        <v>2</v>
      </c>
      <c r="BG52" s="13">
        <v>2</v>
      </c>
      <c r="BH52" s="13">
        <v>2</v>
      </c>
      <c r="BI52" s="13">
        <v>2</v>
      </c>
      <c r="BJ52" s="13">
        <v>2</v>
      </c>
      <c r="BK52" s="13">
        <v>2</v>
      </c>
      <c r="BL52" s="14">
        <v>2</v>
      </c>
      <c r="BM52" s="13">
        <v>2</v>
      </c>
      <c r="BN52" s="13">
        <v>2</v>
      </c>
      <c r="BO52" s="13">
        <v>2</v>
      </c>
      <c r="BP52" s="13">
        <v>1</v>
      </c>
      <c r="BQ52" s="13">
        <v>1</v>
      </c>
      <c r="BR52" s="13">
        <v>2</v>
      </c>
      <c r="BS52" s="13">
        <v>2</v>
      </c>
      <c r="BT52" s="13">
        <v>2</v>
      </c>
      <c r="BU52" s="13">
        <v>2</v>
      </c>
      <c r="BV52" s="13">
        <v>2</v>
      </c>
      <c r="BW52" s="13">
        <v>2</v>
      </c>
      <c r="BX52" s="13">
        <v>2</v>
      </c>
      <c r="BY52" s="13">
        <v>2</v>
      </c>
      <c r="BZ52" s="13">
        <v>2</v>
      </c>
      <c r="CA52" s="13">
        <v>2</v>
      </c>
      <c r="CB52" s="13">
        <v>1</v>
      </c>
      <c r="CC52" s="13">
        <v>2</v>
      </c>
      <c r="CD52" s="13">
        <v>2</v>
      </c>
      <c r="CE52" s="15">
        <v>2</v>
      </c>
      <c r="CF52" s="13">
        <f t="shared" si="0"/>
        <v>0</v>
      </c>
      <c r="CG52" s="13">
        <f t="shared" si="1"/>
        <v>0</v>
      </c>
      <c r="CH52" s="13">
        <f t="shared" si="2"/>
        <v>0</v>
      </c>
      <c r="CI52" s="13">
        <f t="shared" si="3"/>
        <v>0</v>
      </c>
    </row>
    <row r="53" spans="1:87" x14ac:dyDescent="0.3">
      <c r="A53" t="s">
        <v>18</v>
      </c>
      <c r="B53" s="1">
        <v>51</v>
      </c>
      <c r="C53" s="1" t="s">
        <v>18</v>
      </c>
      <c r="D53" s="13">
        <v>1</v>
      </c>
      <c r="E53" s="13">
        <v>1</v>
      </c>
      <c r="F53" s="13">
        <v>2</v>
      </c>
      <c r="G53" s="13">
        <v>2</v>
      </c>
      <c r="H53" s="13">
        <v>1</v>
      </c>
      <c r="I53" s="13">
        <v>2</v>
      </c>
      <c r="J53" s="13">
        <v>2</v>
      </c>
      <c r="K53" s="13">
        <v>1</v>
      </c>
      <c r="L53" s="13">
        <v>1</v>
      </c>
      <c r="M53" s="13">
        <v>2</v>
      </c>
      <c r="N53" s="13">
        <v>2</v>
      </c>
      <c r="O53" s="13">
        <v>1</v>
      </c>
      <c r="P53" s="13">
        <v>2</v>
      </c>
      <c r="Q53" s="13">
        <v>2</v>
      </c>
      <c r="R53" s="13">
        <v>2</v>
      </c>
      <c r="S53" s="13">
        <v>1</v>
      </c>
      <c r="T53" s="13">
        <v>2</v>
      </c>
      <c r="U53" s="13">
        <v>2</v>
      </c>
      <c r="V53" s="13">
        <v>1</v>
      </c>
      <c r="W53" s="13">
        <v>2</v>
      </c>
      <c r="X53" s="14">
        <v>2</v>
      </c>
      <c r="Y53" s="13">
        <v>1</v>
      </c>
      <c r="Z53" s="13">
        <v>2</v>
      </c>
      <c r="AA53" s="13">
        <v>1</v>
      </c>
      <c r="AB53" s="13">
        <v>1</v>
      </c>
      <c r="AC53" s="13">
        <v>1</v>
      </c>
      <c r="AD53" s="13">
        <v>2</v>
      </c>
      <c r="AE53" s="13">
        <v>1</v>
      </c>
      <c r="AF53" s="13">
        <v>2</v>
      </c>
      <c r="AG53" s="13">
        <v>2</v>
      </c>
      <c r="AH53" s="13">
        <v>2</v>
      </c>
      <c r="AI53" s="13">
        <v>1</v>
      </c>
      <c r="AJ53" s="13">
        <v>1</v>
      </c>
      <c r="AK53" s="13">
        <v>2</v>
      </c>
      <c r="AL53" s="13">
        <v>2</v>
      </c>
      <c r="AM53" s="13">
        <v>1</v>
      </c>
      <c r="AN53" s="13">
        <v>2</v>
      </c>
      <c r="AO53" s="13">
        <v>2</v>
      </c>
      <c r="AP53" s="13">
        <v>2</v>
      </c>
      <c r="AQ53" s="13">
        <v>1</v>
      </c>
      <c r="AR53" s="14">
        <v>1</v>
      </c>
      <c r="AS53" s="13">
        <v>1</v>
      </c>
      <c r="AT53" s="13">
        <v>2</v>
      </c>
      <c r="AU53" s="13">
        <v>2</v>
      </c>
      <c r="AV53" s="13">
        <v>1</v>
      </c>
      <c r="AW53" s="13">
        <v>2</v>
      </c>
      <c r="AX53" s="13">
        <v>2</v>
      </c>
      <c r="AY53" s="13">
        <v>1</v>
      </c>
      <c r="AZ53" s="13">
        <v>1</v>
      </c>
      <c r="BA53" s="13">
        <v>2</v>
      </c>
      <c r="BB53" s="13">
        <v>1</v>
      </c>
      <c r="BC53" s="13">
        <v>2</v>
      </c>
      <c r="BD53" s="13">
        <v>2</v>
      </c>
      <c r="BE53" s="13">
        <v>2</v>
      </c>
      <c r="BF53" s="13">
        <v>2</v>
      </c>
      <c r="BG53" s="13">
        <v>2</v>
      </c>
      <c r="BH53" s="13">
        <v>1</v>
      </c>
      <c r="BI53" s="13">
        <v>1</v>
      </c>
      <c r="BJ53" s="13">
        <v>1</v>
      </c>
      <c r="BK53" s="13">
        <v>2</v>
      </c>
      <c r="BL53" s="14">
        <v>2</v>
      </c>
      <c r="BM53" s="13">
        <v>2</v>
      </c>
      <c r="BN53" s="13">
        <v>2</v>
      </c>
      <c r="BO53" s="13">
        <v>2</v>
      </c>
      <c r="BP53" s="13">
        <v>2</v>
      </c>
      <c r="BQ53" s="13">
        <v>2</v>
      </c>
      <c r="BR53" s="13">
        <v>2</v>
      </c>
      <c r="BS53" s="13">
        <v>2</v>
      </c>
      <c r="BT53" s="13">
        <v>2</v>
      </c>
      <c r="BU53" s="13">
        <v>2</v>
      </c>
      <c r="BV53" s="13">
        <v>2</v>
      </c>
      <c r="BW53" s="13">
        <v>2</v>
      </c>
      <c r="BX53" s="13">
        <v>2</v>
      </c>
      <c r="BY53" s="13">
        <v>2</v>
      </c>
      <c r="BZ53" s="13">
        <v>2</v>
      </c>
      <c r="CA53" s="13">
        <v>1</v>
      </c>
      <c r="CB53" s="13">
        <v>2</v>
      </c>
      <c r="CC53" s="13">
        <v>2</v>
      </c>
      <c r="CD53" s="13">
        <v>2</v>
      </c>
      <c r="CE53" s="15">
        <v>2</v>
      </c>
      <c r="CF53" s="13">
        <f t="shared" si="0"/>
        <v>0</v>
      </c>
      <c r="CG53" s="13">
        <f t="shared" si="1"/>
        <v>0</v>
      </c>
      <c r="CH53" s="13">
        <f t="shared" si="2"/>
        <v>0</v>
      </c>
      <c r="CI53" s="13">
        <f t="shared" si="3"/>
        <v>0</v>
      </c>
    </row>
    <row r="54" spans="1:87" x14ac:dyDescent="0.3">
      <c r="A54" t="s">
        <v>18</v>
      </c>
      <c r="B54" s="1">
        <v>52</v>
      </c>
      <c r="C54" s="1" t="s">
        <v>18</v>
      </c>
      <c r="D54" s="13">
        <v>2</v>
      </c>
      <c r="E54" s="13">
        <v>2</v>
      </c>
      <c r="F54" s="13">
        <v>2</v>
      </c>
      <c r="G54" s="13">
        <v>2</v>
      </c>
      <c r="H54" s="13">
        <v>2</v>
      </c>
      <c r="I54" s="13">
        <v>2</v>
      </c>
      <c r="J54" s="13">
        <v>1</v>
      </c>
      <c r="K54" s="13">
        <v>1</v>
      </c>
      <c r="L54" s="13">
        <v>2</v>
      </c>
      <c r="M54" s="13">
        <v>2</v>
      </c>
      <c r="N54" s="13">
        <v>2</v>
      </c>
      <c r="O54" s="13">
        <v>2</v>
      </c>
      <c r="P54" s="13">
        <v>1</v>
      </c>
      <c r="Q54" s="13">
        <v>1</v>
      </c>
      <c r="R54" s="13">
        <v>2</v>
      </c>
      <c r="S54" s="13">
        <v>1</v>
      </c>
      <c r="T54" s="13">
        <v>2</v>
      </c>
      <c r="U54" s="13">
        <v>2</v>
      </c>
      <c r="V54" s="13">
        <v>1</v>
      </c>
      <c r="W54" s="13">
        <v>1</v>
      </c>
      <c r="X54" s="14">
        <v>1</v>
      </c>
      <c r="Y54" s="13">
        <v>1</v>
      </c>
      <c r="Z54" s="13">
        <v>1</v>
      </c>
      <c r="AA54" s="13">
        <v>1</v>
      </c>
      <c r="AB54" s="13">
        <v>2</v>
      </c>
      <c r="AC54" s="13">
        <v>2</v>
      </c>
      <c r="AD54" s="13">
        <v>2</v>
      </c>
      <c r="AE54" s="13">
        <v>2</v>
      </c>
      <c r="AF54" s="13">
        <v>1</v>
      </c>
      <c r="AG54" s="13">
        <v>2</v>
      </c>
      <c r="AH54" s="13">
        <v>1</v>
      </c>
      <c r="AI54" s="13">
        <v>1</v>
      </c>
      <c r="AJ54" s="13">
        <v>2</v>
      </c>
      <c r="AK54" s="13">
        <v>1</v>
      </c>
      <c r="AL54" s="13">
        <v>1</v>
      </c>
      <c r="AM54" s="13">
        <v>1</v>
      </c>
      <c r="AN54" s="13">
        <v>2</v>
      </c>
      <c r="AO54" s="13">
        <v>1</v>
      </c>
      <c r="AP54" s="13">
        <v>2</v>
      </c>
      <c r="AQ54" s="13">
        <v>1</v>
      </c>
      <c r="AR54" s="14">
        <v>1</v>
      </c>
      <c r="AS54" s="13">
        <v>1</v>
      </c>
      <c r="AT54" s="13">
        <v>1</v>
      </c>
      <c r="AU54" s="13">
        <v>2</v>
      </c>
      <c r="AV54" s="13">
        <v>2</v>
      </c>
      <c r="AW54" s="13">
        <v>2</v>
      </c>
      <c r="AX54" s="13">
        <v>1</v>
      </c>
      <c r="AY54" s="13">
        <v>2</v>
      </c>
      <c r="AZ54" s="13">
        <v>1</v>
      </c>
      <c r="BA54" s="13">
        <v>1</v>
      </c>
      <c r="BB54" s="13">
        <v>1</v>
      </c>
      <c r="BC54" s="13">
        <v>1</v>
      </c>
      <c r="BD54" s="13">
        <v>1</v>
      </c>
      <c r="BE54" s="13">
        <v>1</v>
      </c>
      <c r="BF54" s="13">
        <v>1</v>
      </c>
      <c r="BG54" s="13">
        <v>2</v>
      </c>
      <c r="BH54" s="13">
        <v>1</v>
      </c>
      <c r="BI54" s="13">
        <v>1</v>
      </c>
      <c r="BJ54" s="13">
        <v>2</v>
      </c>
      <c r="BK54" s="13">
        <v>2</v>
      </c>
      <c r="BL54" s="14">
        <v>2</v>
      </c>
      <c r="BM54" s="13">
        <v>2</v>
      </c>
      <c r="BN54" s="13">
        <v>1</v>
      </c>
      <c r="BO54" s="13">
        <v>1</v>
      </c>
      <c r="BP54" s="13">
        <v>1</v>
      </c>
      <c r="BQ54" s="13">
        <v>1</v>
      </c>
      <c r="BR54" s="13">
        <v>1</v>
      </c>
      <c r="BS54" s="13">
        <v>2</v>
      </c>
      <c r="BT54" s="13">
        <v>2</v>
      </c>
      <c r="BU54" s="13">
        <v>2</v>
      </c>
      <c r="BV54" s="13">
        <v>2</v>
      </c>
      <c r="BW54" s="13">
        <v>1</v>
      </c>
      <c r="BX54" s="13">
        <v>1</v>
      </c>
      <c r="BY54" s="13">
        <v>1</v>
      </c>
      <c r="BZ54" s="13">
        <v>1</v>
      </c>
      <c r="CA54" s="13">
        <v>2</v>
      </c>
      <c r="CB54" s="13">
        <v>2</v>
      </c>
      <c r="CC54" s="13">
        <v>1</v>
      </c>
      <c r="CD54" s="13">
        <v>1</v>
      </c>
      <c r="CE54" s="15">
        <v>1</v>
      </c>
      <c r="CF54" s="13">
        <f t="shared" si="0"/>
        <v>0</v>
      </c>
      <c r="CG54" s="13">
        <f t="shared" si="1"/>
        <v>0</v>
      </c>
      <c r="CH54" s="13">
        <f t="shared" si="2"/>
        <v>0</v>
      </c>
      <c r="CI54" s="13">
        <f t="shared" si="3"/>
        <v>0</v>
      </c>
    </row>
    <row r="55" spans="1:87" x14ac:dyDescent="0.3">
      <c r="A55" t="s">
        <v>18</v>
      </c>
      <c r="B55" s="1">
        <v>53</v>
      </c>
      <c r="C55" s="1" t="s">
        <v>18</v>
      </c>
      <c r="D55" s="13">
        <v>1</v>
      </c>
      <c r="E55" s="13">
        <v>2</v>
      </c>
      <c r="F55" s="13">
        <v>1</v>
      </c>
      <c r="G55" s="13">
        <v>2</v>
      </c>
      <c r="H55" s="13">
        <v>2</v>
      </c>
      <c r="I55" s="13">
        <v>2</v>
      </c>
      <c r="J55" s="13">
        <v>2</v>
      </c>
      <c r="K55" s="13">
        <v>1</v>
      </c>
      <c r="L55" s="13">
        <v>2</v>
      </c>
      <c r="M55" s="13">
        <v>2</v>
      </c>
      <c r="N55" s="13">
        <v>1</v>
      </c>
      <c r="O55" s="13">
        <v>2</v>
      </c>
      <c r="P55" s="13">
        <v>2</v>
      </c>
      <c r="Q55" s="13">
        <v>2</v>
      </c>
      <c r="R55" s="13">
        <v>2</v>
      </c>
      <c r="S55" s="13">
        <v>2</v>
      </c>
      <c r="T55" s="13">
        <v>2</v>
      </c>
      <c r="U55" s="13">
        <v>2</v>
      </c>
      <c r="V55" s="13">
        <v>2</v>
      </c>
      <c r="W55" s="13">
        <v>2</v>
      </c>
      <c r="X55" s="14">
        <v>2</v>
      </c>
      <c r="Y55" s="13">
        <v>1</v>
      </c>
      <c r="Z55" s="13">
        <v>2</v>
      </c>
      <c r="AA55" s="13">
        <v>2</v>
      </c>
      <c r="AB55" s="13">
        <v>1</v>
      </c>
      <c r="AC55" s="13">
        <v>1</v>
      </c>
      <c r="AD55" s="13">
        <v>1</v>
      </c>
      <c r="AE55" s="13">
        <v>2</v>
      </c>
      <c r="AF55" s="13">
        <v>1</v>
      </c>
      <c r="AG55" s="13">
        <v>2</v>
      </c>
      <c r="AH55" s="13">
        <v>2</v>
      </c>
      <c r="AI55" s="13">
        <v>2</v>
      </c>
      <c r="AJ55" s="13">
        <v>2</v>
      </c>
      <c r="AK55" s="13">
        <v>2</v>
      </c>
      <c r="AL55" s="13">
        <v>2</v>
      </c>
      <c r="AM55" s="13">
        <v>2</v>
      </c>
      <c r="AN55" s="13">
        <v>2</v>
      </c>
      <c r="AO55" s="13">
        <v>2</v>
      </c>
      <c r="AP55" s="13">
        <v>2</v>
      </c>
      <c r="AQ55" s="13">
        <v>2</v>
      </c>
      <c r="AR55" s="14">
        <v>2</v>
      </c>
      <c r="AS55" s="13">
        <v>2</v>
      </c>
      <c r="AT55" s="13">
        <v>2</v>
      </c>
      <c r="AU55" s="13">
        <v>2</v>
      </c>
      <c r="AV55" s="13">
        <v>2</v>
      </c>
      <c r="AW55" s="13">
        <v>2</v>
      </c>
      <c r="AX55" s="13">
        <v>2</v>
      </c>
      <c r="AY55" s="13">
        <v>1</v>
      </c>
      <c r="AZ55" s="13">
        <v>1</v>
      </c>
      <c r="BA55" s="13">
        <v>2</v>
      </c>
      <c r="BB55" s="13">
        <v>2</v>
      </c>
      <c r="BC55" s="13">
        <v>1</v>
      </c>
      <c r="BD55" s="13">
        <v>2</v>
      </c>
      <c r="BE55" s="13">
        <v>2</v>
      </c>
      <c r="BF55" s="13">
        <v>2</v>
      </c>
      <c r="BG55" s="13">
        <v>2</v>
      </c>
      <c r="BH55" s="13">
        <v>2</v>
      </c>
      <c r="BI55" s="13">
        <v>1</v>
      </c>
      <c r="BJ55" s="13">
        <v>1</v>
      </c>
      <c r="BK55" s="13">
        <v>1</v>
      </c>
      <c r="BL55" s="14">
        <v>1</v>
      </c>
      <c r="BM55" s="13">
        <v>2</v>
      </c>
      <c r="BN55" s="13">
        <v>1</v>
      </c>
      <c r="BO55" s="13">
        <v>1</v>
      </c>
      <c r="BP55" s="13">
        <v>2</v>
      </c>
      <c r="BQ55" s="13">
        <v>2</v>
      </c>
      <c r="BR55" s="13">
        <v>1</v>
      </c>
      <c r="BS55" s="13">
        <v>2</v>
      </c>
      <c r="BT55" s="13">
        <v>2</v>
      </c>
      <c r="BU55" s="13">
        <v>1</v>
      </c>
      <c r="BV55" s="13">
        <v>2</v>
      </c>
      <c r="BW55" s="13">
        <v>2</v>
      </c>
      <c r="BX55" s="13">
        <v>2</v>
      </c>
      <c r="BY55" s="13">
        <v>1</v>
      </c>
      <c r="BZ55" s="13">
        <v>2</v>
      </c>
      <c r="CA55" s="13">
        <v>1</v>
      </c>
      <c r="CB55" s="13">
        <v>1</v>
      </c>
      <c r="CC55" s="13">
        <v>1</v>
      </c>
      <c r="CD55" s="13">
        <v>2</v>
      </c>
      <c r="CE55" s="15">
        <v>2</v>
      </c>
      <c r="CF55" s="13">
        <f t="shared" si="0"/>
        <v>0</v>
      </c>
      <c r="CG55" s="13">
        <f t="shared" si="1"/>
        <v>0</v>
      </c>
      <c r="CH55" s="13">
        <f t="shared" si="2"/>
        <v>0</v>
      </c>
      <c r="CI55" s="13">
        <f t="shared" si="3"/>
        <v>0</v>
      </c>
    </row>
    <row r="56" spans="1:87" x14ac:dyDescent="0.3">
      <c r="A56" t="s">
        <v>18</v>
      </c>
      <c r="B56" s="1">
        <v>54</v>
      </c>
      <c r="C56" s="1" t="s">
        <v>18</v>
      </c>
      <c r="D56" s="13">
        <v>2</v>
      </c>
      <c r="E56" s="13">
        <v>2</v>
      </c>
      <c r="F56" s="13">
        <v>1</v>
      </c>
      <c r="G56" s="13">
        <v>2</v>
      </c>
      <c r="H56" s="13">
        <v>2</v>
      </c>
      <c r="I56" s="13">
        <v>2</v>
      </c>
      <c r="J56" s="13">
        <v>2</v>
      </c>
      <c r="K56" s="13">
        <v>2</v>
      </c>
      <c r="L56" s="13">
        <v>2</v>
      </c>
      <c r="M56" s="13">
        <v>2</v>
      </c>
      <c r="N56" s="13">
        <v>2</v>
      </c>
      <c r="O56" s="13">
        <v>2</v>
      </c>
      <c r="P56" s="13">
        <v>1</v>
      </c>
      <c r="Q56" s="13">
        <v>1</v>
      </c>
      <c r="R56" s="13">
        <v>1</v>
      </c>
      <c r="S56" s="13">
        <v>2</v>
      </c>
      <c r="T56" s="13">
        <v>2</v>
      </c>
      <c r="U56" s="13">
        <v>2</v>
      </c>
      <c r="V56" s="13">
        <v>1</v>
      </c>
      <c r="W56" s="13">
        <v>2</v>
      </c>
      <c r="X56" s="14">
        <v>2</v>
      </c>
      <c r="Y56" s="13">
        <v>2</v>
      </c>
      <c r="Z56" s="13">
        <v>2</v>
      </c>
      <c r="AA56" s="13">
        <v>2</v>
      </c>
      <c r="AB56" s="13">
        <v>2</v>
      </c>
      <c r="AC56" s="13">
        <v>1</v>
      </c>
      <c r="AD56" s="13">
        <v>2</v>
      </c>
      <c r="AE56" s="13">
        <v>2</v>
      </c>
      <c r="AF56" s="13">
        <v>2</v>
      </c>
      <c r="AG56" s="13">
        <v>2</v>
      </c>
      <c r="AH56" s="13">
        <v>2</v>
      </c>
      <c r="AI56" s="13">
        <v>2</v>
      </c>
      <c r="AJ56" s="13">
        <v>2</v>
      </c>
      <c r="AK56" s="13">
        <v>2</v>
      </c>
      <c r="AL56" s="13">
        <v>2</v>
      </c>
      <c r="AM56" s="13">
        <v>2</v>
      </c>
      <c r="AN56" s="13">
        <v>2</v>
      </c>
      <c r="AO56" s="13">
        <v>2</v>
      </c>
      <c r="AP56" s="13">
        <v>1</v>
      </c>
      <c r="AQ56" s="13">
        <v>1</v>
      </c>
      <c r="AR56" s="14">
        <v>2</v>
      </c>
      <c r="AS56" s="13">
        <v>1</v>
      </c>
      <c r="AT56" s="13">
        <v>2</v>
      </c>
      <c r="AU56" s="13">
        <v>2</v>
      </c>
      <c r="AV56" s="13">
        <v>2</v>
      </c>
      <c r="AW56" s="13">
        <v>2</v>
      </c>
      <c r="AX56" s="13">
        <v>2</v>
      </c>
      <c r="AY56" s="13">
        <v>1</v>
      </c>
      <c r="AZ56" s="13">
        <v>2</v>
      </c>
      <c r="BA56" s="13">
        <v>2</v>
      </c>
      <c r="BB56" s="13">
        <v>2</v>
      </c>
      <c r="BC56" s="13">
        <v>2</v>
      </c>
      <c r="BD56" s="13">
        <v>2</v>
      </c>
      <c r="BE56" s="13">
        <v>2</v>
      </c>
      <c r="BF56" s="13">
        <v>2</v>
      </c>
      <c r="BG56" s="13">
        <v>2</v>
      </c>
      <c r="BH56" s="13">
        <v>2</v>
      </c>
      <c r="BI56" s="13">
        <v>1</v>
      </c>
      <c r="BJ56" s="13">
        <v>2</v>
      </c>
      <c r="BK56" s="13">
        <v>2</v>
      </c>
      <c r="BL56" s="14">
        <v>1</v>
      </c>
      <c r="BM56" s="13">
        <v>1</v>
      </c>
      <c r="BN56" s="13">
        <v>2</v>
      </c>
      <c r="BO56" s="13">
        <v>2</v>
      </c>
      <c r="BP56" s="13">
        <v>2</v>
      </c>
      <c r="BQ56" s="13">
        <v>2</v>
      </c>
      <c r="BR56" s="13">
        <v>1</v>
      </c>
      <c r="BS56" s="13">
        <v>1</v>
      </c>
      <c r="BT56" s="13">
        <v>1</v>
      </c>
      <c r="BU56" s="13">
        <v>2</v>
      </c>
      <c r="BV56" s="13">
        <v>1</v>
      </c>
      <c r="BW56" s="13">
        <v>2</v>
      </c>
      <c r="BX56" s="13">
        <v>2</v>
      </c>
      <c r="BY56" s="13">
        <v>2</v>
      </c>
      <c r="BZ56" s="13">
        <v>1</v>
      </c>
      <c r="CA56" s="13">
        <v>2</v>
      </c>
      <c r="CB56" s="13">
        <v>1</v>
      </c>
      <c r="CC56" s="13">
        <v>2</v>
      </c>
      <c r="CD56" s="13">
        <v>2</v>
      </c>
      <c r="CE56" s="15">
        <v>2</v>
      </c>
      <c r="CF56" s="13">
        <f t="shared" si="0"/>
        <v>0</v>
      </c>
      <c r="CG56" s="13">
        <f t="shared" si="1"/>
        <v>0</v>
      </c>
      <c r="CH56" s="13">
        <f t="shared" si="2"/>
        <v>0</v>
      </c>
      <c r="CI56" s="13">
        <f t="shared" si="3"/>
        <v>0</v>
      </c>
    </row>
    <row r="57" spans="1:87" x14ac:dyDescent="0.3">
      <c r="A57" t="s">
        <v>18</v>
      </c>
      <c r="B57" s="1">
        <v>55</v>
      </c>
      <c r="C57" s="1" t="s">
        <v>18</v>
      </c>
      <c r="D57" s="13">
        <v>1</v>
      </c>
      <c r="E57" s="13">
        <v>1</v>
      </c>
      <c r="F57" s="13">
        <v>1</v>
      </c>
      <c r="G57" s="13">
        <v>1</v>
      </c>
      <c r="H57" s="13">
        <v>1</v>
      </c>
      <c r="I57" s="13">
        <v>1</v>
      </c>
      <c r="J57" s="13">
        <v>1</v>
      </c>
      <c r="K57" s="13">
        <v>2</v>
      </c>
      <c r="L57" s="13">
        <v>2</v>
      </c>
      <c r="M57" s="13">
        <v>1</v>
      </c>
      <c r="N57" s="13">
        <v>2</v>
      </c>
      <c r="O57" s="13">
        <v>2</v>
      </c>
      <c r="P57" s="13">
        <v>1</v>
      </c>
      <c r="Q57" s="13">
        <v>2</v>
      </c>
      <c r="R57" s="13">
        <v>2</v>
      </c>
      <c r="S57" s="13">
        <v>1</v>
      </c>
      <c r="T57" s="13">
        <v>1</v>
      </c>
      <c r="U57" s="13">
        <v>2</v>
      </c>
      <c r="V57" s="13">
        <v>1</v>
      </c>
      <c r="W57" s="13">
        <v>2</v>
      </c>
      <c r="X57" s="14">
        <v>2</v>
      </c>
      <c r="Y57" s="13">
        <v>2</v>
      </c>
      <c r="Z57" s="13">
        <v>1</v>
      </c>
      <c r="AA57" s="13">
        <v>1</v>
      </c>
      <c r="AB57" s="13">
        <v>2</v>
      </c>
      <c r="AC57" s="13">
        <v>1</v>
      </c>
      <c r="AD57" s="13">
        <v>2</v>
      </c>
      <c r="AE57" s="13">
        <v>2</v>
      </c>
      <c r="AF57" s="13">
        <v>2</v>
      </c>
      <c r="AG57" s="13">
        <v>1</v>
      </c>
      <c r="AH57" s="13">
        <v>2</v>
      </c>
      <c r="AI57" s="13">
        <v>1</v>
      </c>
      <c r="AJ57" s="13">
        <v>1</v>
      </c>
      <c r="AK57" s="13">
        <v>1</v>
      </c>
      <c r="AL57" s="13">
        <v>1</v>
      </c>
      <c r="AM57" s="13">
        <v>2</v>
      </c>
      <c r="AN57" s="13">
        <v>2</v>
      </c>
      <c r="AO57" s="13">
        <v>2</v>
      </c>
      <c r="AP57" s="13">
        <v>2</v>
      </c>
      <c r="AQ57" s="13">
        <v>2</v>
      </c>
      <c r="AR57" s="14">
        <v>2</v>
      </c>
      <c r="AS57" s="13">
        <v>2</v>
      </c>
      <c r="AT57" s="13">
        <v>2</v>
      </c>
      <c r="AU57" s="13">
        <v>1</v>
      </c>
      <c r="AV57" s="13">
        <v>1</v>
      </c>
      <c r="AW57" s="13">
        <v>1</v>
      </c>
      <c r="AX57" s="13">
        <v>1</v>
      </c>
      <c r="AY57" s="13">
        <v>1</v>
      </c>
      <c r="AZ57" s="13">
        <v>2</v>
      </c>
      <c r="BA57" s="13">
        <v>2</v>
      </c>
      <c r="BB57" s="13">
        <v>2</v>
      </c>
      <c r="BC57" s="13">
        <v>1</v>
      </c>
      <c r="BD57" s="13">
        <v>1</v>
      </c>
      <c r="BE57" s="13">
        <v>1</v>
      </c>
      <c r="BF57" s="13">
        <v>1</v>
      </c>
      <c r="BG57" s="13">
        <v>1</v>
      </c>
      <c r="BH57" s="13">
        <v>1</v>
      </c>
      <c r="BI57" s="13">
        <v>1</v>
      </c>
      <c r="BJ57" s="13">
        <v>1</v>
      </c>
      <c r="BK57" s="13">
        <v>1</v>
      </c>
      <c r="BL57" s="14">
        <v>2</v>
      </c>
      <c r="BM57" s="13">
        <v>2</v>
      </c>
      <c r="BN57" s="13">
        <v>1</v>
      </c>
      <c r="BO57" s="13">
        <v>1</v>
      </c>
      <c r="BP57" s="13">
        <v>1</v>
      </c>
      <c r="BQ57" s="13">
        <v>1</v>
      </c>
      <c r="BR57" s="13">
        <v>1</v>
      </c>
      <c r="BS57" s="13">
        <v>1</v>
      </c>
      <c r="BT57" s="13">
        <v>2</v>
      </c>
      <c r="BU57" s="13">
        <v>1</v>
      </c>
      <c r="BV57" s="13">
        <v>1</v>
      </c>
      <c r="BW57" s="13">
        <v>2</v>
      </c>
      <c r="BX57" s="13">
        <v>2</v>
      </c>
      <c r="BY57" s="13">
        <v>1</v>
      </c>
      <c r="BZ57" s="13">
        <v>1</v>
      </c>
      <c r="CA57" s="13">
        <v>1</v>
      </c>
      <c r="CB57" s="13">
        <v>1</v>
      </c>
      <c r="CC57" s="13">
        <v>1</v>
      </c>
      <c r="CD57" s="13">
        <v>1</v>
      </c>
      <c r="CE57" s="15">
        <v>1</v>
      </c>
      <c r="CF57" s="13">
        <f t="shared" si="0"/>
        <v>0</v>
      </c>
      <c r="CG57" s="13">
        <f t="shared" si="1"/>
        <v>0</v>
      </c>
      <c r="CH57" s="13">
        <f t="shared" si="2"/>
        <v>0</v>
      </c>
      <c r="CI57" s="13">
        <f t="shared" si="3"/>
        <v>0</v>
      </c>
    </row>
    <row r="58" spans="1:87" x14ac:dyDescent="0.3">
      <c r="A58" t="s">
        <v>18</v>
      </c>
      <c r="B58" s="1">
        <v>56</v>
      </c>
      <c r="C58" s="1" t="s">
        <v>18</v>
      </c>
      <c r="D58" s="13">
        <v>2</v>
      </c>
      <c r="E58" s="13">
        <v>2</v>
      </c>
      <c r="F58" s="13">
        <v>2</v>
      </c>
      <c r="G58" s="13">
        <v>2</v>
      </c>
      <c r="H58" s="13">
        <v>1</v>
      </c>
      <c r="I58" s="13">
        <v>2</v>
      </c>
      <c r="J58" s="13">
        <v>2</v>
      </c>
      <c r="K58" s="13">
        <v>2</v>
      </c>
      <c r="L58" s="13">
        <v>2</v>
      </c>
      <c r="M58" s="13">
        <v>2</v>
      </c>
      <c r="N58" s="13">
        <v>2</v>
      </c>
      <c r="O58" s="13">
        <v>2</v>
      </c>
      <c r="P58" s="13">
        <v>1</v>
      </c>
      <c r="Q58" s="13">
        <v>2</v>
      </c>
      <c r="R58" s="13">
        <v>2</v>
      </c>
      <c r="S58" s="13">
        <v>2</v>
      </c>
      <c r="T58" s="13">
        <v>1</v>
      </c>
      <c r="U58" s="13">
        <v>2</v>
      </c>
      <c r="V58" s="13">
        <v>2</v>
      </c>
      <c r="W58" s="13">
        <v>1</v>
      </c>
      <c r="X58" s="14">
        <v>2</v>
      </c>
      <c r="Y58" s="13">
        <v>2</v>
      </c>
      <c r="Z58" s="13">
        <v>2</v>
      </c>
      <c r="AA58" s="13">
        <v>2</v>
      </c>
      <c r="AB58" s="13">
        <v>2</v>
      </c>
      <c r="AC58" s="13">
        <v>2</v>
      </c>
      <c r="AD58" s="13">
        <v>1</v>
      </c>
      <c r="AE58" s="13">
        <v>2</v>
      </c>
      <c r="AF58" s="13">
        <v>2</v>
      </c>
      <c r="AG58" s="13">
        <v>2</v>
      </c>
      <c r="AH58" s="13">
        <v>2</v>
      </c>
      <c r="AI58" s="13">
        <v>2</v>
      </c>
      <c r="AJ58" s="13">
        <v>2</v>
      </c>
      <c r="AK58" s="13">
        <v>1</v>
      </c>
      <c r="AL58" s="13">
        <v>2</v>
      </c>
      <c r="AM58" s="13">
        <v>2</v>
      </c>
      <c r="AN58" s="13">
        <v>2</v>
      </c>
      <c r="AO58" s="13">
        <v>2</v>
      </c>
      <c r="AP58" s="13">
        <v>2</v>
      </c>
      <c r="AQ58" s="13">
        <v>1</v>
      </c>
      <c r="AR58" s="14">
        <v>2</v>
      </c>
      <c r="AS58" s="13">
        <v>1</v>
      </c>
      <c r="AT58" s="13">
        <v>2</v>
      </c>
      <c r="AU58" s="13">
        <v>1</v>
      </c>
      <c r="AV58" s="13">
        <v>2</v>
      </c>
      <c r="AW58" s="13">
        <v>2</v>
      </c>
      <c r="AX58" s="13">
        <v>2</v>
      </c>
      <c r="AY58" s="13">
        <v>2</v>
      </c>
      <c r="AZ58" s="13">
        <v>2</v>
      </c>
      <c r="BA58" s="13">
        <v>2</v>
      </c>
      <c r="BB58" s="13">
        <v>2</v>
      </c>
      <c r="BC58" s="13">
        <v>2</v>
      </c>
      <c r="BD58" s="13">
        <v>2</v>
      </c>
      <c r="BE58" s="13">
        <v>2</v>
      </c>
      <c r="BF58" s="13">
        <v>2</v>
      </c>
      <c r="BG58" s="13">
        <v>2</v>
      </c>
      <c r="BH58" s="13">
        <v>2</v>
      </c>
      <c r="BI58" s="13">
        <v>2</v>
      </c>
      <c r="BJ58" s="13">
        <v>2</v>
      </c>
      <c r="BK58" s="13">
        <v>2</v>
      </c>
      <c r="BL58" s="14">
        <v>2</v>
      </c>
      <c r="BM58" s="13">
        <v>2</v>
      </c>
      <c r="BN58" s="13">
        <v>2</v>
      </c>
      <c r="BO58" s="13">
        <v>2</v>
      </c>
      <c r="BP58" s="13">
        <v>2</v>
      </c>
      <c r="BQ58" s="13">
        <v>1</v>
      </c>
      <c r="BR58" s="13">
        <v>2</v>
      </c>
      <c r="BS58" s="13">
        <v>2</v>
      </c>
      <c r="BT58" s="13">
        <v>2</v>
      </c>
      <c r="BU58" s="13">
        <v>2</v>
      </c>
      <c r="BV58" s="13">
        <v>2</v>
      </c>
      <c r="BW58" s="13">
        <v>2</v>
      </c>
      <c r="BX58" s="13">
        <v>2</v>
      </c>
      <c r="BY58" s="13">
        <v>2</v>
      </c>
      <c r="BZ58" s="13">
        <v>2</v>
      </c>
      <c r="CA58" s="13">
        <v>2</v>
      </c>
      <c r="CB58" s="13">
        <v>2</v>
      </c>
      <c r="CC58" s="13">
        <v>2</v>
      </c>
      <c r="CD58" s="13">
        <v>2</v>
      </c>
      <c r="CE58" s="15">
        <v>2</v>
      </c>
      <c r="CF58" s="13">
        <f t="shared" si="0"/>
        <v>0</v>
      </c>
      <c r="CG58" s="13">
        <f t="shared" si="1"/>
        <v>0</v>
      </c>
      <c r="CH58" s="13">
        <f t="shared" si="2"/>
        <v>0</v>
      </c>
      <c r="CI58" s="13">
        <f t="shared" si="3"/>
        <v>0</v>
      </c>
    </row>
    <row r="59" spans="1:87" x14ac:dyDescent="0.3">
      <c r="A59" t="s">
        <v>18</v>
      </c>
      <c r="B59" s="1">
        <v>57</v>
      </c>
      <c r="C59" s="1" t="s">
        <v>18</v>
      </c>
      <c r="D59" s="13">
        <v>2</v>
      </c>
      <c r="E59" s="13">
        <v>2</v>
      </c>
      <c r="F59" s="13">
        <v>2</v>
      </c>
      <c r="G59" s="13">
        <v>2</v>
      </c>
      <c r="H59" s="13">
        <v>2</v>
      </c>
      <c r="I59" s="13">
        <v>2</v>
      </c>
      <c r="J59" s="13">
        <v>2</v>
      </c>
      <c r="K59" s="13">
        <v>2</v>
      </c>
      <c r="L59" s="13">
        <v>2</v>
      </c>
      <c r="M59" s="13">
        <v>2</v>
      </c>
      <c r="N59" s="13">
        <v>2</v>
      </c>
      <c r="O59" s="13">
        <v>2</v>
      </c>
      <c r="P59" s="13">
        <v>2</v>
      </c>
      <c r="Q59" s="13">
        <v>2</v>
      </c>
      <c r="R59" s="13">
        <v>2</v>
      </c>
      <c r="S59" s="13">
        <v>2</v>
      </c>
      <c r="T59" s="13">
        <v>2</v>
      </c>
      <c r="U59" s="13">
        <v>2</v>
      </c>
      <c r="V59" s="13">
        <v>2</v>
      </c>
      <c r="W59" s="13">
        <v>2</v>
      </c>
      <c r="X59" s="14">
        <v>2</v>
      </c>
      <c r="Y59" s="13">
        <v>2</v>
      </c>
      <c r="Z59" s="13">
        <v>2</v>
      </c>
      <c r="AA59" s="13">
        <v>2</v>
      </c>
      <c r="AB59" s="13">
        <v>2</v>
      </c>
      <c r="AC59" s="13">
        <v>2</v>
      </c>
      <c r="AD59" s="13">
        <v>2</v>
      </c>
      <c r="AE59" s="13">
        <v>2</v>
      </c>
      <c r="AF59" s="13">
        <v>2</v>
      </c>
      <c r="AG59" s="13">
        <v>2</v>
      </c>
      <c r="AH59" s="13">
        <v>2</v>
      </c>
      <c r="AI59" s="13">
        <v>2</v>
      </c>
      <c r="AJ59" s="13">
        <v>2</v>
      </c>
      <c r="AK59" s="13">
        <v>2</v>
      </c>
      <c r="AL59" s="13">
        <v>2</v>
      </c>
      <c r="AM59" s="13">
        <v>2</v>
      </c>
      <c r="AN59" s="13">
        <v>2</v>
      </c>
      <c r="AO59" s="13">
        <v>2</v>
      </c>
      <c r="AP59" s="13">
        <v>2</v>
      </c>
      <c r="AQ59" s="13">
        <v>2</v>
      </c>
      <c r="AR59" s="14">
        <v>2</v>
      </c>
      <c r="AS59" s="13">
        <v>2</v>
      </c>
      <c r="AT59" s="13">
        <v>2</v>
      </c>
      <c r="AU59" s="13">
        <v>2</v>
      </c>
      <c r="AV59" s="13">
        <v>2</v>
      </c>
      <c r="AW59" s="13">
        <v>2</v>
      </c>
      <c r="AX59" s="13">
        <v>2</v>
      </c>
      <c r="AY59" s="13">
        <v>2</v>
      </c>
      <c r="AZ59" s="13">
        <v>2</v>
      </c>
      <c r="BA59" s="13">
        <v>2</v>
      </c>
      <c r="BB59" s="13">
        <v>2</v>
      </c>
      <c r="BC59" s="13">
        <v>2</v>
      </c>
      <c r="BD59" s="13">
        <v>2</v>
      </c>
      <c r="BE59" s="13">
        <v>2</v>
      </c>
      <c r="BF59" s="13">
        <v>2</v>
      </c>
      <c r="BG59" s="13">
        <v>2</v>
      </c>
      <c r="BH59" s="13">
        <v>2</v>
      </c>
      <c r="BI59" s="13">
        <v>2</v>
      </c>
      <c r="BJ59" s="13">
        <v>2</v>
      </c>
      <c r="BK59" s="13">
        <v>2</v>
      </c>
      <c r="BL59" s="14">
        <v>2</v>
      </c>
      <c r="BM59" s="13">
        <v>2</v>
      </c>
      <c r="BN59" s="13">
        <v>2</v>
      </c>
      <c r="BO59" s="13">
        <v>2</v>
      </c>
      <c r="BP59" s="13">
        <v>2</v>
      </c>
      <c r="BQ59" s="13">
        <v>2</v>
      </c>
      <c r="BR59" s="13">
        <v>2</v>
      </c>
      <c r="BS59" s="13">
        <v>2</v>
      </c>
      <c r="BT59" s="13">
        <v>2</v>
      </c>
      <c r="BU59" s="13">
        <v>2</v>
      </c>
      <c r="BV59" s="13">
        <v>2</v>
      </c>
      <c r="BW59" s="13">
        <v>2</v>
      </c>
      <c r="BX59" s="13">
        <v>2</v>
      </c>
      <c r="BY59" s="13">
        <v>2</v>
      </c>
      <c r="BZ59" s="13">
        <v>2</v>
      </c>
      <c r="CA59" s="13">
        <v>2</v>
      </c>
      <c r="CB59" s="13">
        <v>2</v>
      </c>
      <c r="CC59" s="13">
        <v>2</v>
      </c>
      <c r="CD59" s="13">
        <v>2</v>
      </c>
      <c r="CE59" s="15">
        <v>2</v>
      </c>
      <c r="CF59" s="13">
        <f t="shared" si="0"/>
        <v>0</v>
      </c>
      <c r="CG59" s="13">
        <f t="shared" si="1"/>
        <v>0</v>
      </c>
      <c r="CH59" s="13">
        <f t="shared" si="2"/>
        <v>0</v>
      </c>
      <c r="CI59" s="13">
        <f t="shared" si="3"/>
        <v>0</v>
      </c>
    </row>
    <row r="60" spans="1:87" x14ac:dyDescent="0.3">
      <c r="A60" t="s">
        <v>18</v>
      </c>
      <c r="B60" s="1">
        <v>58</v>
      </c>
      <c r="C60" s="1" t="s">
        <v>18</v>
      </c>
      <c r="D60" s="13">
        <v>2</v>
      </c>
      <c r="E60" s="13">
        <v>1</v>
      </c>
      <c r="F60" s="13">
        <v>1</v>
      </c>
      <c r="G60" s="13">
        <v>2</v>
      </c>
      <c r="H60" s="13">
        <v>1</v>
      </c>
      <c r="I60" s="13">
        <v>2</v>
      </c>
      <c r="J60" s="13">
        <v>1</v>
      </c>
      <c r="K60" s="13">
        <v>2</v>
      </c>
      <c r="L60" s="13">
        <v>2</v>
      </c>
      <c r="M60" s="13">
        <v>2</v>
      </c>
      <c r="N60" s="13">
        <v>2</v>
      </c>
      <c r="O60" s="13">
        <v>1</v>
      </c>
      <c r="P60" s="13">
        <v>2</v>
      </c>
      <c r="Q60" s="13">
        <v>1</v>
      </c>
      <c r="R60" s="13">
        <v>1</v>
      </c>
      <c r="S60" s="13">
        <v>1</v>
      </c>
      <c r="T60" s="13">
        <v>2</v>
      </c>
      <c r="U60" s="13">
        <v>1</v>
      </c>
      <c r="V60" s="13">
        <v>2</v>
      </c>
      <c r="W60" s="13">
        <v>1</v>
      </c>
      <c r="X60" s="14">
        <v>2</v>
      </c>
      <c r="Y60" s="13">
        <v>2</v>
      </c>
      <c r="Z60" s="13">
        <v>2</v>
      </c>
      <c r="AA60" s="13">
        <v>2</v>
      </c>
      <c r="AB60" s="13">
        <v>2</v>
      </c>
      <c r="AC60" s="13">
        <v>2</v>
      </c>
      <c r="AD60" s="13">
        <v>2</v>
      </c>
      <c r="AE60" s="13">
        <v>1</v>
      </c>
      <c r="AF60" s="13">
        <v>2</v>
      </c>
      <c r="AG60" s="13">
        <v>2</v>
      </c>
      <c r="AH60" s="13">
        <v>2</v>
      </c>
      <c r="AI60" s="13">
        <v>2</v>
      </c>
      <c r="AJ60" s="13">
        <v>2</v>
      </c>
      <c r="AK60" s="13">
        <v>2</v>
      </c>
      <c r="AL60" s="13">
        <v>1</v>
      </c>
      <c r="AM60" s="13">
        <v>1</v>
      </c>
      <c r="AN60" s="13">
        <v>1</v>
      </c>
      <c r="AO60" s="13">
        <v>2</v>
      </c>
      <c r="AP60" s="13">
        <v>2</v>
      </c>
      <c r="AQ60" s="13">
        <v>2</v>
      </c>
      <c r="AR60" s="14">
        <v>2</v>
      </c>
      <c r="AS60" s="13">
        <v>2</v>
      </c>
      <c r="AT60" s="13">
        <v>2</v>
      </c>
      <c r="AU60" s="13">
        <v>2</v>
      </c>
      <c r="AV60" s="13">
        <v>2</v>
      </c>
      <c r="AW60" s="13">
        <v>2</v>
      </c>
      <c r="AX60" s="13">
        <v>2</v>
      </c>
      <c r="AY60" s="13">
        <v>1</v>
      </c>
      <c r="AZ60" s="13">
        <v>1</v>
      </c>
      <c r="BA60" s="13">
        <v>2</v>
      </c>
      <c r="BB60" s="13">
        <v>2</v>
      </c>
      <c r="BC60" s="13">
        <v>2</v>
      </c>
      <c r="BD60" s="13">
        <v>2</v>
      </c>
      <c r="BE60" s="13">
        <v>2</v>
      </c>
      <c r="BF60" s="13">
        <v>2</v>
      </c>
      <c r="BG60" s="13">
        <v>2</v>
      </c>
      <c r="BH60" s="13">
        <v>1</v>
      </c>
      <c r="BI60" s="13">
        <v>1</v>
      </c>
      <c r="BJ60" s="13">
        <v>2</v>
      </c>
      <c r="BK60" s="13">
        <v>2</v>
      </c>
      <c r="BL60" s="14">
        <v>2</v>
      </c>
      <c r="BM60" s="13">
        <v>2</v>
      </c>
      <c r="BN60" s="13">
        <v>1</v>
      </c>
      <c r="BO60" s="13">
        <v>2</v>
      </c>
      <c r="BP60" s="13">
        <v>2</v>
      </c>
      <c r="BQ60" s="13">
        <v>1</v>
      </c>
      <c r="BR60" s="13">
        <v>2</v>
      </c>
      <c r="BS60" s="13">
        <v>2</v>
      </c>
      <c r="BT60" s="13">
        <v>1</v>
      </c>
      <c r="BU60" s="13">
        <v>1</v>
      </c>
      <c r="BV60" s="13">
        <v>1</v>
      </c>
      <c r="BW60" s="13">
        <v>2</v>
      </c>
      <c r="BX60" s="13">
        <v>2</v>
      </c>
      <c r="BY60" s="13">
        <v>1</v>
      </c>
      <c r="BZ60" s="13">
        <v>2</v>
      </c>
      <c r="CA60" s="13">
        <v>2</v>
      </c>
      <c r="CB60" s="13">
        <v>2</v>
      </c>
      <c r="CC60" s="13">
        <v>2</v>
      </c>
      <c r="CD60" s="13">
        <v>2</v>
      </c>
      <c r="CE60" s="15">
        <v>2</v>
      </c>
      <c r="CF60" s="13">
        <f t="shared" si="0"/>
        <v>0</v>
      </c>
      <c r="CG60" s="13">
        <f t="shared" si="1"/>
        <v>0</v>
      </c>
      <c r="CH60" s="13">
        <f t="shared" si="2"/>
        <v>0</v>
      </c>
      <c r="CI60" s="13">
        <f t="shared" si="3"/>
        <v>0</v>
      </c>
    </row>
    <row r="61" spans="1:87" x14ac:dyDescent="0.3">
      <c r="A61" t="s">
        <v>18</v>
      </c>
      <c r="B61" s="1">
        <v>59</v>
      </c>
      <c r="C61" s="1" t="s">
        <v>18</v>
      </c>
      <c r="D61" s="13">
        <v>1</v>
      </c>
      <c r="E61" s="13">
        <v>2</v>
      </c>
      <c r="F61" s="13">
        <v>1</v>
      </c>
      <c r="G61" s="13">
        <v>2</v>
      </c>
      <c r="H61" s="13">
        <v>2</v>
      </c>
      <c r="I61" s="13">
        <v>2</v>
      </c>
      <c r="J61" s="13">
        <v>2</v>
      </c>
      <c r="K61" s="13">
        <v>2</v>
      </c>
      <c r="L61" s="13">
        <v>2</v>
      </c>
      <c r="M61" s="13">
        <v>1</v>
      </c>
      <c r="N61" s="13">
        <v>2</v>
      </c>
      <c r="O61" s="13">
        <v>2</v>
      </c>
      <c r="P61" s="13">
        <v>1</v>
      </c>
      <c r="Q61" s="13">
        <v>1</v>
      </c>
      <c r="R61" s="13">
        <v>2</v>
      </c>
      <c r="S61" s="13">
        <v>1</v>
      </c>
      <c r="T61" s="13">
        <v>2</v>
      </c>
      <c r="U61" s="13">
        <v>2</v>
      </c>
      <c r="V61" s="13">
        <v>2</v>
      </c>
      <c r="W61" s="13">
        <v>2</v>
      </c>
      <c r="X61" s="14">
        <v>1</v>
      </c>
      <c r="Y61" s="13">
        <v>1</v>
      </c>
      <c r="Z61" s="13">
        <v>1</v>
      </c>
      <c r="AA61" s="13">
        <v>1</v>
      </c>
      <c r="AB61" s="13">
        <v>1</v>
      </c>
      <c r="AC61" s="13">
        <v>1</v>
      </c>
      <c r="AD61" s="13">
        <v>2</v>
      </c>
      <c r="AE61" s="13">
        <v>2</v>
      </c>
      <c r="AF61" s="13">
        <v>2</v>
      </c>
      <c r="AG61" s="13">
        <v>1</v>
      </c>
      <c r="AH61" s="13">
        <v>1</v>
      </c>
      <c r="AI61" s="13">
        <v>1</v>
      </c>
      <c r="AJ61" s="13">
        <v>1</v>
      </c>
      <c r="AK61" s="13">
        <v>1</v>
      </c>
      <c r="AL61" s="13">
        <v>2</v>
      </c>
      <c r="AM61" s="13">
        <v>2</v>
      </c>
      <c r="AN61" s="13">
        <v>2</v>
      </c>
      <c r="AO61" s="13">
        <v>1</v>
      </c>
      <c r="AP61" s="13">
        <v>2</v>
      </c>
      <c r="AQ61" s="13">
        <v>1</v>
      </c>
      <c r="AR61" s="14">
        <v>1</v>
      </c>
      <c r="AS61" s="13">
        <v>2</v>
      </c>
      <c r="AT61" s="13">
        <v>2</v>
      </c>
      <c r="AU61" s="13">
        <v>1</v>
      </c>
      <c r="AV61" s="13">
        <v>1</v>
      </c>
      <c r="AW61" s="13">
        <v>1</v>
      </c>
      <c r="AX61" s="13">
        <v>1</v>
      </c>
      <c r="AY61" s="13">
        <v>1</v>
      </c>
      <c r="AZ61" s="13">
        <v>1</v>
      </c>
      <c r="BA61" s="13">
        <v>1</v>
      </c>
      <c r="BB61" s="13">
        <v>2</v>
      </c>
      <c r="BC61" s="13">
        <v>1</v>
      </c>
      <c r="BD61" s="13">
        <v>1</v>
      </c>
      <c r="BE61" s="13">
        <v>2</v>
      </c>
      <c r="BF61" s="13">
        <v>2</v>
      </c>
      <c r="BG61" s="13">
        <v>2</v>
      </c>
      <c r="BH61" s="13">
        <v>2</v>
      </c>
      <c r="BI61" s="13">
        <v>1</v>
      </c>
      <c r="BJ61" s="13">
        <v>2</v>
      </c>
      <c r="BK61" s="13">
        <v>1</v>
      </c>
      <c r="BL61" s="14">
        <v>1</v>
      </c>
      <c r="BM61" s="13">
        <v>1</v>
      </c>
      <c r="BN61" s="13">
        <v>1</v>
      </c>
      <c r="BO61" s="13">
        <v>2</v>
      </c>
      <c r="BP61" s="13">
        <v>1</v>
      </c>
      <c r="BQ61" s="13">
        <v>1</v>
      </c>
      <c r="BR61" s="13">
        <v>1</v>
      </c>
      <c r="BS61" s="13">
        <v>1</v>
      </c>
      <c r="BT61" s="13">
        <v>1</v>
      </c>
      <c r="BU61" s="13">
        <v>1</v>
      </c>
      <c r="BV61" s="13">
        <v>1</v>
      </c>
      <c r="BW61" s="13">
        <v>1</v>
      </c>
      <c r="BX61" s="13">
        <v>1</v>
      </c>
      <c r="BY61" s="13">
        <v>2</v>
      </c>
      <c r="BZ61" s="13">
        <v>2</v>
      </c>
      <c r="CA61" s="13">
        <v>2</v>
      </c>
      <c r="CB61" s="13">
        <v>2</v>
      </c>
      <c r="CC61" s="13">
        <v>1</v>
      </c>
      <c r="CD61" s="13">
        <v>1</v>
      </c>
      <c r="CE61" s="15">
        <v>1</v>
      </c>
      <c r="CF61" s="13">
        <f t="shared" si="0"/>
        <v>0</v>
      </c>
      <c r="CG61" s="13">
        <f t="shared" si="1"/>
        <v>0</v>
      </c>
      <c r="CH61" s="13">
        <f t="shared" si="2"/>
        <v>0</v>
      </c>
      <c r="CI61" s="13">
        <f t="shared" si="3"/>
        <v>0</v>
      </c>
    </row>
    <row r="62" spans="1:87" ht="16.2" thickBot="1" x14ac:dyDescent="0.35">
      <c r="A62" t="s">
        <v>18</v>
      </c>
      <c r="B62" s="2">
        <v>60</v>
      </c>
      <c r="C62" s="2" t="s">
        <v>18</v>
      </c>
      <c r="D62" s="19">
        <v>1</v>
      </c>
      <c r="E62" s="19">
        <v>2</v>
      </c>
      <c r="F62" s="19">
        <v>1</v>
      </c>
      <c r="G62" s="19">
        <v>2</v>
      </c>
      <c r="H62" s="19">
        <v>2</v>
      </c>
      <c r="I62" s="19">
        <v>2</v>
      </c>
      <c r="J62" s="19">
        <v>2</v>
      </c>
      <c r="K62" s="19">
        <v>2</v>
      </c>
      <c r="L62" s="19">
        <v>2</v>
      </c>
      <c r="M62" s="19">
        <v>2</v>
      </c>
      <c r="N62" s="19">
        <v>1</v>
      </c>
      <c r="O62" s="19">
        <v>2</v>
      </c>
      <c r="P62" s="19">
        <v>2</v>
      </c>
      <c r="Q62" s="19">
        <v>2</v>
      </c>
      <c r="R62" s="19">
        <v>1</v>
      </c>
      <c r="S62" s="19">
        <v>2</v>
      </c>
      <c r="T62" s="19">
        <v>2</v>
      </c>
      <c r="U62" s="19">
        <v>1</v>
      </c>
      <c r="V62" s="19">
        <v>1</v>
      </c>
      <c r="W62" s="19">
        <v>2</v>
      </c>
      <c r="X62" s="20">
        <v>1</v>
      </c>
      <c r="Y62" s="19">
        <v>2</v>
      </c>
      <c r="Z62" s="19">
        <v>2</v>
      </c>
      <c r="AA62" s="19">
        <v>2</v>
      </c>
      <c r="AB62" s="19">
        <v>2</v>
      </c>
      <c r="AC62" s="19">
        <v>2</v>
      </c>
      <c r="AD62" s="19">
        <v>2</v>
      </c>
      <c r="AE62" s="19">
        <v>1</v>
      </c>
      <c r="AF62" s="19">
        <v>2</v>
      </c>
      <c r="AG62" s="19">
        <v>1</v>
      </c>
      <c r="AH62" s="19">
        <v>1</v>
      </c>
      <c r="AI62" s="19">
        <v>1</v>
      </c>
      <c r="AJ62" s="19">
        <v>2</v>
      </c>
      <c r="AK62" s="19">
        <v>1</v>
      </c>
      <c r="AL62" s="19">
        <v>2</v>
      </c>
      <c r="AM62" s="19">
        <v>2</v>
      </c>
      <c r="AN62" s="19">
        <v>2</v>
      </c>
      <c r="AO62" s="19">
        <v>2</v>
      </c>
      <c r="AP62" s="19">
        <v>2</v>
      </c>
      <c r="AQ62" s="19">
        <v>2</v>
      </c>
      <c r="AR62" s="20">
        <v>2</v>
      </c>
      <c r="AS62" s="19">
        <v>2</v>
      </c>
      <c r="AT62" s="19">
        <v>1</v>
      </c>
      <c r="AU62" s="19">
        <v>2</v>
      </c>
      <c r="AV62" s="19">
        <v>2</v>
      </c>
      <c r="AW62" s="19">
        <v>2</v>
      </c>
      <c r="AX62" s="19">
        <v>2</v>
      </c>
      <c r="AY62" s="19">
        <v>1</v>
      </c>
      <c r="AZ62" s="19">
        <v>1</v>
      </c>
      <c r="BA62" s="19">
        <v>1</v>
      </c>
      <c r="BB62" s="19">
        <v>2</v>
      </c>
      <c r="BC62" s="19">
        <v>2</v>
      </c>
      <c r="BD62" s="19">
        <v>1</v>
      </c>
      <c r="BE62" s="19">
        <v>2</v>
      </c>
      <c r="BF62" s="19">
        <v>2</v>
      </c>
      <c r="BG62" s="19">
        <v>1</v>
      </c>
      <c r="BH62" s="19">
        <v>2</v>
      </c>
      <c r="BI62" s="19">
        <v>2</v>
      </c>
      <c r="BJ62" s="19">
        <v>2</v>
      </c>
      <c r="BK62" s="19">
        <v>2</v>
      </c>
      <c r="BL62" s="20">
        <v>1</v>
      </c>
      <c r="BM62" s="19">
        <v>2</v>
      </c>
      <c r="BN62" s="19">
        <v>2</v>
      </c>
      <c r="BO62" s="19">
        <v>2</v>
      </c>
      <c r="BP62" s="19">
        <v>2</v>
      </c>
      <c r="BQ62" s="19">
        <v>2</v>
      </c>
      <c r="BR62" s="19">
        <v>2</v>
      </c>
      <c r="BS62" s="19">
        <v>2</v>
      </c>
      <c r="BT62" s="19">
        <v>2</v>
      </c>
      <c r="BU62" s="19">
        <v>1</v>
      </c>
      <c r="BV62" s="19">
        <v>2</v>
      </c>
      <c r="BW62" s="19">
        <v>1</v>
      </c>
      <c r="BX62" s="19">
        <v>1</v>
      </c>
      <c r="BY62" s="19">
        <v>2</v>
      </c>
      <c r="BZ62" s="19">
        <v>2</v>
      </c>
      <c r="CA62" s="19">
        <v>2</v>
      </c>
      <c r="CB62" s="19">
        <v>2</v>
      </c>
      <c r="CC62" s="19">
        <v>2</v>
      </c>
      <c r="CD62" s="19">
        <v>2</v>
      </c>
      <c r="CE62" s="21">
        <v>2</v>
      </c>
      <c r="CF62" s="13">
        <f t="shared" si="0"/>
        <v>0</v>
      </c>
      <c r="CG62" s="13">
        <f t="shared" si="1"/>
        <v>0</v>
      </c>
      <c r="CH62" s="13">
        <f t="shared" si="2"/>
        <v>0</v>
      </c>
      <c r="CI62" s="13">
        <f t="shared" si="3"/>
        <v>0</v>
      </c>
    </row>
    <row r="63" spans="1:87" ht="16.2" thickTop="1" x14ac:dyDescent="0.3">
      <c r="A63" t="s">
        <v>19</v>
      </c>
      <c r="B63" s="3">
        <v>61</v>
      </c>
      <c r="C63" s="3" t="s">
        <v>19</v>
      </c>
      <c r="D63" s="13">
        <v>2</v>
      </c>
      <c r="E63" s="13">
        <v>2</v>
      </c>
      <c r="F63" s="13">
        <v>2</v>
      </c>
      <c r="G63" s="13">
        <v>2</v>
      </c>
      <c r="H63" s="13">
        <v>2</v>
      </c>
      <c r="I63" s="13">
        <v>2</v>
      </c>
      <c r="J63" s="13">
        <v>2</v>
      </c>
      <c r="K63" s="13">
        <v>2</v>
      </c>
      <c r="L63" s="13">
        <v>2</v>
      </c>
      <c r="M63" s="13">
        <v>2</v>
      </c>
      <c r="N63" s="13">
        <v>2</v>
      </c>
      <c r="O63" s="13">
        <v>1</v>
      </c>
      <c r="P63" s="13">
        <v>2</v>
      </c>
      <c r="Q63" s="13">
        <v>2</v>
      </c>
      <c r="R63" s="13">
        <v>2</v>
      </c>
      <c r="S63" s="13">
        <v>1</v>
      </c>
      <c r="T63" s="13">
        <v>2</v>
      </c>
      <c r="U63" s="13">
        <v>2</v>
      </c>
      <c r="V63" s="13">
        <v>2</v>
      </c>
      <c r="W63" s="13">
        <v>2</v>
      </c>
      <c r="X63" s="14">
        <v>2</v>
      </c>
      <c r="Y63" s="13">
        <v>2</v>
      </c>
      <c r="Z63" s="13">
        <v>2</v>
      </c>
      <c r="AA63" s="13">
        <v>2</v>
      </c>
      <c r="AB63" s="13">
        <v>2</v>
      </c>
      <c r="AC63" s="13">
        <v>2</v>
      </c>
      <c r="AD63" s="13">
        <v>2</v>
      </c>
      <c r="AE63" s="13">
        <v>2</v>
      </c>
      <c r="AF63" s="13">
        <v>2</v>
      </c>
      <c r="AG63" s="13">
        <v>2</v>
      </c>
      <c r="AH63" s="13">
        <v>2</v>
      </c>
      <c r="AI63" s="13">
        <v>2</v>
      </c>
      <c r="AJ63" s="13">
        <v>2</v>
      </c>
      <c r="AK63" s="13">
        <v>2</v>
      </c>
      <c r="AL63" s="13">
        <v>2</v>
      </c>
      <c r="AM63" s="13">
        <v>2</v>
      </c>
      <c r="AN63" s="13">
        <v>2</v>
      </c>
      <c r="AO63" s="13">
        <v>2</v>
      </c>
      <c r="AP63" s="13">
        <v>2</v>
      </c>
      <c r="AQ63" s="13">
        <v>2</v>
      </c>
      <c r="AR63" s="14">
        <v>1</v>
      </c>
      <c r="AS63" s="13">
        <v>2</v>
      </c>
      <c r="AT63" s="13">
        <v>2</v>
      </c>
      <c r="AU63" s="13">
        <v>2</v>
      </c>
      <c r="AV63" s="13">
        <v>2</v>
      </c>
      <c r="AW63" s="13">
        <v>2</v>
      </c>
      <c r="AX63" s="13">
        <v>2</v>
      </c>
      <c r="AY63" s="13">
        <v>2</v>
      </c>
      <c r="AZ63" s="13">
        <v>2</v>
      </c>
      <c r="BA63" s="13">
        <v>2</v>
      </c>
      <c r="BB63" s="13">
        <v>2</v>
      </c>
      <c r="BC63" s="13">
        <v>2</v>
      </c>
      <c r="BD63" s="13">
        <v>2</v>
      </c>
      <c r="BE63" s="13">
        <v>2</v>
      </c>
      <c r="BF63" s="13">
        <v>2</v>
      </c>
      <c r="BG63" s="13">
        <v>2</v>
      </c>
      <c r="BH63" s="13">
        <v>2</v>
      </c>
      <c r="BI63" s="13">
        <v>2</v>
      </c>
      <c r="BJ63" s="13">
        <v>2</v>
      </c>
      <c r="BK63" s="13">
        <v>1</v>
      </c>
      <c r="BL63" s="14">
        <v>2</v>
      </c>
      <c r="BM63" s="13">
        <v>2</v>
      </c>
      <c r="BN63" s="13">
        <v>2</v>
      </c>
      <c r="BO63" s="13">
        <v>2</v>
      </c>
      <c r="BP63" s="13">
        <v>2</v>
      </c>
      <c r="BQ63" s="13">
        <v>2</v>
      </c>
      <c r="BR63" s="13">
        <v>2</v>
      </c>
      <c r="BS63" s="13">
        <v>2</v>
      </c>
      <c r="BT63" s="13">
        <v>2</v>
      </c>
      <c r="BU63" s="13">
        <v>2</v>
      </c>
      <c r="BV63" s="13">
        <v>2</v>
      </c>
      <c r="BW63" s="13">
        <v>2</v>
      </c>
      <c r="BX63" s="13">
        <v>2</v>
      </c>
      <c r="BY63" s="13">
        <v>2</v>
      </c>
      <c r="BZ63" s="13">
        <v>2</v>
      </c>
      <c r="CA63" s="13">
        <v>2</v>
      </c>
      <c r="CB63" s="13">
        <v>2</v>
      </c>
      <c r="CC63" s="13">
        <v>2</v>
      </c>
      <c r="CD63" s="13">
        <v>2</v>
      </c>
      <c r="CE63" s="15">
        <v>2</v>
      </c>
      <c r="CF63" s="13">
        <f t="shared" si="0"/>
        <v>0</v>
      </c>
      <c r="CG63" s="13">
        <f t="shared" si="1"/>
        <v>0</v>
      </c>
      <c r="CH63" s="13">
        <f t="shared" si="2"/>
        <v>0</v>
      </c>
      <c r="CI63" s="13">
        <f t="shared" si="3"/>
        <v>0</v>
      </c>
    </row>
    <row r="64" spans="1:87" x14ac:dyDescent="0.3">
      <c r="A64" t="s">
        <v>19</v>
      </c>
      <c r="B64" s="1">
        <v>62</v>
      </c>
      <c r="C64" s="1" t="s">
        <v>19</v>
      </c>
      <c r="D64" s="13">
        <v>2</v>
      </c>
      <c r="E64" s="13">
        <v>2</v>
      </c>
      <c r="F64" s="13">
        <v>2</v>
      </c>
      <c r="G64" s="13">
        <v>2</v>
      </c>
      <c r="H64" s="13">
        <v>2</v>
      </c>
      <c r="I64" s="13">
        <v>1</v>
      </c>
      <c r="J64" s="13">
        <v>2</v>
      </c>
      <c r="K64" s="13">
        <v>2</v>
      </c>
      <c r="L64" s="13">
        <v>2</v>
      </c>
      <c r="M64" s="13">
        <v>2</v>
      </c>
      <c r="N64" s="13">
        <v>2</v>
      </c>
      <c r="O64" s="13">
        <v>2</v>
      </c>
      <c r="P64" s="13">
        <v>2</v>
      </c>
      <c r="Q64" s="13">
        <v>2</v>
      </c>
      <c r="R64" s="13">
        <v>2</v>
      </c>
      <c r="S64" s="13">
        <v>2</v>
      </c>
      <c r="T64" s="13">
        <v>2</v>
      </c>
      <c r="U64" s="13">
        <v>2</v>
      </c>
      <c r="V64" s="13">
        <v>2</v>
      </c>
      <c r="W64" s="13">
        <v>2</v>
      </c>
      <c r="X64" s="14">
        <v>2</v>
      </c>
      <c r="Y64" s="13">
        <v>2</v>
      </c>
      <c r="Z64" s="13">
        <v>2</v>
      </c>
      <c r="AA64" s="13">
        <v>2</v>
      </c>
      <c r="AB64" s="13">
        <v>2</v>
      </c>
      <c r="AC64" s="13">
        <v>2</v>
      </c>
      <c r="AD64" s="13">
        <v>2</v>
      </c>
      <c r="AE64" s="13">
        <v>2</v>
      </c>
      <c r="AF64" s="13">
        <v>2</v>
      </c>
      <c r="AG64" s="13">
        <v>2</v>
      </c>
      <c r="AH64" s="13">
        <v>2</v>
      </c>
      <c r="AI64" s="13">
        <v>2</v>
      </c>
      <c r="AJ64" s="13">
        <v>1</v>
      </c>
      <c r="AK64" s="13">
        <v>2</v>
      </c>
      <c r="AL64" s="13">
        <v>2</v>
      </c>
      <c r="AM64" s="13">
        <v>2</v>
      </c>
      <c r="AN64" s="13">
        <v>2</v>
      </c>
      <c r="AO64" s="13">
        <v>2</v>
      </c>
      <c r="AP64" s="13">
        <v>2</v>
      </c>
      <c r="AQ64" s="13">
        <v>2</v>
      </c>
      <c r="AR64" s="14">
        <v>2</v>
      </c>
      <c r="AS64" s="13">
        <v>2</v>
      </c>
      <c r="AT64" s="13">
        <v>2</v>
      </c>
      <c r="AU64" s="13">
        <v>2</v>
      </c>
      <c r="AV64" s="13">
        <v>1</v>
      </c>
      <c r="AW64" s="13">
        <v>2</v>
      </c>
      <c r="AX64" s="13">
        <v>2</v>
      </c>
      <c r="AY64" s="13">
        <v>2</v>
      </c>
      <c r="AZ64" s="13">
        <v>2</v>
      </c>
      <c r="BA64" s="13">
        <v>2</v>
      </c>
      <c r="BB64" s="13">
        <v>2</v>
      </c>
      <c r="BC64" s="13">
        <v>2</v>
      </c>
      <c r="BD64" s="13">
        <v>2</v>
      </c>
      <c r="BE64" s="13">
        <v>2</v>
      </c>
      <c r="BF64" s="13">
        <v>2</v>
      </c>
      <c r="BG64" s="13">
        <v>2</v>
      </c>
      <c r="BH64" s="13">
        <v>2</v>
      </c>
      <c r="BI64" s="13">
        <v>2</v>
      </c>
      <c r="BJ64" s="13">
        <v>1</v>
      </c>
      <c r="BK64" s="13">
        <v>2</v>
      </c>
      <c r="BL64" s="14">
        <v>2</v>
      </c>
      <c r="BM64" s="13">
        <v>2</v>
      </c>
      <c r="BN64" s="13">
        <v>2</v>
      </c>
      <c r="BO64" s="13">
        <v>2</v>
      </c>
      <c r="BP64" s="13">
        <v>2</v>
      </c>
      <c r="BQ64" s="13">
        <v>2</v>
      </c>
      <c r="BR64" s="13">
        <v>2</v>
      </c>
      <c r="BS64" s="13">
        <v>2</v>
      </c>
      <c r="BT64" s="13">
        <v>2</v>
      </c>
      <c r="BU64" s="13">
        <v>2</v>
      </c>
      <c r="BV64" s="13">
        <v>2</v>
      </c>
      <c r="BW64" s="13">
        <v>1</v>
      </c>
      <c r="BX64" s="13">
        <v>2</v>
      </c>
      <c r="BY64" s="13">
        <v>2</v>
      </c>
      <c r="BZ64" s="13">
        <v>2</v>
      </c>
      <c r="CA64" s="13">
        <v>2</v>
      </c>
      <c r="CB64" s="13">
        <v>1</v>
      </c>
      <c r="CC64" s="13">
        <v>2</v>
      </c>
      <c r="CD64" s="13">
        <v>1</v>
      </c>
      <c r="CE64" s="15">
        <v>2</v>
      </c>
      <c r="CF64" s="13">
        <f t="shared" si="0"/>
        <v>0</v>
      </c>
      <c r="CG64" s="13">
        <f t="shared" si="1"/>
        <v>0</v>
      </c>
      <c r="CH64" s="13">
        <f t="shared" si="2"/>
        <v>0</v>
      </c>
      <c r="CI64" s="13">
        <f t="shared" si="3"/>
        <v>0</v>
      </c>
    </row>
    <row r="65" spans="1:87" x14ac:dyDescent="0.3">
      <c r="A65" t="s">
        <v>19</v>
      </c>
      <c r="B65" s="1">
        <v>63</v>
      </c>
      <c r="C65" s="1" t="s">
        <v>19</v>
      </c>
      <c r="D65" s="13">
        <v>2</v>
      </c>
      <c r="E65" s="13">
        <v>1</v>
      </c>
      <c r="F65" s="13">
        <v>2</v>
      </c>
      <c r="G65" s="13">
        <v>2</v>
      </c>
      <c r="H65" s="13">
        <v>2</v>
      </c>
      <c r="I65" s="13">
        <v>2</v>
      </c>
      <c r="J65" s="13">
        <v>2</v>
      </c>
      <c r="K65" s="13">
        <v>1</v>
      </c>
      <c r="L65" s="13">
        <v>1</v>
      </c>
      <c r="M65" s="13">
        <v>2</v>
      </c>
      <c r="N65" s="13">
        <v>1</v>
      </c>
      <c r="O65" s="13">
        <v>2</v>
      </c>
      <c r="P65" s="13">
        <v>2</v>
      </c>
      <c r="Q65" s="13">
        <v>2</v>
      </c>
      <c r="R65" s="13">
        <v>2</v>
      </c>
      <c r="S65" s="13">
        <v>2</v>
      </c>
      <c r="T65" s="13">
        <v>2</v>
      </c>
      <c r="U65" s="13">
        <v>2</v>
      </c>
      <c r="V65" s="13">
        <v>1</v>
      </c>
      <c r="W65" s="13">
        <v>1</v>
      </c>
      <c r="X65" s="14">
        <v>2</v>
      </c>
      <c r="Y65" s="13">
        <v>1</v>
      </c>
      <c r="Z65" s="13">
        <v>2</v>
      </c>
      <c r="AA65" s="13">
        <v>2</v>
      </c>
      <c r="AB65" s="13">
        <v>1</v>
      </c>
      <c r="AC65" s="13">
        <v>2</v>
      </c>
      <c r="AD65" s="13">
        <v>2</v>
      </c>
      <c r="AE65" s="13">
        <v>1</v>
      </c>
      <c r="AF65" s="13">
        <v>2</v>
      </c>
      <c r="AG65" s="13">
        <v>2</v>
      </c>
      <c r="AH65" s="13">
        <v>1</v>
      </c>
      <c r="AI65" s="13">
        <v>2</v>
      </c>
      <c r="AJ65" s="13">
        <v>2</v>
      </c>
      <c r="AK65" s="13">
        <v>2</v>
      </c>
      <c r="AL65" s="13">
        <v>2</v>
      </c>
      <c r="AM65" s="13">
        <v>1</v>
      </c>
      <c r="AN65" s="13">
        <v>2</v>
      </c>
      <c r="AO65" s="13">
        <v>2</v>
      </c>
      <c r="AP65" s="13">
        <v>1</v>
      </c>
      <c r="AQ65" s="13">
        <v>2</v>
      </c>
      <c r="AR65" s="14">
        <v>1</v>
      </c>
      <c r="AS65" s="13">
        <v>1</v>
      </c>
      <c r="AT65" s="13">
        <v>1</v>
      </c>
      <c r="AU65" s="13">
        <v>2</v>
      </c>
      <c r="AV65" s="13">
        <v>1</v>
      </c>
      <c r="AW65" s="13">
        <v>2</v>
      </c>
      <c r="AX65" s="13">
        <v>1</v>
      </c>
      <c r="AY65" s="13">
        <v>2</v>
      </c>
      <c r="AZ65" s="13">
        <v>1</v>
      </c>
      <c r="BA65" s="13">
        <v>1</v>
      </c>
      <c r="BB65" s="13">
        <v>2</v>
      </c>
      <c r="BC65" s="13">
        <v>2</v>
      </c>
      <c r="BD65" s="13">
        <v>2</v>
      </c>
      <c r="BE65" s="13">
        <v>2</v>
      </c>
      <c r="BF65" s="13">
        <v>2</v>
      </c>
      <c r="BG65" s="13">
        <v>1</v>
      </c>
      <c r="BH65" s="13">
        <v>2</v>
      </c>
      <c r="BI65" s="13">
        <v>2</v>
      </c>
      <c r="BJ65" s="13">
        <v>1</v>
      </c>
      <c r="BK65" s="13">
        <v>2</v>
      </c>
      <c r="BL65" s="14">
        <v>2</v>
      </c>
      <c r="BM65" s="13">
        <v>2</v>
      </c>
      <c r="BN65" s="13">
        <v>2</v>
      </c>
      <c r="BO65" s="13">
        <v>2</v>
      </c>
      <c r="BP65" s="13">
        <v>2</v>
      </c>
      <c r="BQ65" s="13">
        <v>2</v>
      </c>
      <c r="BR65" s="13">
        <v>1</v>
      </c>
      <c r="BS65" s="13">
        <v>2</v>
      </c>
      <c r="BT65" s="13">
        <v>2</v>
      </c>
      <c r="BU65" s="13">
        <v>2</v>
      </c>
      <c r="BV65" s="13">
        <v>2</v>
      </c>
      <c r="BW65" s="13">
        <v>2</v>
      </c>
      <c r="BX65" s="13">
        <v>2</v>
      </c>
      <c r="BY65" s="13">
        <v>2</v>
      </c>
      <c r="BZ65" s="13">
        <v>1</v>
      </c>
      <c r="CA65" s="13">
        <v>1</v>
      </c>
      <c r="CB65" s="13">
        <v>2</v>
      </c>
      <c r="CC65" s="13">
        <v>1</v>
      </c>
      <c r="CD65" s="13">
        <v>2</v>
      </c>
      <c r="CE65" s="15">
        <v>2</v>
      </c>
      <c r="CF65" s="13">
        <f t="shared" si="0"/>
        <v>0</v>
      </c>
      <c r="CG65" s="13">
        <f t="shared" si="1"/>
        <v>0</v>
      </c>
      <c r="CH65" s="13">
        <f t="shared" si="2"/>
        <v>0</v>
      </c>
      <c r="CI65" s="13">
        <f t="shared" si="3"/>
        <v>0</v>
      </c>
    </row>
    <row r="66" spans="1:87" x14ac:dyDescent="0.3">
      <c r="A66" t="s">
        <v>19</v>
      </c>
      <c r="B66" s="1">
        <v>64</v>
      </c>
      <c r="C66" s="1" t="s">
        <v>19</v>
      </c>
      <c r="D66" s="13">
        <v>2</v>
      </c>
      <c r="E66" s="13">
        <v>2</v>
      </c>
      <c r="F66" s="13">
        <v>2</v>
      </c>
      <c r="G66" s="13">
        <v>2</v>
      </c>
      <c r="H66" s="13">
        <v>2</v>
      </c>
      <c r="I66" s="13">
        <v>2</v>
      </c>
      <c r="J66" s="13">
        <v>2</v>
      </c>
      <c r="K66" s="13">
        <v>2</v>
      </c>
      <c r="L66" s="13">
        <v>2</v>
      </c>
      <c r="M66" s="13">
        <v>2</v>
      </c>
      <c r="N66" s="13">
        <v>2</v>
      </c>
      <c r="O66" s="13">
        <v>2</v>
      </c>
      <c r="P66" s="13">
        <v>2</v>
      </c>
      <c r="Q66" s="13">
        <v>2</v>
      </c>
      <c r="R66" s="13">
        <v>2</v>
      </c>
      <c r="S66" s="13">
        <v>2</v>
      </c>
      <c r="T66" s="13">
        <v>2</v>
      </c>
      <c r="U66" s="13">
        <v>2</v>
      </c>
      <c r="V66" s="13">
        <v>2</v>
      </c>
      <c r="W66" s="13">
        <v>2</v>
      </c>
      <c r="X66" s="14">
        <v>2</v>
      </c>
      <c r="Y66" s="13">
        <v>1</v>
      </c>
      <c r="Z66" s="13">
        <v>2</v>
      </c>
      <c r="AA66" s="13">
        <v>2</v>
      </c>
      <c r="AB66" s="13">
        <v>2</v>
      </c>
      <c r="AC66" s="13">
        <v>2</v>
      </c>
      <c r="AD66" s="13">
        <v>2</v>
      </c>
      <c r="AE66" s="13">
        <v>1</v>
      </c>
      <c r="AF66" s="13">
        <v>2</v>
      </c>
      <c r="AG66" s="13">
        <v>2</v>
      </c>
      <c r="AH66" s="13">
        <v>2</v>
      </c>
      <c r="AI66" s="13">
        <v>2</v>
      </c>
      <c r="AJ66" s="13">
        <v>2</v>
      </c>
      <c r="AK66" s="13">
        <v>2</v>
      </c>
      <c r="AL66" s="13">
        <v>2</v>
      </c>
      <c r="AM66" s="13">
        <v>1</v>
      </c>
      <c r="AN66" s="13">
        <v>2</v>
      </c>
      <c r="AO66" s="13">
        <v>2</v>
      </c>
      <c r="AP66" s="13">
        <v>2</v>
      </c>
      <c r="AQ66" s="13">
        <v>2</v>
      </c>
      <c r="AR66" s="14">
        <v>2</v>
      </c>
      <c r="AS66" s="13">
        <v>1</v>
      </c>
      <c r="AT66" s="13">
        <v>2</v>
      </c>
      <c r="AU66" s="13">
        <v>1</v>
      </c>
      <c r="AV66" s="13">
        <v>2</v>
      </c>
      <c r="AW66" s="13">
        <v>2</v>
      </c>
      <c r="AX66" s="13">
        <v>1</v>
      </c>
      <c r="AY66" s="13">
        <v>2</v>
      </c>
      <c r="AZ66" s="13">
        <v>2</v>
      </c>
      <c r="BA66" s="13">
        <v>2</v>
      </c>
      <c r="BB66" s="13">
        <v>2</v>
      </c>
      <c r="BC66" s="13">
        <v>1</v>
      </c>
      <c r="BD66" s="13">
        <v>2</v>
      </c>
      <c r="BE66" s="13">
        <v>2</v>
      </c>
      <c r="BF66" s="13">
        <v>2</v>
      </c>
      <c r="BG66" s="13">
        <v>2</v>
      </c>
      <c r="BH66" s="13">
        <v>2</v>
      </c>
      <c r="BI66" s="13">
        <v>1</v>
      </c>
      <c r="BJ66" s="13">
        <v>2</v>
      </c>
      <c r="BK66" s="13">
        <v>1</v>
      </c>
      <c r="BL66" s="14">
        <v>2</v>
      </c>
      <c r="BM66" s="13">
        <v>2</v>
      </c>
      <c r="BN66" s="13">
        <v>2</v>
      </c>
      <c r="BO66" s="13">
        <v>1</v>
      </c>
      <c r="BP66" s="13">
        <v>2</v>
      </c>
      <c r="BQ66" s="13">
        <v>1</v>
      </c>
      <c r="BR66" s="13">
        <v>2</v>
      </c>
      <c r="BS66" s="13">
        <v>2</v>
      </c>
      <c r="BT66" s="13">
        <v>1</v>
      </c>
      <c r="BU66" s="13">
        <v>2</v>
      </c>
      <c r="BV66" s="13">
        <v>2</v>
      </c>
      <c r="BW66" s="13">
        <v>1</v>
      </c>
      <c r="BX66" s="13">
        <v>2</v>
      </c>
      <c r="BY66" s="13">
        <v>2</v>
      </c>
      <c r="BZ66" s="13">
        <v>2</v>
      </c>
      <c r="CA66" s="13">
        <v>2</v>
      </c>
      <c r="CB66" s="13">
        <v>2</v>
      </c>
      <c r="CC66" s="13">
        <v>2</v>
      </c>
      <c r="CD66" s="13">
        <v>2</v>
      </c>
      <c r="CE66" s="15">
        <v>2</v>
      </c>
      <c r="CF66" s="13">
        <f t="shared" si="0"/>
        <v>0</v>
      </c>
      <c r="CG66" s="13">
        <f t="shared" si="1"/>
        <v>0</v>
      </c>
      <c r="CH66" s="13">
        <f t="shared" si="2"/>
        <v>0</v>
      </c>
      <c r="CI66" s="13">
        <f t="shared" si="3"/>
        <v>0</v>
      </c>
    </row>
    <row r="67" spans="1:87" x14ac:dyDescent="0.3">
      <c r="A67" t="s">
        <v>19</v>
      </c>
      <c r="B67" s="1">
        <v>65</v>
      </c>
      <c r="C67" s="1" t="s">
        <v>19</v>
      </c>
      <c r="D67" s="13">
        <v>2</v>
      </c>
      <c r="E67" s="13">
        <v>2</v>
      </c>
      <c r="F67" s="13">
        <v>2</v>
      </c>
      <c r="G67" s="13">
        <v>2</v>
      </c>
      <c r="H67" s="13">
        <v>2</v>
      </c>
      <c r="I67" s="13">
        <v>2</v>
      </c>
      <c r="J67" s="13">
        <v>2</v>
      </c>
      <c r="K67" s="13">
        <v>2</v>
      </c>
      <c r="L67" s="13">
        <v>2</v>
      </c>
      <c r="M67" s="13">
        <v>2</v>
      </c>
      <c r="N67" s="13">
        <v>2</v>
      </c>
      <c r="O67" s="13">
        <v>2</v>
      </c>
      <c r="P67" s="13">
        <v>2</v>
      </c>
      <c r="Q67" s="13">
        <v>2</v>
      </c>
      <c r="R67" s="13">
        <v>2</v>
      </c>
      <c r="S67" s="13">
        <v>2</v>
      </c>
      <c r="T67" s="13">
        <v>2</v>
      </c>
      <c r="U67" s="13">
        <v>2</v>
      </c>
      <c r="V67" s="13">
        <v>2</v>
      </c>
      <c r="W67" s="13">
        <v>2</v>
      </c>
      <c r="X67" s="14">
        <v>2</v>
      </c>
      <c r="Y67" s="13">
        <v>2</v>
      </c>
      <c r="Z67" s="13">
        <v>2</v>
      </c>
      <c r="AA67" s="13">
        <v>2</v>
      </c>
      <c r="AB67" s="13">
        <v>1</v>
      </c>
      <c r="AC67" s="13">
        <v>1</v>
      </c>
      <c r="AD67" s="13">
        <v>2</v>
      </c>
      <c r="AE67" s="13">
        <v>2</v>
      </c>
      <c r="AF67" s="13">
        <v>2</v>
      </c>
      <c r="AG67" s="13">
        <v>2</v>
      </c>
      <c r="AH67" s="13">
        <v>2</v>
      </c>
      <c r="AI67" s="13">
        <v>2</v>
      </c>
      <c r="AJ67" s="13">
        <v>2</v>
      </c>
      <c r="AK67" s="13">
        <v>2</v>
      </c>
      <c r="AL67" s="13">
        <v>2</v>
      </c>
      <c r="AM67" s="13">
        <v>2</v>
      </c>
      <c r="AN67" s="13">
        <v>2</v>
      </c>
      <c r="AO67" s="13">
        <v>2</v>
      </c>
      <c r="AP67" s="13">
        <v>2</v>
      </c>
      <c r="AQ67" s="13">
        <v>2</v>
      </c>
      <c r="AR67" s="14">
        <v>1</v>
      </c>
      <c r="AS67" s="13">
        <v>2</v>
      </c>
      <c r="AT67" s="13">
        <v>2</v>
      </c>
      <c r="AU67" s="13">
        <v>2</v>
      </c>
      <c r="AV67" s="13">
        <v>2</v>
      </c>
      <c r="AW67" s="13">
        <v>2</v>
      </c>
      <c r="AX67" s="13">
        <v>2</v>
      </c>
      <c r="AY67" s="13">
        <v>2</v>
      </c>
      <c r="AZ67" s="13">
        <v>2</v>
      </c>
      <c r="BA67" s="13">
        <v>2</v>
      </c>
      <c r="BB67" s="13">
        <v>2</v>
      </c>
      <c r="BC67" s="13">
        <v>2</v>
      </c>
      <c r="BD67" s="13">
        <v>2</v>
      </c>
      <c r="BE67" s="13">
        <v>2</v>
      </c>
      <c r="BF67" s="13">
        <v>1</v>
      </c>
      <c r="BG67" s="13">
        <v>2</v>
      </c>
      <c r="BH67" s="13">
        <v>2</v>
      </c>
      <c r="BI67" s="13">
        <v>2</v>
      </c>
      <c r="BJ67" s="13">
        <v>2</v>
      </c>
      <c r="BK67" s="13">
        <v>2</v>
      </c>
      <c r="BL67" s="14">
        <v>2</v>
      </c>
      <c r="BM67" s="13">
        <v>1</v>
      </c>
      <c r="BN67" s="13">
        <v>2</v>
      </c>
      <c r="BO67" s="13">
        <v>2</v>
      </c>
      <c r="BP67" s="13">
        <v>1</v>
      </c>
      <c r="BQ67" s="13">
        <v>2</v>
      </c>
      <c r="BR67" s="13">
        <v>2</v>
      </c>
      <c r="BS67" s="13">
        <v>2</v>
      </c>
      <c r="BT67" s="13">
        <v>2</v>
      </c>
      <c r="BU67" s="13">
        <v>2</v>
      </c>
      <c r="BV67" s="13">
        <v>2</v>
      </c>
      <c r="BW67" s="13">
        <v>2</v>
      </c>
      <c r="BX67" s="13">
        <v>2</v>
      </c>
      <c r="BY67" s="13">
        <v>2</v>
      </c>
      <c r="BZ67" s="13">
        <v>2</v>
      </c>
      <c r="CA67" s="13">
        <v>2</v>
      </c>
      <c r="CB67" s="13">
        <v>1</v>
      </c>
      <c r="CC67" s="13">
        <v>2</v>
      </c>
      <c r="CD67" s="13">
        <v>2</v>
      </c>
      <c r="CE67" s="15">
        <v>2</v>
      </c>
      <c r="CF67" s="13">
        <f t="shared" si="0"/>
        <v>0</v>
      </c>
      <c r="CG67" s="13">
        <f t="shared" si="1"/>
        <v>0</v>
      </c>
      <c r="CH67" s="13">
        <f t="shared" si="2"/>
        <v>0</v>
      </c>
      <c r="CI67" s="13">
        <f t="shared" si="3"/>
        <v>0</v>
      </c>
    </row>
    <row r="68" spans="1:87" x14ac:dyDescent="0.3">
      <c r="A68" t="s">
        <v>19</v>
      </c>
      <c r="B68" s="1">
        <v>66</v>
      </c>
      <c r="C68" s="1" t="s">
        <v>19</v>
      </c>
      <c r="D68" s="13">
        <v>2</v>
      </c>
      <c r="E68" s="13">
        <v>2</v>
      </c>
      <c r="F68" s="13">
        <v>2</v>
      </c>
      <c r="G68" s="13">
        <v>2</v>
      </c>
      <c r="H68" s="13">
        <v>2</v>
      </c>
      <c r="I68" s="13">
        <v>2</v>
      </c>
      <c r="J68" s="13">
        <v>2</v>
      </c>
      <c r="K68" s="13">
        <v>2</v>
      </c>
      <c r="L68" s="13">
        <v>2</v>
      </c>
      <c r="M68" s="13">
        <v>2</v>
      </c>
      <c r="N68" s="13">
        <v>1</v>
      </c>
      <c r="O68" s="13">
        <v>2</v>
      </c>
      <c r="P68" s="13">
        <v>2</v>
      </c>
      <c r="Q68" s="13">
        <v>2</v>
      </c>
      <c r="R68" s="13">
        <v>1</v>
      </c>
      <c r="S68" s="13">
        <v>1</v>
      </c>
      <c r="T68" s="13">
        <v>2</v>
      </c>
      <c r="U68" s="13">
        <v>2</v>
      </c>
      <c r="V68" s="13">
        <v>2</v>
      </c>
      <c r="W68" s="13">
        <v>2</v>
      </c>
      <c r="X68" s="14">
        <v>2</v>
      </c>
      <c r="Y68" s="13">
        <v>2</v>
      </c>
      <c r="Z68" s="13">
        <v>2</v>
      </c>
      <c r="AA68" s="13">
        <v>2</v>
      </c>
      <c r="AB68" s="13">
        <v>2</v>
      </c>
      <c r="AC68" s="13">
        <v>1</v>
      </c>
      <c r="AD68" s="13">
        <v>2</v>
      </c>
      <c r="AE68" s="13">
        <v>2</v>
      </c>
      <c r="AF68" s="13">
        <v>1</v>
      </c>
      <c r="AG68" s="13">
        <v>2</v>
      </c>
      <c r="AH68" s="13">
        <v>1</v>
      </c>
      <c r="AI68" s="13">
        <v>1</v>
      </c>
      <c r="AJ68" s="13">
        <v>2</v>
      </c>
      <c r="AK68" s="13">
        <v>1</v>
      </c>
      <c r="AL68" s="13">
        <v>2</v>
      </c>
      <c r="AM68" s="13">
        <v>2</v>
      </c>
      <c r="AN68" s="13">
        <v>2</v>
      </c>
      <c r="AO68" s="13">
        <v>2</v>
      </c>
      <c r="AP68" s="13">
        <v>2</v>
      </c>
      <c r="AQ68" s="13">
        <v>2</v>
      </c>
      <c r="AR68" s="14">
        <v>2</v>
      </c>
      <c r="AS68" s="13">
        <v>1</v>
      </c>
      <c r="AT68" s="13">
        <v>2</v>
      </c>
      <c r="AU68" s="13">
        <v>2</v>
      </c>
      <c r="AV68" s="13">
        <v>2</v>
      </c>
      <c r="AW68" s="13">
        <v>2</v>
      </c>
      <c r="AX68" s="13">
        <v>2</v>
      </c>
      <c r="AY68" s="13">
        <v>1</v>
      </c>
      <c r="AZ68" s="13">
        <v>2</v>
      </c>
      <c r="BA68" s="13">
        <v>2</v>
      </c>
      <c r="BB68" s="13">
        <v>2</v>
      </c>
      <c r="BC68" s="13">
        <v>2</v>
      </c>
      <c r="BD68" s="13">
        <v>2</v>
      </c>
      <c r="BE68" s="13">
        <v>2</v>
      </c>
      <c r="BF68" s="13">
        <v>2</v>
      </c>
      <c r="BG68" s="13">
        <v>2</v>
      </c>
      <c r="BH68" s="13">
        <v>2</v>
      </c>
      <c r="BI68" s="13">
        <v>2</v>
      </c>
      <c r="BJ68" s="13">
        <v>2</v>
      </c>
      <c r="BK68" s="13">
        <v>2</v>
      </c>
      <c r="BL68" s="14">
        <v>2</v>
      </c>
      <c r="BM68" s="13">
        <v>2</v>
      </c>
      <c r="BN68" s="13">
        <v>1</v>
      </c>
      <c r="BO68" s="13">
        <v>2</v>
      </c>
      <c r="BP68" s="13">
        <v>2</v>
      </c>
      <c r="BQ68" s="13">
        <v>1</v>
      </c>
      <c r="BR68" s="13">
        <v>1</v>
      </c>
      <c r="BS68" s="13">
        <v>1</v>
      </c>
      <c r="BT68" s="13">
        <v>2</v>
      </c>
      <c r="BU68" s="13">
        <v>2</v>
      </c>
      <c r="BV68" s="13">
        <v>2</v>
      </c>
      <c r="BW68" s="13">
        <v>2</v>
      </c>
      <c r="BX68" s="13">
        <v>1</v>
      </c>
      <c r="BY68" s="13">
        <v>2</v>
      </c>
      <c r="BZ68" s="13">
        <v>2</v>
      </c>
      <c r="CA68" s="13">
        <v>2</v>
      </c>
      <c r="CB68" s="13">
        <v>2</v>
      </c>
      <c r="CC68" s="13">
        <v>1</v>
      </c>
      <c r="CD68" s="13">
        <v>2</v>
      </c>
      <c r="CE68" s="15">
        <v>2</v>
      </c>
      <c r="CF68" s="13">
        <f t="shared" ref="CF68:CF78" si="5">COUNTIF(D68:W68,0)</f>
        <v>0</v>
      </c>
      <c r="CG68" s="13">
        <f t="shared" ref="CG68:CG78" si="6">COUNTIF(X68:AQ68,0)</f>
        <v>0</v>
      </c>
      <c r="CH68" s="13">
        <f t="shared" ref="CH68:CH78" si="7">COUNTIF(AR68:BK68,0)</f>
        <v>0</v>
      </c>
      <c r="CI68" s="13">
        <f t="shared" ref="CI68:CI78" si="8">COUNTIF(BL68:CE68,0)</f>
        <v>0</v>
      </c>
    </row>
    <row r="69" spans="1:87" ht="16.2" thickBot="1" x14ac:dyDescent="0.35">
      <c r="A69" t="s">
        <v>19</v>
      </c>
      <c r="B69" s="2">
        <v>67</v>
      </c>
      <c r="C69" s="2" t="s">
        <v>19</v>
      </c>
      <c r="D69" s="19">
        <v>1</v>
      </c>
      <c r="E69" s="19">
        <v>2</v>
      </c>
      <c r="F69" s="19">
        <v>2</v>
      </c>
      <c r="G69" s="19">
        <v>2</v>
      </c>
      <c r="H69" s="19">
        <v>2</v>
      </c>
      <c r="I69" s="19">
        <v>2</v>
      </c>
      <c r="J69" s="19">
        <v>2</v>
      </c>
      <c r="K69" s="19">
        <v>2</v>
      </c>
      <c r="L69" s="19">
        <v>2</v>
      </c>
      <c r="M69" s="19">
        <v>2</v>
      </c>
      <c r="N69" s="19">
        <v>2</v>
      </c>
      <c r="O69" s="19">
        <v>1</v>
      </c>
      <c r="P69" s="19">
        <v>2</v>
      </c>
      <c r="Q69" s="19">
        <v>2</v>
      </c>
      <c r="R69" s="19">
        <v>2</v>
      </c>
      <c r="S69" s="19">
        <v>2</v>
      </c>
      <c r="T69" s="19">
        <v>2</v>
      </c>
      <c r="U69" s="19">
        <v>2</v>
      </c>
      <c r="V69" s="19">
        <v>2</v>
      </c>
      <c r="W69" s="19">
        <v>2</v>
      </c>
      <c r="X69" s="20">
        <v>2</v>
      </c>
      <c r="Y69" s="19">
        <v>2</v>
      </c>
      <c r="Z69" s="19">
        <v>2</v>
      </c>
      <c r="AA69" s="19">
        <v>2</v>
      </c>
      <c r="AB69" s="19">
        <v>2</v>
      </c>
      <c r="AC69" s="19">
        <v>2</v>
      </c>
      <c r="AD69" s="19">
        <v>2</v>
      </c>
      <c r="AE69" s="19">
        <v>2</v>
      </c>
      <c r="AF69" s="19">
        <v>2</v>
      </c>
      <c r="AG69" s="19">
        <v>2</v>
      </c>
      <c r="AH69" s="19">
        <v>1</v>
      </c>
      <c r="AI69" s="19">
        <v>2</v>
      </c>
      <c r="AJ69" s="19">
        <v>2</v>
      </c>
      <c r="AK69" s="19">
        <v>2</v>
      </c>
      <c r="AL69" s="19">
        <v>2</v>
      </c>
      <c r="AM69" s="19">
        <v>2</v>
      </c>
      <c r="AN69" s="19">
        <v>2</v>
      </c>
      <c r="AO69" s="19">
        <v>2</v>
      </c>
      <c r="AP69" s="19">
        <v>2</v>
      </c>
      <c r="AQ69" s="19">
        <v>1</v>
      </c>
      <c r="AR69" s="20">
        <v>2</v>
      </c>
      <c r="AS69" s="19">
        <v>1</v>
      </c>
      <c r="AT69" s="19">
        <v>2</v>
      </c>
      <c r="AU69" s="19">
        <v>2</v>
      </c>
      <c r="AV69" s="19">
        <v>1</v>
      </c>
      <c r="AW69" s="19">
        <v>2</v>
      </c>
      <c r="AX69" s="19">
        <v>2</v>
      </c>
      <c r="AY69" s="19">
        <v>2</v>
      </c>
      <c r="AZ69" s="19">
        <v>1</v>
      </c>
      <c r="BA69" s="19">
        <v>1</v>
      </c>
      <c r="BB69" s="19">
        <v>2</v>
      </c>
      <c r="BC69" s="19">
        <v>2</v>
      </c>
      <c r="BD69" s="19">
        <v>2</v>
      </c>
      <c r="BE69" s="19">
        <v>2</v>
      </c>
      <c r="BF69" s="19">
        <v>2</v>
      </c>
      <c r="BG69" s="19">
        <v>2</v>
      </c>
      <c r="BH69" s="19">
        <v>2</v>
      </c>
      <c r="BI69" s="19">
        <v>2</v>
      </c>
      <c r="BJ69" s="19">
        <v>2</v>
      </c>
      <c r="BK69" s="19">
        <v>2</v>
      </c>
      <c r="BL69" s="20">
        <v>1</v>
      </c>
      <c r="BM69" s="19">
        <v>2</v>
      </c>
      <c r="BN69" s="19">
        <v>1</v>
      </c>
      <c r="BO69" s="19">
        <v>2</v>
      </c>
      <c r="BP69" s="19">
        <v>1</v>
      </c>
      <c r="BQ69" s="19">
        <v>2</v>
      </c>
      <c r="BR69" s="19">
        <v>2</v>
      </c>
      <c r="BS69" s="19">
        <v>2</v>
      </c>
      <c r="BT69" s="19">
        <v>1</v>
      </c>
      <c r="BU69" s="19">
        <v>2</v>
      </c>
      <c r="BV69" s="19">
        <v>1</v>
      </c>
      <c r="BW69" s="19">
        <v>2</v>
      </c>
      <c r="BX69" s="19">
        <v>1</v>
      </c>
      <c r="BY69" s="19">
        <v>2</v>
      </c>
      <c r="BZ69" s="19">
        <v>1</v>
      </c>
      <c r="CA69" s="19">
        <v>2</v>
      </c>
      <c r="CB69" s="19">
        <v>1</v>
      </c>
      <c r="CC69" s="19">
        <v>2</v>
      </c>
      <c r="CD69" s="19">
        <v>2</v>
      </c>
      <c r="CE69" s="21">
        <v>2</v>
      </c>
      <c r="CF69" s="13">
        <f t="shared" si="5"/>
        <v>0</v>
      </c>
      <c r="CG69" s="13">
        <f t="shared" si="6"/>
        <v>0</v>
      </c>
      <c r="CH69" s="13">
        <f t="shared" si="7"/>
        <v>0</v>
      </c>
      <c r="CI69" s="13">
        <f t="shared" si="8"/>
        <v>0</v>
      </c>
    </row>
    <row r="70" spans="1:87" ht="16.2" thickTop="1" x14ac:dyDescent="0.3">
      <c r="A70" t="s">
        <v>20</v>
      </c>
      <c r="B70" s="3">
        <v>68</v>
      </c>
      <c r="C70" s="3" t="s">
        <v>20</v>
      </c>
      <c r="D70" s="13">
        <v>2</v>
      </c>
      <c r="E70" s="13">
        <v>2</v>
      </c>
      <c r="F70" s="13">
        <v>2</v>
      </c>
      <c r="G70" s="13">
        <v>2</v>
      </c>
      <c r="H70" s="13">
        <v>2</v>
      </c>
      <c r="I70" s="13">
        <v>2</v>
      </c>
      <c r="J70" s="13">
        <v>2</v>
      </c>
      <c r="K70" s="13">
        <v>2</v>
      </c>
      <c r="L70" s="13">
        <v>2</v>
      </c>
      <c r="M70" s="13">
        <v>2</v>
      </c>
      <c r="N70" s="13">
        <v>2</v>
      </c>
      <c r="O70" s="13">
        <v>2</v>
      </c>
      <c r="P70" s="13">
        <v>2</v>
      </c>
      <c r="Q70" s="13">
        <v>2</v>
      </c>
      <c r="R70" s="13">
        <v>2</v>
      </c>
      <c r="S70" s="13">
        <v>2</v>
      </c>
      <c r="T70" s="13">
        <v>2</v>
      </c>
      <c r="U70" s="13">
        <v>2</v>
      </c>
      <c r="V70" s="13">
        <v>2</v>
      </c>
      <c r="W70" s="13">
        <v>2</v>
      </c>
      <c r="X70" s="14">
        <v>1</v>
      </c>
      <c r="Y70" s="13">
        <v>2</v>
      </c>
      <c r="Z70" s="13">
        <v>2</v>
      </c>
      <c r="AA70" s="13">
        <v>2</v>
      </c>
      <c r="AB70" s="13">
        <v>2</v>
      </c>
      <c r="AC70" s="13">
        <v>2</v>
      </c>
      <c r="AD70" s="13">
        <v>2</v>
      </c>
      <c r="AE70" s="13">
        <v>2</v>
      </c>
      <c r="AF70" s="13">
        <v>2</v>
      </c>
      <c r="AG70" s="13">
        <v>2</v>
      </c>
      <c r="AH70" s="13">
        <v>1</v>
      </c>
      <c r="AI70" s="13">
        <v>2</v>
      </c>
      <c r="AJ70" s="13">
        <v>2</v>
      </c>
      <c r="AK70" s="13">
        <v>2</v>
      </c>
      <c r="AL70" s="13">
        <v>2</v>
      </c>
      <c r="AM70" s="13">
        <v>2</v>
      </c>
      <c r="AN70" s="13">
        <v>2</v>
      </c>
      <c r="AO70" s="13">
        <v>2</v>
      </c>
      <c r="AP70" s="13">
        <v>2</v>
      </c>
      <c r="AQ70" s="13">
        <v>2</v>
      </c>
      <c r="AR70" s="14">
        <v>2</v>
      </c>
      <c r="AS70" s="13">
        <v>2</v>
      </c>
      <c r="AT70" s="13">
        <v>2</v>
      </c>
      <c r="AU70" s="13">
        <v>2</v>
      </c>
      <c r="AV70" s="13">
        <v>2</v>
      </c>
      <c r="AW70" s="13">
        <v>2</v>
      </c>
      <c r="AX70" s="13">
        <v>2</v>
      </c>
      <c r="AY70" s="13">
        <v>2</v>
      </c>
      <c r="AZ70" s="13">
        <v>2</v>
      </c>
      <c r="BA70" s="13">
        <v>2</v>
      </c>
      <c r="BB70" s="13">
        <v>2</v>
      </c>
      <c r="BC70" s="13">
        <v>1</v>
      </c>
      <c r="BD70" s="13">
        <v>2</v>
      </c>
      <c r="BE70" s="13">
        <v>2</v>
      </c>
      <c r="BF70" s="13">
        <v>2</v>
      </c>
      <c r="BG70" s="13">
        <v>2</v>
      </c>
      <c r="BH70" s="13">
        <v>2</v>
      </c>
      <c r="BI70" s="13">
        <v>2</v>
      </c>
      <c r="BJ70" s="13">
        <v>2</v>
      </c>
      <c r="BK70" s="13">
        <v>2</v>
      </c>
      <c r="BL70" s="14">
        <v>2</v>
      </c>
      <c r="BM70" s="13">
        <v>2</v>
      </c>
      <c r="BN70" s="13">
        <v>2</v>
      </c>
      <c r="BO70" s="13">
        <v>2</v>
      </c>
      <c r="BP70" s="13">
        <v>2</v>
      </c>
      <c r="BQ70" s="13">
        <v>2</v>
      </c>
      <c r="BR70" s="13">
        <v>2</v>
      </c>
      <c r="BS70" s="13">
        <v>2</v>
      </c>
      <c r="BT70" s="13">
        <v>2</v>
      </c>
      <c r="BU70" s="13">
        <v>2</v>
      </c>
      <c r="BV70" s="13">
        <v>2</v>
      </c>
      <c r="BW70" s="13">
        <v>2</v>
      </c>
      <c r="BX70" s="13">
        <v>2</v>
      </c>
      <c r="BY70" s="13">
        <v>2</v>
      </c>
      <c r="BZ70" s="13">
        <v>2</v>
      </c>
      <c r="CA70" s="13">
        <v>2</v>
      </c>
      <c r="CB70" s="13">
        <v>2</v>
      </c>
      <c r="CC70" s="13">
        <v>2</v>
      </c>
      <c r="CD70" s="13">
        <v>2</v>
      </c>
      <c r="CE70" s="15">
        <v>2</v>
      </c>
      <c r="CF70" s="13">
        <f t="shared" si="5"/>
        <v>0</v>
      </c>
      <c r="CG70" s="13">
        <f t="shared" si="6"/>
        <v>0</v>
      </c>
      <c r="CH70" s="13">
        <f t="shared" si="7"/>
        <v>0</v>
      </c>
      <c r="CI70" s="13">
        <f t="shared" si="8"/>
        <v>0</v>
      </c>
    </row>
    <row r="71" spans="1:87" x14ac:dyDescent="0.3">
      <c r="A71" t="s">
        <v>20</v>
      </c>
      <c r="B71" s="1">
        <v>69</v>
      </c>
      <c r="C71" s="1" t="s">
        <v>20</v>
      </c>
      <c r="D71" s="13">
        <v>2</v>
      </c>
      <c r="E71" s="13">
        <v>2</v>
      </c>
      <c r="F71" s="13">
        <v>2</v>
      </c>
      <c r="G71" s="13">
        <v>2</v>
      </c>
      <c r="H71" s="13">
        <v>2</v>
      </c>
      <c r="I71" s="13">
        <v>2</v>
      </c>
      <c r="J71" s="13">
        <v>2</v>
      </c>
      <c r="K71" s="13">
        <v>2</v>
      </c>
      <c r="L71" s="13">
        <v>2</v>
      </c>
      <c r="M71" s="13">
        <v>2</v>
      </c>
      <c r="N71" s="13">
        <v>2</v>
      </c>
      <c r="O71" s="13">
        <v>2</v>
      </c>
      <c r="P71" s="13">
        <v>2</v>
      </c>
      <c r="Q71" s="13">
        <v>2</v>
      </c>
      <c r="R71" s="13">
        <v>2</v>
      </c>
      <c r="S71" s="13">
        <v>2</v>
      </c>
      <c r="T71" s="13">
        <v>1</v>
      </c>
      <c r="U71" s="13">
        <v>2</v>
      </c>
      <c r="V71" s="13">
        <v>2</v>
      </c>
      <c r="W71" s="13">
        <v>2</v>
      </c>
      <c r="X71" s="14">
        <v>1</v>
      </c>
      <c r="Y71" s="13">
        <v>1</v>
      </c>
      <c r="Z71" s="13">
        <v>2</v>
      </c>
      <c r="AA71" s="13">
        <v>2</v>
      </c>
      <c r="AB71" s="13">
        <v>2</v>
      </c>
      <c r="AC71" s="13">
        <v>1</v>
      </c>
      <c r="AD71" s="13">
        <v>1</v>
      </c>
      <c r="AE71" s="13">
        <v>2</v>
      </c>
      <c r="AF71" s="13">
        <v>2</v>
      </c>
      <c r="AG71" s="13">
        <v>2</v>
      </c>
      <c r="AH71" s="13">
        <v>1</v>
      </c>
      <c r="AI71" s="13">
        <v>2</v>
      </c>
      <c r="AJ71" s="13">
        <v>2</v>
      </c>
      <c r="AK71" s="13">
        <v>2</v>
      </c>
      <c r="AL71" s="13">
        <v>2</v>
      </c>
      <c r="AM71" s="13">
        <v>2</v>
      </c>
      <c r="AN71" s="13">
        <v>2</v>
      </c>
      <c r="AO71" s="13">
        <v>2</v>
      </c>
      <c r="AP71" s="13">
        <v>2</v>
      </c>
      <c r="AQ71" s="13">
        <v>2</v>
      </c>
      <c r="AR71" s="14">
        <v>2</v>
      </c>
      <c r="AS71" s="13">
        <v>2</v>
      </c>
      <c r="AT71" s="13">
        <v>2</v>
      </c>
      <c r="AU71" s="13">
        <v>2</v>
      </c>
      <c r="AV71" s="13">
        <v>2</v>
      </c>
      <c r="AW71" s="13">
        <v>2</v>
      </c>
      <c r="AX71" s="13">
        <v>2</v>
      </c>
      <c r="AY71" s="13">
        <v>2</v>
      </c>
      <c r="AZ71" s="13">
        <v>2</v>
      </c>
      <c r="BA71" s="13">
        <v>2</v>
      </c>
      <c r="BB71" s="13">
        <v>2</v>
      </c>
      <c r="BC71" s="13">
        <v>2</v>
      </c>
      <c r="BD71" s="13">
        <v>2</v>
      </c>
      <c r="BE71" s="13">
        <v>2</v>
      </c>
      <c r="BF71" s="13">
        <v>2</v>
      </c>
      <c r="BG71" s="13">
        <v>2</v>
      </c>
      <c r="BH71" s="13">
        <v>2</v>
      </c>
      <c r="BI71" s="13">
        <v>2</v>
      </c>
      <c r="BJ71" s="13">
        <v>2</v>
      </c>
      <c r="BK71" s="13">
        <v>2</v>
      </c>
      <c r="BL71" s="14">
        <v>2</v>
      </c>
      <c r="BM71" s="13">
        <v>1</v>
      </c>
      <c r="BN71" s="13">
        <v>2</v>
      </c>
      <c r="BO71" s="13">
        <v>1</v>
      </c>
      <c r="BP71" s="13">
        <v>2</v>
      </c>
      <c r="BQ71" s="13">
        <v>2</v>
      </c>
      <c r="BR71" s="13">
        <v>2</v>
      </c>
      <c r="BS71" s="13">
        <v>2</v>
      </c>
      <c r="BT71" s="13">
        <v>2</v>
      </c>
      <c r="BU71" s="13">
        <v>2</v>
      </c>
      <c r="BV71" s="13">
        <v>2</v>
      </c>
      <c r="BW71" s="13">
        <v>2</v>
      </c>
      <c r="BX71" s="13">
        <v>2</v>
      </c>
      <c r="BY71" s="13">
        <v>2</v>
      </c>
      <c r="BZ71" s="13">
        <v>2</v>
      </c>
      <c r="CA71" s="13">
        <v>2</v>
      </c>
      <c r="CB71" s="13">
        <v>2</v>
      </c>
      <c r="CC71" s="13">
        <v>2</v>
      </c>
      <c r="CD71" s="13">
        <v>1</v>
      </c>
      <c r="CE71" s="15">
        <v>2</v>
      </c>
      <c r="CF71" s="13">
        <f t="shared" si="5"/>
        <v>0</v>
      </c>
      <c r="CG71" s="13">
        <f t="shared" si="6"/>
        <v>0</v>
      </c>
      <c r="CH71" s="13">
        <f t="shared" si="7"/>
        <v>0</v>
      </c>
      <c r="CI71" s="13">
        <f t="shared" si="8"/>
        <v>0</v>
      </c>
    </row>
    <row r="72" spans="1:87" x14ac:dyDescent="0.3">
      <c r="A72" t="s">
        <v>20</v>
      </c>
      <c r="B72" s="1">
        <v>70</v>
      </c>
      <c r="C72" s="1" t="s">
        <v>20</v>
      </c>
      <c r="D72" s="13">
        <v>1</v>
      </c>
      <c r="E72" s="13">
        <v>2</v>
      </c>
      <c r="F72" s="13">
        <v>2</v>
      </c>
      <c r="G72" s="13">
        <v>2</v>
      </c>
      <c r="H72" s="13">
        <v>2</v>
      </c>
      <c r="I72" s="13">
        <v>2</v>
      </c>
      <c r="J72" s="13">
        <v>2</v>
      </c>
      <c r="K72" s="13">
        <v>2</v>
      </c>
      <c r="L72" s="13">
        <v>2</v>
      </c>
      <c r="M72" s="13">
        <v>1</v>
      </c>
      <c r="N72" s="13">
        <v>2</v>
      </c>
      <c r="O72" s="13">
        <v>2</v>
      </c>
      <c r="P72" s="13">
        <v>2</v>
      </c>
      <c r="Q72" s="13">
        <v>2</v>
      </c>
      <c r="R72" s="13">
        <v>2</v>
      </c>
      <c r="S72" s="13">
        <v>2</v>
      </c>
      <c r="T72" s="13">
        <v>2</v>
      </c>
      <c r="U72" s="13">
        <v>1</v>
      </c>
      <c r="V72" s="13">
        <v>2</v>
      </c>
      <c r="W72" s="13">
        <v>2</v>
      </c>
      <c r="X72" s="14">
        <v>2</v>
      </c>
      <c r="Y72" s="13">
        <v>2</v>
      </c>
      <c r="Z72" s="13">
        <v>2</v>
      </c>
      <c r="AA72" s="13">
        <v>2</v>
      </c>
      <c r="AB72" s="13">
        <v>2</v>
      </c>
      <c r="AC72" s="13">
        <v>2</v>
      </c>
      <c r="AD72" s="13">
        <v>2</v>
      </c>
      <c r="AE72" s="13">
        <v>2</v>
      </c>
      <c r="AF72" s="13">
        <v>2</v>
      </c>
      <c r="AG72" s="13">
        <v>2</v>
      </c>
      <c r="AH72" s="13">
        <v>2</v>
      </c>
      <c r="AI72" s="13">
        <v>2</v>
      </c>
      <c r="AJ72" s="13">
        <v>2</v>
      </c>
      <c r="AK72" s="13">
        <v>1</v>
      </c>
      <c r="AL72" s="13">
        <v>1</v>
      </c>
      <c r="AM72" s="13">
        <v>2</v>
      </c>
      <c r="AN72" s="13">
        <v>1</v>
      </c>
      <c r="AO72" s="13">
        <v>2</v>
      </c>
      <c r="AP72" s="13">
        <v>2</v>
      </c>
      <c r="AQ72" s="13">
        <v>2</v>
      </c>
      <c r="AR72" s="14">
        <v>2</v>
      </c>
      <c r="AS72" s="13">
        <v>2</v>
      </c>
      <c r="AT72" s="13">
        <v>2</v>
      </c>
      <c r="AU72" s="13">
        <v>2</v>
      </c>
      <c r="AV72" s="13">
        <v>1</v>
      </c>
      <c r="AW72" s="13">
        <v>1</v>
      </c>
      <c r="AX72" s="13">
        <v>2</v>
      </c>
      <c r="AY72" s="13">
        <v>2</v>
      </c>
      <c r="AZ72" s="13">
        <v>2</v>
      </c>
      <c r="BA72" s="13">
        <v>2</v>
      </c>
      <c r="BB72" s="13">
        <v>2</v>
      </c>
      <c r="BC72" s="13">
        <v>2</v>
      </c>
      <c r="BD72" s="13">
        <v>2</v>
      </c>
      <c r="BE72" s="13">
        <v>2</v>
      </c>
      <c r="BF72" s="13">
        <v>2</v>
      </c>
      <c r="BG72" s="13">
        <v>2</v>
      </c>
      <c r="BH72" s="13">
        <v>2</v>
      </c>
      <c r="BI72" s="13">
        <v>2</v>
      </c>
      <c r="BJ72" s="13">
        <v>2</v>
      </c>
      <c r="BK72" s="13">
        <v>2</v>
      </c>
      <c r="BL72" s="14">
        <v>1</v>
      </c>
      <c r="BM72" s="13">
        <v>2</v>
      </c>
      <c r="BN72" s="13">
        <v>2</v>
      </c>
      <c r="BO72" s="13">
        <v>1</v>
      </c>
      <c r="BP72" s="13">
        <v>2</v>
      </c>
      <c r="BQ72" s="13">
        <v>2</v>
      </c>
      <c r="BR72" s="13">
        <v>2</v>
      </c>
      <c r="BS72" s="13">
        <v>2</v>
      </c>
      <c r="BT72" s="13">
        <v>2</v>
      </c>
      <c r="BU72" s="13">
        <v>2</v>
      </c>
      <c r="BV72" s="13"/>
      <c r="BW72" s="13">
        <v>2</v>
      </c>
      <c r="BX72" s="13">
        <v>2</v>
      </c>
      <c r="BY72" s="13">
        <v>2</v>
      </c>
      <c r="BZ72" s="13">
        <v>2</v>
      </c>
      <c r="CA72" s="13">
        <v>2</v>
      </c>
      <c r="CB72" s="13">
        <v>2</v>
      </c>
      <c r="CC72" s="13">
        <v>2</v>
      </c>
      <c r="CD72" s="13">
        <v>2</v>
      </c>
      <c r="CE72" s="15">
        <v>2</v>
      </c>
      <c r="CF72" s="13">
        <f t="shared" si="5"/>
        <v>0</v>
      </c>
      <c r="CG72" s="13">
        <f t="shared" si="6"/>
        <v>0</v>
      </c>
      <c r="CH72" s="13">
        <f t="shared" si="7"/>
        <v>0</v>
      </c>
      <c r="CI72" s="13">
        <f t="shared" si="8"/>
        <v>0</v>
      </c>
    </row>
    <row r="73" spans="1:87" x14ac:dyDescent="0.3">
      <c r="A73" t="s">
        <v>20</v>
      </c>
      <c r="B73" s="1">
        <v>71</v>
      </c>
      <c r="C73" s="1" t="s">
        <v>20</v>
      </c>
      <c r="D73" s="13">
        <v>2</v>
      </c>
      <c r="E73" s="13">
        <v>2</v>
      </c>
      <c r="F73" s="13">
        <v>2</v>
      </c>
      <c r="G73" s="13">
        <v>2</v>
      </c>
      <c r="H73" s="13">
        <v>2</v>
      </c>
      <c r="I73" s="13">
        <v>2</v>
      </c>
      <c r="J73" s="13">
        <v>2</v>
      </c>
      <c r="K73" s="13">
        <v>2</v>
      </c>
      <c r="L73" s="13">
        <v>2</v>
      </c>
      <c r="M73" s="13">
        <v>2</v>
      </c>
      <c r="N73" s="13">
        <v>2</v>
      </c>
      <c r="O73" s="13">
        <v>2</v>
      </c>
      <c r="P73" s="13">
        <v>2</v>
      </c>
      <c r="Q73" s="13">
        <v>2</v>
      </c>
      <c r="R73" s="13">
        <v>2</v>
      </c>
      <c r="S73" s="13">
        <v>2</v>
      </c>
      <c r="T73" s="13">
        <v>2</v>
      </c>
      <c r="U73" s="13">
        <v>2</v>
      </c>
      <c r="V73" s="13">
        <v>2</v>
      </c>
      <c r="W73" s="13">
        <v>1</v>
      </c>
      <c r="X73" s="14">
        <v>2</v>
      </c>
      <c r="Y73" s="13">
        <v>2</v>
      </c>
      <c r="Z73" s="13">
        <v>2</v>
      </c>
      <c r="AA73" s="13">
        <v>2</v>
      </c>
      <c r="AB73" s="13">
        <v>2</v>
      </c>
      <c r="AC73" s="13">
        <v>2</v>
      </c>
      <c r="AD73" s="13">
        <v>2</v>
      </c>
      <c r="AE73" s="13">
        <v>2</v>
      </c>
      <c r="AF73" s="13">
        <v>2</v>
      </c>
      <c r="AG73" s="13">
        <v>2</v>
      </c>
      <c r="AH73" s="13">
        <v>2</v>
      </c>
      <c r="AI73" s="13">
        <v>2</v>
      </c>
      <c r="AJ73" s="13">
        <v>2</v>
      </c>
      <c r="AK73" s="13">
        <v>2</v>
      </c>
      <c r="AL73" s="13">
        <v>2</v>
      </c>
      <c r="AM73" s="13">
        <v>2</v>
      </c>
      <c r="AN73" s="13">
        <v>2</v>
      </c>
      <c r="AO73" s="13">
        <v>2</v>
      </c>
      <c r="AP73" s="13">
        <v>2</v>
      </c>
      <c r="AQ73" s="13">
        <v>2</v>
      </c>
      <c r="AR73" s="14">
        <v>2</v>
      </c>
      <c r="AS73" s="13">
        <v>2</v>
      </c>
      <c r="AT73" s="13">
        <v>2</v>
      </c>
      <c r="AU73" s="13">
        <v>2</v>
      </c>
      <c r="AV73" s="13">
        <v>2</v>
      </c>
      <c r="AW73" s="13">
        <v>2</v>
      </c>
      <c r="AX73" s="13">
        <v>2</v>
      </c>
      <c r="AY73" s="13">
        <v>2</v>
      </c>
      <c r="AZ73" s="13">
        <v>2</v>
      </c>
      <c r="BA73" s="13">
        <v>2</v>
      </c>
      <c r="BB73" s="13">
        <v>2</v>
      </c>
      <c r="BC73" s="13">
        <v>2</v>
      </c>
      <c r="BD73" s="13">
        <v>2</v>
      </c>
      <c r="BE73" s="13">
        <v>2</v>
      </c>
      <c r="BF73" s="13">
        <v>2</v>
      </c>
      <c r="BG73" s="13">
        <v>2</v>
      </c>
      <c r="BH73" s="13">
        <v>2</v>
      </c>
      <c r="BI73" s="13">
        <v>2</v>
      </c>
      <c r="BJ73" s="13">
        <v>2</v>
      </c>
      <c r="BK73" s="13">
        <v>2</v>
      </c>
      <c r="BL73" s="14">
        <v>2</v>
      </c>
      <c r="BM73" s="13">
        <v>2</v>
      </c>
      <c r="BN73" s="13">
        <v>2</v>
      </c>
      <c r="BO73" s="13">
        <v>2</v>
      </c>
      <c r="BP73" s="13">
        <v>2</v>
      </c>
      <c r="BQ73" s="13">
        <v>2</v>
      </c>
      <c r="BR73" s="13">
        <v>2</v>
      </c>
      <c r="BS73" s="13">
        <v>2</v>
      </c>
      <c r="BT73" s="13">
        <v>2</v>
      </c>
      <c r="BU73" s="13">
        <v>2</v>
      </c>
      <c r="BV73" s="13">
        <v>2</v>
      </c>
      <c r="BW73" s="13">
        <v>2</v>
      </c>
      <c r="BX73" s="13">
        <v>2</v>
      </c>
      <c r="BY73" s="13">
        <v>2</v>
      </c>
      <c r="BZ73" s="13">
        <v>2</v>
      </c>
      <c r="CA73" s="13">
        <v>2</v>
      </c>
      <c r="CB73" s="13">
        <v>2</v>
      </c>
      <c r="CC73" s="13">
        <v>2</v>
      </c>
      <c r="CD73" s="13">
        <v>2</v>
      </c>
      <c r="CE73" s="15">
        <v>2</v>
      </c>
      <c r="CF73" s="13">
        <f t="shared" si="5"/>
        <v>0</v>
      </c>
      <c r="CG73" s="13">
        <f t="shared" si="6"/>
        <v>0</v>
      </c>
      <c r="CH73" s="13">
        <f t="shared" si="7"/>
        <v>0</v>
      </c>
      <c r="CI73" s="13">
        <f t="shared" si="8"/>
        <v>0</v>
      </c>
    </row>
    <row r="74" spans="1:87" x14ac:dyDescent="0.3">
      <c r="A74" t="s">
        <v>20</v>
      </c>
      <c r="B74" s="1">
        <v>72</v>
      </c>
      <c r="C74" s="1" t="s">
        <v>20</v>
      </c>
      <c r="D74" s="13">
        <v>2</v>
      </c>
      <c r="E74" s="13">
        <v>2</v>
      </c>
      <c r="F74" s="13">
        <v>2</v>
      </c>
      <c r="G74" s="13">
        <v>2</v>
      </c>
      <c r="H74" s="13">
        <v>2</v>
      </c>
      <c r="I74" s="13">
        <v>2</v>
      </c>
      <c r="J74" s="13">
        <v>2</v>
      </c>
      <c r="K74" s="13">
        <v>2</v>
      </c>
      <c r="L74" s="13">
        <v>2</v>
      </c>
      <c r="M74" s="13">
        <v>1</v>
      </c>
      <c r="N74" s="13">
        <v>2</v>
      </c>
      <c r="O74" s="13">
        <v>2</v>
      </c>
      <c r="P74" s="13">
        <v>1</v>
      </c>
      <c r="Q74" s="13">
        <v>2</v>
      </c>
      <c r="R74" s="13">
        <v>2</v>
      </c>
      <c r="S74" s="13">
        <v>2</v>
      </c>
      <c r="T74" s="13">
        <v>2</v>
      </c>
      <c r="U74" s="13">
        <v>2</v>
      </c>
      <c r="V74" s="13">
        <v>2</v>
      </c>
      <c r="W74" s="13">
        <v>2</v>
      </c>
      <c r="X74" s="14">
        <v>2</v>
      </c>
      <c r="Y74" s="13">
        <v>2</v>
      </c>
      <c r="Z74" s="13">
        <v>2</v>
      </c>
      <c r="AA74" s="13">
        <v>2</v>
      </c>
      <c r="AB74" s="13">
        <v>2</v>
      </c>
      <c r="AC74" s="13">
        <v>2</v>
      </c>
      <c r="AD74" s="13">
        <v>2</v>
      </c>
      <c r="AE74" s="13">
        <v>2</v>
      </c>
      <c r="AF74" s="13">
        <v>2</v>
      </c>
      <c r="AG74" s="13">
        <v>2</v>
      </c>
      <c r="AH74" s="13">
        <v>2</v>
      </c>
      <c r="AI74" s="13">
        <v>1</v>
      </c>
      <c r="AJ74" s="13">
        <v>2</v>
      </c>
      <c r="AK74" s="13">
        <v>2</v>
      </c>
      <c r="AL74" s="13">
        <v>2</v>
      </c>
      <c r="AM74" s="13">
        <v>2</v>
      </c>
      <c r="AN74" s="13">
        <v>2</v>
      </c>
      <c r="AO74" s="13">
        <v>2</v>
      </c>
      <c r="AP74" s="13">
        <v>2</v>
      </c>
      <c r="AQ74" s="13">
        <v>2</v>
      </c>
      <c r="AR74" s="14">
        <v>2</v>
      </c>
      <c r="AS74" s="13">
        <v>2</v>
      </c>
      <c r="AT74" s="13">
        <v>1</v>
      </c>
      <c r="AU74" s="13">
        <v>2</v>
      </c>
      <c r="AV74" s="13">
        <v>2</v>
      </c>
      <c r="AW74" s="13">
        <v>2</v>
      </c>
      <c r="AX74" s="13">
        <v>2</v>
      </c>
      <c r="AY74" s="13">
        <v>2</v>
      </c>
      <c r="AZ74" s="13">
        <v>2</v>
      </c>
      <c r="BA74" s="13">
        <v>2</v>
      </c>
      <c r="BB74" s="13">
        <v>2</v>
      </c>
      <c r="BC74" s="13">
        <v>2</v>
      </c>
      <c r="BD74" s="13">
        <v>2</v>
      </c>
      <c r="BE74" s="13">
        <v>2</v>
      </c>
      <c r="BF74" s="13">
        <v>2</v>
      </c>
      <c r="BG74" s="13">
        <v>2</v>
      </c>
      <c r="BH74" s="13">
        <v>1</v>
      </c>
      <c r="BI74" s="13">
        <v>2</v>
      </c>
      <c r="BJ74" s="13">
        <v>2</v>
      </c>
      <c r="BK74" s="13">
        <v>2</v>
      </c>
      <c r="BL74" s="14">
        <v>2</v>
      </c>
      <c r="BM74" s="13">
        <v>2</v>
      </c>
      <c r="BN74" s="13">
        <v>2</v>
      </c>
      <c r="BO74" s="13">
        <v>1</v>
      </c>
      <c r="BP74" s="13">
        <v>2</v>
      </c>
      <c r="BQ74" s="13">
        <v>2</v>
      </c>
      <c r="BR74" s="13">
        <v>2</v>
      </c>
      <c r="BS74" s="13">
        <v>2</v>
      </c>
      <c r="BT74" s="13">
        <v>2</v>
      </c>
      <c r="BU74" s="13">
        <v>2</v>
      </c>
      <c r="BV74" s="13">
        <v>2</v>
      </c>
      <c r="BW74" s="13">
        <v>1</v>
      </c>
      <c r="BX74" s="13">
        <v>2</v>
      </c>
      <c r="BY74" s="13">
        <v>1</v>
      </c>
      <c r="BZ74" s="13">
        <v>2</v>
      </c>
      <c r="CA74" s="13">
        <v>2</v>
      </c>
      <c r="CB74" s="13">
        <v>2</v>
      </c>
      <c r="CC74" s="13">
        <v>2</v>
      </c>
      <c r="CD74" s="13">
        <v>2</v>
      </c>
      <c r="CE74" s="15">
        <v>2</v>
      </c>
      <c r="CF74" s="13">
        <f t="shared" si="5"/>
        <v>0</v>
      </c>
      <c r="CG74" s="13">
        <f t="shared" si="6"/>
        <v>0</v>
      </c>
      <c r="CH74" s="13">
        <f t="shared" si="7"/>
        <v>0</v>
      </c>
      <c r="CI74" s="13">
        <f t="shared" si="8"/>
        <v>0</v>
      </c>
    </row>
    <row r="75" spans="1:87" x14ac:dyDescent="0.3">
      <c r="A75" t="s">
        <v>20</v>
      </c>
      <c r="B75" s="1">
        <v>73</v>
      </c>
      <c r="C75" s="1" t="s">
        <v>20</v>
      </c>
      <c r="D75" s="13">
        <v>2</v>
      </c>
      <c r="E75" s="13">
        <v>2</v>
      </c>
      <c r="F75" s="13">
        <v>2</v>
      </c>
      <c r="G75" s="13">
        <v>1</v>
      </c>
      <c r="H75" s="13">
        <v>2</v>
      </c>
      <c r="I75" s="13">
        <v>2</v>
      </c>
      <c r="J75" s="13">
        <v>2</v>
      </c>
      <c r="K75" s="13">
        <v>2</v>
      </c>
      <c r="L75" s="13">
        <v>2</v>
      </c>
      <c r="M75" s="13">
        <v>2</v>
      </c>
      <c r="N75" s="13">
        <v>2</v>
      </c>
      <c r="O75" s="13">
        <v>2</v>
      </c>
      <c r="P75" s="13">
        <v>2</v>
      </c>
      <c r="Q75" s="13">
        <v>2</v>
      </c>
      <c r="R75" s="13">
        <v>2</v>
      </c>
      <c r="S75" s="13">
        <v>2</v>
      </c>
      <c r="T75" s="13">
        <v>2</v>
      </c>
      <c r="U75" s="13">
        <v>2</v>
      </c>
      <c r="V75" s="13">
        <v>2</v>
      </c>
      <c r="W75" s="13">
        <v>2</v>
      </c>
      <c r="X75" s="14">
        <v>2</v>
      </c>
      <c r="Y75" s="13">
        <v>2</v>
      </c>
      <c r="Z75" s="13">
        <v>2</v>
      </c>
      <c r="AA75" s="13">
        <v>2</v>
      </c>
      <c r="AB75" s="13">
        <v>2</v>
      </c>
      <c r="AC75" s="13">
        <v>2</v>
      </c>
      <c r="AD75" s="13">
        <v>2</v>
      </c>
      <c r="AE75" s="13">
        <v>2</v>
      </c>
      <c r="AF75" s="13">
        <v>2</v>
      </c>
      <c r="AG75" s="13">
        <v>2</v>
      </c>
      <c r="AH75" s="13">
        <v>2</v>
      </c>
      <c r="AI75" s="13">
        <v>2</v>
      </c>
      <c r="AJ75" s="13">
        <v>2</v>
      </c>
      <c r="AK75" s="13">
        <v>2</v>
      </c>
      <c r="AL75" s="13">
        <v>2</v>
      </c>
      <c r="AM75" s="13">
        <v>2</v>
      </c>
      <c r="AN75" s="13">
        <v>2</v>
      </c>
      <c r="AO75" s="13">
        <v>2</v>
      </c>
      <c r="AP75" s="13">
        <v>2</v>
      </c>
      <c r="AQ75" s="13">
        <v>2</v>
      </c>
      <c r="AR75" s="14">
        <v>2</v>
      </c>
      <c r="AS75" s="13">
        <v>1</v>
      </c>
      <c r="AT75" s="13">
        <v>1</v>
      </c>
      <c r="AU75" s="13">
        <v>2</v>
      </c>
      <c r="AV75" s="13">
        <v>2</v>
      </c>
      <c r="AW75" s="13">
        <v>2</v>
      </c>
      <c r="AX75" s="13">
        <v>1</v>
      </c>
      <c r="AY75" s="13">
        <v>2</v>
      </c>
      <c r="AZ75" s="13">
        <v>2</v>
      </c>
      <c r="BA75" s="13">
        <v>2</v>
      </c>
      <c r="BB75" s="13">
        <v>2</v>
      </c>
      <c r="BC75" s="13">
        <v>2</v>
      </c>
      <c r="BD75" s="13">
        <v>2</v>
      </c>
      <c r="BE75" s="13">
        <v>2</v>
      </c>
      <c r="BF75" s="13">
        <v>2</v>
      </c>
      <c r="BG75" s="13">
        <v>2</v>
      </c>
      <c r="BH75" s="13">
        <v>2</v>
      </c>
      <c r="BI75" s="13">
        <v>2</v>
      </c>
      <c r="BJ75" s="13">
        <v>2</v>
      </c>
      <c r="BK75" s="13">
        <v>2</v>
      </c>
      <c r="BL75" s="14">
        <v>2</v>
      </c>
      <c r="BM75" s="13">
        <v>1</v>
      </c>
      <c r="BN75" s="13">
        <v>2</v>
      </c>
      <c r="BO75" s="13">
        <v>1</v>
      </c>
      <c r="BP75" s="13">
        <v>2</v>
      </c>
      <c r="BQ75" s="13">
        <v>2</v>
      </c>
      <c r="BR75" s="13">
        <v>2</v>
      </c>
      <c r="BS75" s="13">
        <v>2</v>
      </c>
      <c r="BT75" s="13">
        <v>2</v>
      </c>
      <c r="BU75" s="13">
        <v>2</v>
      </c>
      <c r="BV75" s="13">
        <v>2</v>
      </c>
      <c r="BW75" s="13">
        <v>0</v>
      </c>
      <c r="BX75" s="13">
        <v>0</v>
      </c>
      <c r="BY75" s="13">
        <v>2</v>
      </c>
      <c r="BZ75" s="13">
        <v>2</v>
      </c>
      <c r="CA75" s="13">
        <v>2</v>
      </c>
      <c r="CB75" s="13">
        <v>2</v>
      </c>
      <c r="CC75" s="13">
        <v>2</v>
      </c>
      <c r="CD75" s="13">
        <v>2</v>
      </c>
      <c r="CE75" s="15">
        <v>2</v>
      </c>
      <c r="CF75" s="13">
        <f t="shared" si="5"/>
        <v>0</v>
      </c>
      <c r="CG75" s="13">
        <f t="shared" si="6"/>
        <v>0</v>
      </c>
      <c r="CH75" s="13">
        <f t="shared" si="7"/>
        <v>0</v>
      </c>
      <c r="CI75" s="13">
        <f t="shared" si="8"/>
        <v>2</v>
      </c>
    </row>
    <row r="76" spans="1:87" x14ac:dyDescent="0.3">
      <c r="A76" t="s">
        <v>20</v>
      </c>
      <c r="B76" s="1">
        <v>74</v>
      </c>
      <c r="C76" s="1" t="s">
        <v>20</v>
      </c>
      <c r="D76" s="13">
        <v>2</v>
      </c>
      <c r="E76" s="13">
        <v>2</v>
      </c>
      <c r="F76" s="13">
        <v>2</v>
      </c>
      <c r="G76" s="13">
        <v>2</v>
      </c>
      <c r="H76" s="13">
        <v>2</v>
      </c>
      <c r="I76" s="13">
        <v>2</v>
      </c>
      <c r="J76" s="13">
        <v>1</v>
      </c>
      <c r="K76" s="13">
        <v>2</v>
      </c>
      <c r="L76" s="13">
        <v>1</v>
      </c>
      <c r="M76" s="13">
        <v>2</v>
      </c>
      <c r="N76" s="13">
        <v>2</v>
      </c>
      <c r="O76" s="13">
        <v>2</v>
      </c>
      <c r="P76" s="13">
        <v>2</v>
      </c>
      <c r="Q76" s="13">
        <v>2</v>
      </c>
      <c r="R76" s="13">
        <v>2</v>
      </c>
      <c r="S76" s="13">
        <v>2</v>
      </c>
      <c r="T76" s="13">
        <v>1</v>
      </c>
      <c r="U76" s="13">
        <v>2</v>
      </c>
      <c r="V76" s="13">
        <v>2</v>
      </c>
      <c r="W76" s="13">
        <v>2</v>
      </c>
      <c r="X76" s="14">
        <v>1</v>
      </c>
      <c r="Y76" s="13">
        <v>2</v>
      </c>
      <c r="Z76" s="13">
        <v>2</v>
      </c>
      <c r="AA76" s="13">
        <v>2</v>
      </c>
      <c r="AB76" s="13">
        <v>2</v>
      </c>
      <c r="AC76" s="13">
        <v>2</v>
      </c>
      <c r="AD76" s="13">
        <v>2</v>
      </c>
      <c r="AE76" s="13">
        <v>2</v>
      </c>
      <c r="AF76" s="13">
        <v>2</v>
      </c>
      <c r="AG76" s="13">
        <v>2</v>
      </c>
      <c r="AH76" s="13">
        <v>2</v>
      </c>
      <c r="AI76" s="13">
        <v>2</v>
      </c>
      <c r="AJ76" s="13">
        <v>2</v>
      </c>
      <c r="AK76" s="13">
        <v>1</v>
      </c>
      <c r="AL76" s="13">
        <v>2</v>
      </c>
      <c r="AM76" s="13">
        <v>2</v>
      </c>
      <c r="AN76" s="13">
        <v>2</v>
      </c>
      <c r="AO76" s="13">
        <v>1</v>
      </c>
      <c r="AP76" s="13">
        <v>2</v>
      </c>
      <c r="AQ76" s="13">
        <v>2</v>
      </c>
      <c r="AR76" s="14">
        <v>2</v>
      </c>
      <c r="AS76" s="13">
        <v>2</v>
      </c>
      <c r="AT76" s="13">
        <v>2</v>
      </c>
      <c r="AU76" s="13">
        <v>2</v>
      </c>
      <c r="AV76" s="13">
        <v>2</v>
      </c>
      <c r="AW76" s="13">
        <v>2</v>
      </c>
      <c r="AX76" s="13">
        <v>2</v>
      </c>
      <c r="AY76" s="13">
        <v>2</v>
      </c>
      <c r="AZ76" s="13">
        <v>2</v>
      </c>
      <c r="BA76" s="13">
        <v>2</v>
      </c>
      <c r="BB76" s="13">
        <v>2</v>
      </c>
      <c r="BC76" s="13">
        <v>2</v>
      </c>
      <c r="BD76" s="13">
        <v>2</v>
      </c>
      <c r="BE76" s="13">
        <v>2</v>
      </c>
      <c r="BF76" s="13">
        <v>2</v>
      </c>
      <c r="BG76" s="13">
        <v>2</v>
      </c>
      <c r="BH76" s="13">
        <v>2</v>
      </c>
      <c r="BI76" s="13">
        <v>2</v>
      </c>
      <c r="BJ76" s="13">
        <v>2</v>
      </c>
      <c r="BK76" s="13">
        <v>2</v>
      </c>
      <c r="BL76" s="14">
        <v>2</v>
      </c>
      <c r="BM76" s="13">
        <v>2</v>
      </c>
      <c r="BN76" s="13">
        <v>2</v>
      </c>
      <c r="BO76" s="13">
        <v>2</v>
      </c>
      <c r="BP76" s="13">
        <v>2</v>
      </c>
      <c r="BQ76" s="13">
        <v>2</v>
      </c>
      <c r="BR76" s="13">
        <v>2</v>
      </c>
      <c r="BS76" s="13">
        <v>2</v>
      </c>
      <c r="BT76" s="13">
        <v>2</v>
      </c>
      <c r="BU76" s="13">
        <v>2</v>
      </c>
      <c r="BV76" s="13">
        <v>2</v>
      </c>
      <c r="BW76" s="13">
        <v>2</v>
      </c>
      <c r="BX76" s="13">
        <v>2</v>
      </c>
      <c r="BY76" s="13">
        <v>2</v>
      </c>
      <c r="BZ76" s="13">
        <v>2</v>
      </c>
      <c r="CA76" s="13">
        <v>2</v>
      </c>
      <c r="CB76" s="13">
        <v>2</v>
      </c>
      <c r="CC76" s="13">
        <v>1</v>
      </c>
      <c r="CD76" s="13">
        <v>2</v>
      </c>
      <c r="CE76" s="15">
        <v>2</v>
      </c>
      <c r="CF76" s="13">
        <f t="shared" si="5"/>
        <v>0</v>
      </c>
      <c r="CG76" s="13">
        <f t="shared" si="6"/>
        <v>0</v>
      </c>
      <c r="CH76" s="13">
        <f t="shared" si="7"/>
        <v>0</v>
      </c>
      <c r="CI76" s="13">
        <f t="shared" si="8"/>
        <v>0</v>
      </c>
    </row>
    <row r="77" spans="1:87" x14ac:dyDescent="0.3">
      <c r="A77" t="s">
        <v>20</v>
      </c>
      <c r="B77" s="1">
        <v>75</v>
      </c>
      <c r="C77" s="1" t="s">
        <v>20</v>
      </c>
      <c r="D77" s="13">
        <v>2</v>
      </c>
      <c r="E77" s="13">
        <v>2</v>
      </c>
      <c r="F77" s="13">
        <v>2</v>
      </c>
      <c r="G77" s="13">
        <v>2</v>
      </c>
      <c r="H77" s="13">
        <v>2</v>
      </c>
      <c r="I77" s="13">
        <v>1</v>
      </c>
      <c r="J77" s="13">
        <v>2</v>
      </c>
      <c r="K77" s="13">
        <v>2</v>
      </c>
      <c r="L77" s="13">
        <v>2</v>
      </c>
      <c r="M77" s="13">
        <v>2</v>
      </c>
      <c r="N77" s="13">
        <v>2</v>
      </c>
      <c r="O77" s="13">
        <v>2</v>
      </c>
      <c r="P77" s="13">
        <v>2</v>
      </c>
      <c r="Q77" s="13">
        <v>2</v>
      </c>
      <c r="R77" s="13">
        <v>2</v>
      </c>
      <c r="S77" s="13">
        <v>2</v>
      </c>
      <c r="T77" s="13">
        <v>2</v>
      </c>
      <c r="U77" s="13">
        <v>2</v>
      </c>
      <c r="V77" s="13">
        <v>2</v>
      </c>
      <c r="W77" s="13">
        <v>2</v>
      </c>
      <c r="X77" s="14">
        <v>2</v>
      </c>
      <c r="Y77" s="13">
        <v>2</v>
      </c>
      <c r="Z77" s="13">
        <v>2</v>
      </c>
      <c r="AA77" s="13">
        <v>2</v>
      </c>
      <c r="AB77" s="13">
        <v>2</v>
      </c>
      <c r="AC77" s="13">
        <v>2</v>
      </c>
      <c r="AD77" s="13">
        <v>2</v>
      </c>
      <c r="AE77" s="13">
        <v>2</v>
      </c>
      <c r="AF77" s="13">
        <v>2</v>
      </c>
      <c r="AG77" s="13">
        <v>2</v>
      </c>
      <c r="AH77" s="13">
        <v>2</v>
      </c>
      <c r="AI77" s="13">
        <v>2</v>
      </c>
      <c r="AJ77" s="13">
        <v>2</v>
      </c>
      <c r="AK77" s="13">
        <v>2</v>
      </c>
      <c r="AL77" s="13">
        <v>2</v>
      </c>
      <c r="AM77" s="13">
        <v>2</v>
      </c>
      <c r="AN77" s="13">
        <v>2</v>
      </c>
      <c r="AO77" s="13">
        <v>2</v>
      </c>
      <c r="AP77" s="13">
        <v>2</v>
      </c>
      <c r="AQ77" s="13">
        <v>2</v>
      </c>
      <c r="AR77" s="14">
        <v>2</v>
      </c>
      <c r="AS77" s="13">
        <v>2</v>
      </c>
      <c r="AT77" s="13">
        <v>2</v>
      </c>
      <c r="AU77" s="13">
        <v>2</v>
      </c>
      <c r="AV77" s="13">
        <v>2</v>
      </c>
      <c r="AW77" s="13">
        <v>2</v>
      </c>
      <c r="AX77" s="13">
        <v>2</v>
      </c>
      <c r="AY77" s="13">
        <v>2</v>
      </c>
      <c r="AZ77" s="13">
        <v>2</v>
      </c>
      <c r="BA77" s="13">
        <v>2</v>
      </c>
      <c r="BB77" s="13">
        <v>2</v>
      </c>
      <c r="BC77" s="13">
        <v>2</v>
      </c>
      <c r="BD77" s="13">
        <v>2</v>
      </c>
      <c r="BE77" s="13">
        <v>2</v>
      </c>
      <c r="BF77" s="13">
        <v>2</v>
      </c>
      <c r="BG77" s="13">
        <v>2</v>
      </c>
      <c r="BH77" s="13">
        <v>2</v>
      </c>
      <c r="BI77" s="13">
        <v>2</v>
      </c>
      <c r="BJ77" s="13">
        <v>2</v>
      </c>
      <c r="BK77" s="13">
        <v>2</v>
      </c>
      <c r="BL77" s="14">
        <v>2</v>
      </c>
      <c r="BM77" s="13">
        <v>2</v>
      </c>
      <c r="BN77" s="13">
        <v>2</v>
      </c>
      <c r="BO77" s="13">
        <v>2</v>
      </c>
      <c r="BP77" s="13">
        <v>2</v>
      </c>
      <c r="BQ77" s="13">
        <v>2</v>
      </c>
      <c r="BR77" s="13">
        <v>2</v>
      </c>
      <c r="BS77" s="13">
        <v>2</v>
      </c>
      <c r="BT77" s="13">
        <v>2</v>
      </c>
      <c r="BU77" s="13">
        <v>2</v>
      </c>
      <c r="BV77" s="13">
        <v>2</v>
      </c>
      <c r="BW77" s="13">
        <v>2</v>
      </c>
      <c r="BX77" s="13">
        <v>2</v>
      </c>
      <c r="BY77" s="13">
        <v>2</v>
      </c>
      <c r="BZ77" s="13">
        <v>2</v>
      </c>
      <c r="CA77" s="13">
        <v>2</v>
      </c>
      <c r="CB77" s="13">
        <v>2</v>
      </c>
      <c r="CC77" s="13">
        <v>2</v>
      </c>
      <c r="CD77" s="13">
        <v>2</v>
      </c>
      <c r="CE77" s="15">
        <v>2</v>
      </c>
      <c r="CF77" s="13">
        <f t="shared" si="5"/>
        <v>0</v>
      </c>
      <c r="CG77" s="13">
        <f t="shared" si="6"/>
        <v>0</v>
      </c>
      <c r="CH77" s="13">
        <f t="shared" si="7"/>
        <v>0</v>
      </c>
      <c r="CI77" s="13">
        <f t="shared" si="8"/>
        <v>0</v>
      </c>
    </row>
    <row r="78" spans="1:87" x14ac:dyDescent="0.3">
      <c r="A78" t="s">
        <v>20</v>
      </c>
      <c r="B78" s="1">
        <v>76</v>
      </c>
      <c r="C78" s="1" t="s">
        <v>20</v>
      </c>
      <c r="D78" s="13">
        <v>2</v>
      </c>
      <c r="E78" s="13">
        <v>2</v>
      </c>
      <c r="F78" s="13">
        <v>2</v>
      </c>
      <c r="G78" s="13">
        <v>2</v>
      </c>
      <c r="H78" s="13">
        <v>2</v>
      </c>
      <c r="I78" s="13">
        <v>2</v>
      </c>
      <c r="J78" s="13">
        <v>2</v>
      </c>
      <c r="K78" s="13">
        <v>2</v>
      </c>
      <c r="L78" s="13">
        <v>2</v>
      </c>
      <c r="M78" s="13">
        <v>2</v>
      </c>
      <c r="N78" s="13">
        <v>2</v>
      </c>
      <c r="O78" s="13">
        <v>2</v>
      </c>
      <c r="P78" s="13">
        <v>2</v>
      </c>
      <c r="Q78" s="13">
        <v>2</v>
      </c>
      <c r="R78" s="13">
        <v>2</v>
      </c>
      <c r="S78" s="13">
        <v>2</v>
      </c>
      <c r="T78" s="13">
        <v>2</v>
      </c>
      <c r="U78" s="13">
        <v>2</v>
      </c>
      <c r="V78" s="13">
        <v>2</v>
      </c>
      <c r="W78" s="13">
        <v>2</v>
      </c>
      <c r="X78" s="14">
        <v>2</v>
      </c>
      <c r="Y78" s="13">
        <v>2</v>
      </c>
      <c r="Z78" s="13">
        <v>2</v>
      </c>
      <c r="AA78" s="13">
        <v>2</v>
      </c>
      <c r="AB78" s="13">
        <v>2</v>
      </c>
      <c r="AC78" s="13">
        <v>2</v>
      </c>
      <c r="AD78" s="13">
        <v>2</v>
      </c>
      <c r="AE78" s="13">
        <v>2</v>
      </c>
      <c r="AF78" s="13">
        <v>2</v>
      </c>
      <c r="AG78" s="13">
        <v>2</v>
      </c>
      <c r="AH78" s="13">
        <v>2</v>
      </c>
      <c r="AI78" s="13">
        <v>2</v>
      </c>
      <c r="AJ78" s="13">
        <v>2</v>
      </c>
      <c r="AK78" s="13">
        <v>2</v>
      </c>
      <c r="AL78" s="13">
        <v>1</v>
      </c>
      <c r="AM78" s="13">
        <v>2</v>
      </c>
      <c r="AN78" s="13">
        <v>2</v>
      </c>
      <c r="AO78" s="13">
        <v>2</v>
      </c>
      <c r="AP78" s="13">
        <v>2</v>
      </c>
      <c r="AQ78" s="13">
        <v>2</v>
      </c>
      <c r="AR78" s="14">
        <v>2</v>
      </c>
      <c r="AS78" s="13">
        <v>2</v>
      </c>
      <c r="AT78" s="13">
        <v>2</v>
      </c>
      <c r="AU78" s="13">
        <v>1</v>
      </c>
      <c r="AV78" s="13">
        <v>2</v>
      </c>
      <c r="AW78" s="13">
        <v>2</v>
      </c>
      <c r="AX78" s="13">
        <v>2</v>
      </c>
      <c r="AY78" s="13">
        <v>2</v>
      </c>
      <c r="AZ78" s="13">
        <v>1</v>
      </c>
      <c r="BA78" s="13">
        <v>2</v>
      </c>
      <c r="BB78" s="13">
        <v>2</v>
      </c>
      <c r="BC78" s="13">
        <v>2</v>
      </c>
      <c r="BD78" s="13">
        <v>2</v>
      </c>
      <c r="BE78" s="13">
        <v>2</v>
      </c>
      <c r="BF78" s="13">
        <v>2</v>
      </c>
      <c r="BG78" s="13">
        <v>2</v>
      </c>
      <c r="BH78" s="13">
        <v>2</v>
      </c>
      <c r="BI78" s="13">
        <v>2</v>
      </c>
      <c r="BJ78" s="13">
        <v>2</v>
      </c>
      <c r="BK78" s="13">
        <v>2</v>
      </c>
      <c r="BL78" s="14">
        <v>2</v>
      </c>
      <c r="BM78" s="13">
        <v>2</v>
      </c>
      <c r="BN78" s="13">
        <v>2</v>
      </c>
      <c r="BO78" s="13">
        <v>2</v>
      </c>
      <c r="BP78" s="13">
        <v>2</v>
      </c>
      <c r="BQ78" s="13">
        <v>2</v>
      </c>
      <c r="BR78" s="13">
        <v>1</v>
      </c>
      <c r="BS78" s="13">
        <v>2</v>
      </c>
      <c r="BT78" s="13">
        <v>2</v>
      </c>
      <c r="BU78" s="13">
        <v>2</v>
      </c>
      <c r="BV78" s="13">
        <v>2</v>
      </c>
      <c r="BW78" s="13">
        <v>2</v>
      </c>
      <c r="BX78" s="13">
        <v>2</v>
      </c>
      <c r="BY78" s="13">
        <v>2</v>
      </c>
      <c r="BZ78" s="13">
        <v>2</v>
      </c>
      <c r="CA78" s="13">
        <v>2</v>
      </c>
      <c r="CB78" s="13">
        <v>2</v>
      </c>
      <c r="CC78" s="13">
        <v>2</v>
      </c>
      <c r="CD78" s="13">
        <v>2</v>
      </c>
      <c r="CE78" s="15">
        <v>2</v>
      </c>
      <c r="CF78" s="13">
        <f t="shared" si="5"/>
        <v>0</v>
      </c>
      <c r="CG78" s="13">
        <f t="shared" si="6"/>
        <v>0</v>
      </c>
      <c r="CH78" s="13">
        <f t="shared" si="7"/>
        <v>0</v>
      </c>
      <c r="CI78" s="13">
        <f t="shared" si="8"/>
        <v>0</v>
      </c>
    </row>
    <row r="79" spans="1:87" x14ac:dyDescent="0.3">
      <c r="A79" t="s">
        <v>20</v>
      </c>
      <c r="B79" s="28">
        <v>77</v>
      </c>
      <c r="C79" s="1" t="s">
        <v>20</v>
      </c>
      <c r="D79" s="13">
        <v>2</v>
      </c>
      <c r="E79" s="13">
        <v>2</v>
      </c>
      <c r="F79" s="13">
        <v>2</v>
      </c>
      <c r="G79" s="13">
        <v>2</v>
      </c>
      <c r="H79" s="13">
        <v>2</v>
      </c>
      <c r="I79" s="13">
        <v>2</v>
      </c>
      <c r="J79" s="13">
        <v>2</v>
      </c>
      <c r="K79" s="13">
        <v>2</v>
      </c>
      <c r="L79" s="13">
        <v>2</v>
      </c>
      <c r="M79" s="13">
        <v>2</v>
      </c>
      <c r="N79" s="13">
        <v>2</v>
      </c>
      <c r="O79" s="13">
        <v>2</v>
      </c>
      <c r="P79" s="13">
        <v>2</v>
      </c>
      <c r="Q79" s="13">
        <v>2</v>
      </c>
      <c r="R79" s="13">
        <v>2</v>
      </c>
      <c r="S79" s="13">
        <v>2</v>
      </c>
      <c r="T79" s="13">
        <v>2</v>
      </c>
      <c r="U79" s="13">
        <v>1</v>
      </c>
      <c r="V79" s="13">
        <v>2</v>
      </c>
      <c r="W79" s="13">
        <v>2</v>
      </c>
      <c r="X79" s="14">
        <v>2</v>
      </c>
      <c r="Y79" s="13">
        <v>2</v>
      </c>
      <c r="Z79" s="13">
        <v>2</v>
      </c>
      <c r="AA79" s="13">
        <v>2</v>
      </c>
      <c r="AB79" s="13">
        <v>2</v>
      </c>
      <c r="AC79" s="13">
        <v>2</v>
      </c>
      <c r="AD79" s="13">
        <v>2</v>
      </c>
      <c r="AE79" s="13">
        <v>2</v>
      </c>
      <c r="AF79" s="13">
        <v>2</v>
      </c>
      <c r="AG79" s="13">
        <v>2</v>
      </c>
      <c r="AH79" s="13">
        <v>2</v>
      </c>
      <c r="AI79" s="13">
        <v>2</v>
      </c>
      <c r="AJ79" s="13">
        <v>2</v>
      </c>
      <c r="AK79" s="13">
        <v>2</v>
      </c>
      <c r="AL79" s="13">
        <v>2</v>
      </c>
      <c r="AM79" s="13">
        <v>2</v>
      </c>
      <c r="AN79" s="13">
        <v>2</v>
      </c>
      <c r="AO79" s="13">
        <v>2</v>
      </c>
      <c r="AP79" s="13">
        <v>2</v>
      </c>
      <c r="AQ79" s="13">
        <v>2</v>
      </c>
      <c r="AR79" s="14">
        <v>2</v>
      </c>
      <c r="AS79" s="13">
        <v>2</v>
      </c>
      <c r="AT79" s="13">
        <v>2</v>
      </c>
      <c r="AU79" s="13">
        <v>2</v>
      </c>
      <c r="AV79" s="13">
        <v>2</v>
      </c>
      <c r="AW79" s="13">
        <v>2</v>
      </c>
      <c r="AX79" s="13">
        <v>2</v>
      </c>
      <c r="AY79" s="13">
        <v>2</v>
      </c>
      <c r="AZ79" s="13">
        <v>2</v>
      </c>
      <c r="BA79" s="13">
        <v>2</v>
      </c>
      <c r="BB79" s="13">
        <v>2</v>
      </c>
      <c r="BC79" s="13">
        <v>2</v>
      </c>
      <c r="BD79" s="13">
        <v>2</v>
      </c>
      <c r="BE79" s="13">
        <v>2</v>
      </c>
      <c r="BF79" s="13">
        <v>2</v>
      </c>
      <c r="BG79" s="13">
        <v>2</v>
      </c>
      <c r="BH79" s="13">
        <v>2</v>
      </c>
      <c r="BI79" s="13">
        <v>2</v>
      </c>
      <c r="BJ79" s="13">
        <v>2</v>
      </c>
      <c r="BK79" s="13">
        <v>2</v>
      </c>
      <c r="BL79" s="14">
        <v>1</v>
      </c>
      <c r="BM79" s="13">
        <v>2</v>
      </c>
      <c r="BN79" s="13">
        <v>1</v>
      </c>
      <c r="BO79" s="13">
        <v>2</v>
      </c>
      <c r="BP79" s="13">
        <v>2</v>
      </c>
      <c r="BQ79" s="13">
        <v>2</v>
      </c>
      <c r="BR79" s="13">
        <v>2</v>
      </c>
      <c r="BS79" s="13">
        <v>2</v>
      </c>
      <c r="BT79" s="13">
        <v>2</v>
      </c>
      <c r="BU79" s="13">
        <v>2</v>
      </c>
      <c r="BV79" s="13">
        <v>2</v>
      </c>
      <c r="BW79" s="13">
        <v>2</v>
      </c>
      <c r="BX79" s="13">
        <v>1</v>
      </c>
      <c r="BY79" s="13">
        <v>2</v>
      </c>
      <c r="BZ79" s="13">
        <v>2</v>
      </c>
      <c r="CA79" s="13">
        <v>2</v>
      </c>
      <c r="CB79" s="13">
        <v>2</v>
      </c>
      <c r="CC79" s="13">
        <v>2</v>
      </c>
      <c r="CD79" s="13">
        <v>2</v>
      </c>
      <c r="CE79" s="15">
        <v>2</v>
      </c>
      <c r="CF79" s="13">
        <f>COUNTIF(D79:W79,0)</f>
        <v>0</v>
      </c>
      <c r="CG79" s="13">
        <f>COUNTIF(X79:AQ79,0)</f>
        <v>0</v>
      </c>
      <c r="CH79" s="13">
        <f>COUNTIF(AR79:BK79,0)</f>
        <v>0</v>
      </c>
      <c r="CI79" s="13">
        <f>COUNTIF(BL79:CE79,0)</f>
        <v>0</v>
      </c>
    </row>
    <row r="80" spans="1:87" ht="16.2" thickBot="1" x14ac:dyDescent="0.35">
      <c r="A80" t="s">
        <v>20</v>
      </c>
      <c r="B80" s="28">
        <v>78</v>
      </c>
      <c r="C80" s="2" t="s">
        <v>20</v>
      </c>
      <c r="D80" s="19">
        <v>1</v>
      </c>
      <c r="E80" s="19">
        <v>2</v>
      </c>
      <c r="F80" s="19">
        <v>2</v>
      </c>
      <c r="G80" s="19">
        <v>2</v>
      </c>
      <c r="H80" s="19">
        <v>2</v>
      </c>
      <c r="I80" s="19">
        <v>2</v>
      </c>
      <c r="J80" s="19">
        <v>2</v>
      </c>
      <c r="K80" s="19">
        <v>2</v>
      </c>
      <c r="L80" s="19">
        <v>2</v>
      </c>
      <c r="M80" s="19">
        <v>2</v>
      </c>
      <c r="N80" s="19">
        <v>2</v>
      </c>
      <c r="O80" s="19">
        <v>2</v>
      </c>
      <c r="P80" s="19">
        <v>1</v>
      </c>
      <c r="Q80" s="19">
        <v>2</v>
      </c>
      <c r="R80" s="19">
        <v>2</v>
      </c>
      <c r="S80" s="19">
        <v>2</v>
      </c>
      <c r="T80" s="19">
        <v>2</v>
      </c>
      <c r="U80" s="19">
        <v>2</v>
      </c>
      <c r="V80" s="19">
        <v>2</v>
      </c>
      <c r="W80" s="19">
        <v>2</v>
      </c>
      <c r="X80" s="20">
        <v>2</v>
      </c>
      <c r="Y80" s="19">
        <v>2</v>
      </c>
      <c r="Z80" s="19">
        <v>2</v>
      </c>
      <c r="AA80" s="19">
        <v>2</v>
      </c>
      <c r="AB80" s="19">
        <v>2</v>
      </c>
      <c r="AC80" s="19">
        <v>2</v>
      </c>
      <c r="AD80" s="19">
        <v>2</v>
      </c>
      <c r="AE80" s="19">
        <v>2</v>
      </c>
      <c r="AF80" s="19">
        <v>2</v>
      </c>
      <c r="AG80" s="19">
        <v>2</v>
      </c>
      <c r="AH80" s="19">
        <v>2</v>
      </c>
      <c r="AI80" s="19">
        <v>2</v>
      </c>
      <c r="AJ80" s="19">
        <v>2</v>
      </c>
      <c r="AK80" s="19">
        <v>2</v>
      </c>
      <c r="AL80" s="19">
        <v>2</v>
      </c>
      <c r="AM80" s="19">
        <v>2</v>
      </c>
      <c r="AN80" s="19">
        <v>2</v>
      </c>
      <c r="AO80" s="19">
        <v>2</v>
      </c>
      <c r="AP80" s="19">
        <v>2</v>
      </c>
      <c r="AQ80" s="19">
        <v>2</v>
      </c>
      <c r="AR80" s="20">
        <v>2</v>
      </c>
      <c r="AS80" s="19">
        <v>2</v>
      </c>
      <c r="AT80" s="19">
        <v>2</v>
      </c>
      <c r="AU80" s="19">
        <v>2</v>
      </c>
      <c r="AV80" s="19">
        <v>2</v>
      </c>
      <c r="AW80" s="19">
        <v>2</v>
      </c>
      <c r="AX80" s="19">
        <v>2</v>
      </c>
      <c r="AY80" s="19">
        <v>2</v>
      </c>
      <c r="AZ80" s="19">
        <v>2</v>
      </c>
      <c r="BA80" s="19">
        <v>2</v>
      </c>
      <c r="BB80" s="19">
        <v>2</v>
      </c>
      <c r="BC80" s="19">
        <v>2</v>
      </c>
      <c r="BD80" s="19">
        <v>2</v>
      </c>
      <c r="BE80" s="19">
        <v>2</v>
      </c>
      <c r="BF80" s="19">
        <v>2</v>
      </c>
      <c r="BG80" s="19">
        <v>2</v>
      </c>
      <c r="BH80" s="19">
        <v>2</v>
      </c>
      <c r="BI80" s="19">
        <v>2</v>
      </c>
      <c r="BJ80" s="19">
        <v>2</v>
      </c>
      <c r="BK80" s="19">
        <v>2</v>
      </c>
      <c r="BL80" s="20">
        <v>1</v>
      </c>
      <c r="BM80" s="19">
        <v>2</v>
      </c>
      <c r="BN80" s="19">
        <v>1</v>
      </c>
      <c r="BO80" s="19">
        <v>2</v>
      </c>
      <c r="BP80" s="19">
        <v>2</v>
      </c>
      <c r="BQ80" s="19">
        <v>2</v>
      </c>
      <c r="BR80" s="19">
        <v>2</v>
      </c>
      <c r="BS80" s="19">
        <v>2</v>
      </c>
      <c r="BT80" s="19">
        <v>2</v>
      </c>
      <c r="BU80" s="19">
        <v>2</v>
      </c>
      <c r="BV80" s="19">
        <v>2</v>
      </c>
      <c r="BW80" s="19">
        <v>2</v>
      </c>
      <c r="BX80" s="19">
        <v>2</v>
      </c>
      <c r="BY80" s="19">
        <v>2</v>
      </c>
      <c r="BZ80" s="19">
        <v>2</v>
      </c>
      <c r="CA80" s="19">
        <v>0</v>
      </c>
      <c r="CB80" s="19">
        <v>0</v>
      </c>
      <c r="CC80" s="19">
        <v>0</v>
      </c>
      <c r="CD80" s="19">
        <v>0</v>
      </c>
      <c r="CE80" s="19">
        <v>0</v>
      </c>
      <c r="CF80" s="13">
        <f>COUNTIF(D80:W80,0)</f>
        <v>0</v>
      </c>
      <c r="CG80" s="13">
        <f>COUNTIF(X80:AQ80,0)</f>
        <v>0</v>
      </c>
      <c r="CH80" s="13">
        <f>COUNTIF(AR80:BK80,0)</f>
        <v>0</v>
      </c>
      <c r="CI80" s="13">
        <f>COUNTIF(BL80:CE80,0)</f>
        <v>5</v>
      </c>
    </row>
    <row r="81" ht="16.2" thickTop="1" x14ac:dyDescent="0.3"/>
  </sheetData>
  <mergeCells count="6">
    <mergeCell ref="BL1:CE1"/>
    <mergeCell ref="B1:B2"/>
    <mergeCell ref="C1:C2"/>
    <mergeCell ref="D1:W1"/>
    <mergeCell ref="X1:AQ1"/>
    <mergeCell ref="AR1:B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Julen Hernandez-Lallement</cp:lastModifiedBy>
  <dcterms:created xsi:type="dcterms:W3CDTF">2019-11-06T12:21:02Z</dcterms:created>
  <dcterms:modified xsi:type="dcterms:W3CDTF">2019-12-10T21:48:26Z</dcterms:modified>
</cp:coreProperties>
</file>