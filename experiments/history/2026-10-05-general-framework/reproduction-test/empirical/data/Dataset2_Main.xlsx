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eCa\Documents\working\CPR_Exps\EXP2_Restore2018\PAPER\DataOrgd\working\"/>
    </mc:Choice>
  </mc:AlternateContent>
  <xr:revisionPtr revIDLastSave="0" documentId="13_ncr:1_{C8C89C96-D5B7-4EC7-8C40-D9208FA66B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riables" sheetId="5" r:id="rId1"/>
    <sheet name="Data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C286" i="6" l="1"/>
  <c r="BI286" i="6" s="1"/>
  <c r="BB286" i="6"/>
  <c r="BH286" i="6" s="1"/>
  <c r="BA286" i="6"/>
  <c r="AZ286" i="6"/>
  <c r="BF286" i="6" s="1"/>
  <c r="AY286" i="6"/>
  <c r="BE286" i="6" s="1"/>
  <c r="AX286" i="6"/>
  <c r="BC282" i="6"/>
  <c r="BI282" i="6" s="1"/>
  <c r="BB282" i="6"/>
  <c r="BH282" i="6" s="1"/>
  <c r="BA282" i="6"/>
  <c r="AZ282" i="6"/>
  <c r="BF282" i="6" s="1"/>
  <c r="AY282" i="6"/>
  <c r="BE282" i="6" s="1"/>
  <c r="AX282" i="6"/>
  <c r="BC278" i="6"/>
  <c r="BI278" i="6" s="1"/>
  <c r="BB278" i="6"/>
  <c r="BH278" i="6" s="1"/>
  <c r="BA278" i="6"/>
  <c r="AZ278" i="6"/>
  <c r="BF278" i="6" s="1"/>
  <c r="AY278" i="6"/>
  <c r="BE278" i="6" s="1"/>
  <c r="AX278" i="6"/>
  <c r="BC274" i="6"/>
  <c r="BI274" i="6" s="1"/>
  <c r="BB274" i="6"/>
  <c r="BH274" i="6" s="1"/>
  <c r="BA274" i="6"/>
  <c r="AZ274" i="6"/>
  <c r="BF274" i="6" s="1"/>
  <c r="AY274" i="6"/>
  <c r="BE274" i="6" s="1"/>
  <c r="AX274" i="6"/>
  <c r="BC270" i="6"/>
  <c r="BI270" i="6" s="1"/>
  <c r="BB270" i="6"/>
  <c r="BH270" i="6" s="1"/>
  <c r="BA270" i="6"/>
  <c r="BG270" i="6" s="1"/>
  <c r="AZ270" i="6"/>
  <c r="BF270" i="6" s="1"/>
  <c r="AY270" i="6"/>
  <c r="BE270" i="6" s="1"/>
  <c r="AX270" i="6"/>
  <c r="BC266" i="6"/>
  <c r="BI266" i="6" s="1"/>
  <c r="BB266" i="6"/>
  <c r="BH266" i="6" s="1"/>
  <c r="BA266" i="6"/>
  <c r="AZ266" i="6"/>
  <c r="BF266" i="6" s="1"/>
  <c r="AY266" i="6"/>
  <c r="BE266" i="6" s="1"/>
  <c r="AX266" i="6"/>
  <c r="BC262" i="6"/>
  <c r="BI262" i="6" s="1"/>
  <c r="BB262" i="6"/>
  <c r="BH262" i="6" s="1"/>
  <c r="BA262" i="6"/>
  <c r="AZ262" i="6"/>
  <c r="BF262" i="6" s="1"/>
  <c r="AY262" i="6"/>
  <c r="BE262" i="6" s="1"/>
  <c r="AX262" i="6"/>
  <c r="BC258" i="6"/>
  <c r="BI258" i="6" s="1"/>
  <c r="BB258" i="6"/>
  <c r="BH258" i="6" s="1"/>
  <c r="BA258" i="6"/>
  <c r="AZ258" i="6"/>
  <c r="BF258" i="6" s="1"/>
  <c r="AY258" i="6"/>
  <c r="BE258" i="6" s="1"/>
  <c r="AX258" i="6"/>
  <c r="BC254" i="6"/>
  <c r="BI254" i="6" s="1"/>
  <c r="BB254" i="6"/>
  <c r="BH254" i="6" s="1"/>
  <c r="BA254" i="6"/>
  <c r="AZ254" i="6"/>
  <c r="BF254" i="6" s="1"/>
  <c r="AY254" i="6"/>
  <c r="BE254" i="6" s="1"/>
  <c r="AX254" i="6"/>
  <c r="BC250" i="6"/>
  <c r="BI250" i="6" s="1"/>
  <c r="BB250" i="6"/>
  <c r="BH250" i="6" s="1"/>
  <c r="BA250" i="6"/>
  <c r="AZ250" i="6"/>
  <c r="BF250" i="6" s="1"/>
  <c r="AY250" i="6"/>
  <c r="BE250" i="6" s="1"/>
  <c r="AX250" i="6"/>
  <c r="BC246" i="6"/>
  <c r="BI246" i="6" s="1"/>
  <c r="BB246" i="6"/>
  <c r="BH246" i="6" s="1"/>
  <c r="BA246" i="6"/>
  <c r="AZ246" i="6"/>
  <c r="BF246" i="6" s="1"/>
  <c r="AY246" i="6"/>
  <c r="BE246" i="6" s="1"/>
  <c r="AX246" i="6"/>
  <c r="BC242" i="6"/>
  <c r="BI242" i="6" s="1"/>
  <c r="BB242" i="6"/>
  <c r="BH242" i="6" s="1"/>
  <c r="BA242" i="6"/>
  <c r="AZ242" i="6"/>
  <c r="BF242" i="6" s="1"/>
  <c r="AY242" i="6"/>
  <c r="BE242" i="6" s="1"/>
  <c r="AX242" i="6"/>
  <c r="BC238" i="6"/>
  <c r="BI238" i="6" s="1"/>
  <c r="BB238" i="6"/>
  <c r="BH238" i="6" s="1"/>
  <c r="BA238" i="6"/>
  <c r="AZ238" i="6"/>
  <c r="BF238" i="6" s="1"/>
  <c r="AY238" i="6"/>
  <c r="BE238" i="6" s="1"/>
  <c r="AX238" i="6"/>
  <c r="BC234" i="6"/>
  <c r="BI234" i="6" s="1"/>
  <c r="BB234" i="6"/>
  <c r="BH234" i="6" s="1"/>
  <c r="BA234" i="6"/>
  <c r="AZ234" i="6"/>
  <c r="BF234" i="6" s="1"/>
  <c r="AY234" i="6"/>
  <c r="BE234" i="6" s="1"/>
  <c r="AX234" i="6"/>
  <c r="BC230" i="6"/>
  <c r="BI230" i="6" s="1"/>
  <c r="BB230" i="6"/>
  <c r="BH230" i="6" s="1"/>
  <c r="BA230" i="6"/>
  <c r="AZ230" i="6"/>
  <c r="BF230" i="6" s="1"/>
  <c r="AY230" i="6"/>
  <c r="BE230" i="6" s="1"/>
  <c r="AX230" i="6"/>
  <c r="BC226" i="6"/>
  <c r="BI226" i="6" s="1"/>
  <c r="BB226" i="6"/>
  <c r="BH226" i="6" s="1"/>
  <c r="BA226" i="6"/>
  <c r="AZ226" i="6"/>
  <c r="BF226" i="6" s="1"/>
  <c r="AY226" i="6"/>
  <c r="BE226" i="6" s="1"/>
  <c r="AX226" i="6"/>
  <c r="BC222" i="6"/>
  <c r="BI222" i="6" s="1"/>
  <c r="BB222" i="6"/>
  <c r="BH222" i="6" s="1"/>
  <c r="BA222" i="6"/>
  <c r="AZ222" i="6"/>
  <c r="BF222" i="6" s="1"/>
  <c r="AY222" i="6"/>
  <c r="BE222" i="6" s="1"/>
  <c r="AX222" i="6"/>
  <c r="BC218" i="6"/>
  <c r="BI218" i="6" s="1"/>
  <c r="BB218" i="6"/>
  <c r="BH218" i="6" s="1"/>
  <c r="BA218" i="6"/>
  <c r="AZ218" i="6"/>
  <c r="BF218" i="6" s="1"/>
  <c r="AY218" i="6"/>
  <c r="BE218" i="6" s="1"/>
  <c r="AX218" i="6"/>
  <c r="BC214" i="6"/>
  <c r="BI214" i="6" s="1"/>
  <c r="BB214" i="6"/>
  <c r="BH214" i="6" s="1"/>
  <c r="BA214" i="6"/>
  <c r="AZ214" i="6"/>
  <c r="BF214" i="6" s="1"/>
  <c r="AY214" i="6"/>
  <c r="BE214" i="6" s="1"/>
  <c r="AX214" i="6"/>
  <c r="BC210" i="6"/>
  <c r="BI210" i="6" s="1"/>
  <c r="BB210" i="6"/>
  <c r="BH210" i="6" s="1"/>
  <c r="BA210" i="6"/>
  <c r="AZ210" i="6"/>
  <c r="BF210" i="6" s="1"/>
  <c r="AY210" i="6"/>
  <c r="BE210" i="6" s="1"/>
  <c r="AX210" i="6"/>
  <c r="BC206" i="6"/>
  <c r="BI206" i="6" s="1"/>
  <c r="BB206" i="6"/>
  <c r="BH206" i="6" s="1"/>
  <c r="BA206" i="6"/>
  <c r="BG206" i="6" s="1"/>
  <c r="AZ206" i="6"/>
  <c r="BF206" i="6" s="1"/>
  <c r="AY206" i="6"/>
  <c r="BE206" i="6" s="1"/>
  <c r="AX206" i="6"/>
  <c r="BC202" i="6"/>
  <c r="BI202" i="6" s="1"/>
  <c r="BB202" i="6"/>
  <c r="BH202" i="6" s="1"/>
  <c r="BA202" i="6"/>
  <c r="AZ202" i="6"/>
  <c r="BF202" i="6" s="1"/>
  <c r="AY202" i="6"/>
  <c r="BE202" i="6" s="1"/>
  <c r="AX202" i="6"/>
  <c r="BC198" i="6"/>
  <c r="BI198" i="6" s="1"/>
  <c r="BB198" i="6"/>
  <c r="BH198" i="6" s="1"/>
  <c r="BA198" i="6"/>
  <c r="AZ198" i="6"/>
  <c r="BF198" i="6" s="1"/>
  <c r="AY198" i="6"/>
  <c r="BE198" i="6" s="1"/>
  <c r="AX198" i="6"/>
  <c r="BC194" i="6"/>
  <c r="BI194" i="6" s="1"/>
  <c r="BB194" i="6"/>
  <c r="BH194" i="6" s="1"/>
  <c r="BA194" i="6"/>
  <c r="AZ194" i="6"/>
  <c r="BF194" i="6" s="1"/>
  <c r="AY194" i="6"/>
  <c r="BE194" i="6" s="1"/>
  <c r="AX194" i="6"/>
  <c r="BC190" i="6"/>
  <c r="BI190" i="6" s="1"/>
  <c r="BB190" i="6"/>
  <c r="BH190" i="6" s="1"/>
  <c r="BA190" i="6"/>
  <c r="AZ190" i="6"/>
  <c r="BF190" i="6" s="1"/>
  <c r="AY190" i="6"/>
  <c r="BE190" i="6" s="1"/>
  <c r="AX190" i="6"/>
  <c r="BC186" i="6"/>
  <c r="BI186" i="6" s="1"/>
  <c r="BB186" i="6"/>
  <c r="BH186" i="6" s="1"/>
  <c r="BA186" i="6"/>
  <c r="AZ186" i="6"/>
  <c r="BF186" i="6" s="1"/>
  <c r="AY186" i="6"/>
  <c r="BE186" i="6" s="1"/>
  <c r="AX186" i="6"/>
  <c r="BC182" i="6"/>
  <c r="BI182" i="6" s="1"/>
  <c r="BB182" i="6"/>
  <c r="BH182" i="6" s="1"/>
  <c r="BA182" i="6"/>
  <c r="AZ182" i="6"/>
  <c r="BF182" i="6" s="1"/>
  <c r="AY182" i="6"/>
  <c r="BE182" i="6" s="1"/>
  <c r="AX182" i="6"/>
  <c r="BC178" i="6"/>
  <c r="BI178" i="6" s="1"/>
  <c r="BB178" i="6"/>
  <c r="BH178" i="6" s="1"/>
  <c r="BA178" i="6"/>
  <c r="AZ178" i="6"/>
  <c r="BF178" i="6" s="1"/>
  <c r="AY178" i="6"/>
  <c r="BE178" i="6" s="1"/>
  <c r="AX178" i="6"/>
  <c r="BC174" i="6"/>
  <c r="BI174" i="6" s="1"/>
  <c r="BB174" i="6"/>
  <c r="BH174" i="6" s="1"/>
  <c r="BA174" i="6"/>
  <c r="AZ174" i="6"/>
  <c r="BF174" i="6" s="1"/>
  <c r="AY174" i="6"/>
  <c r="BE174" i="6" s="1"/>
  <c r="AX174" i="6"/>
  <c r="BC170" i="6"/>
  <c r="BI170" i="6" s="1"/>
  <c r="BB170" i="6"/>
  <c r="BH170" i="6" s="1"/>
  <c r="BA170" i="6"/>
  <c r="AZ170" i="6"/>
  <c r="BF170" i="6" s="1"/>
  <c r="AY170" i="6"/>
  <c r="BE170" i="6" s="1"/>
  <c r="AX170" i="6"/>
  <c r="BC166" i="6"/>
  <c r="BI166" i="6" s="1"/>
  <c r="BB166" i="6"/>
  <c r="BH166" i="6" s="1"/>
  <c r="BA166" i="6"/>
  <c r="AZ166" i="6"/>
  <c r="BF166" i="6" s="1"/>
  <c r="AY166" i="6"/>
  <c r="BE166" i="6" s="1"/>
  <c r="AX166" i="6"/>
  <c r="BC162" i="6"/>
  <c r="BI162" i="6" s="1"/>
  <c r="BB162" i="6"/>
  <c r="BH162" i="6" s="1"/>
  <c r="BA162" i="6"/>
  <c r="AZ162" i="6"/>
  <c r="BF162" i="6" s="1"/>
  <c r="AY162" i="6"/>
  <c r="BE162" i="6" s="1"/>
  <c r="AX162" i="6"/>
  <c r="BC158" i="6"/>
  <c r="BI158" i="6" s="1"/>
  <c r="BB158" i="6"/>
  <c r="BH158" i="6" s="1"/>
  <c r="BA158" i="6"/>
  <c r="AZ158" i="6"/>
  <c r="BF158" i="6" s="1"/>
  <c r="AY158" i="6"/>
  <c r="BE158" i="6" s="1"/>
  <c r="AX158" i="6"/>
  <c r="BC154" i="6"/>
  <c r="BI154" i="6" s="1"/>
  <c r="BB154" i="6"/>
  <c r="BH154" i="6" s="1"/>
  <c r="BA154" i="6"/>
  <c r="AZ154" i="6"/>
  <c r="BF154" i="6" s="1"/>
  <c r="AY154" i="6"/>
  <c r="BE154" i="6" s="1"/>
  <c r="AX154" i="6"/>
  <c r="BC150" i="6"/>
  <c r="BI150" i="6" s="1"/>
  <c r="BB150" i="6"/>
  <c r="BH150" i="6" s="1"/>
  <c r="BA150" i="6"/>
  <c r="AZ150" i="6"/>
  <c r="BF150" i="6" s="1"/>
  <c r="AY150" i="6"/>
  <c r="BE150" i="6" s="1"/>
  <c r="AX150" i="6"/>
  <c r="BC146" i="6"/>
  <c r="BI146" i="6" s="1"/>
  <c r="BB146" i="6"/>
  <c r="BH146" i="6" s="1"/>
  <c r="BA146" i="6"/>
  <c r="AZ146" i="6"/>
  <c r="BF146" i="6" s="1"/>
  <c r="AY146" i="6"/>
  <c r="BE146" i="6" s="1"/>
  <c r="AX146" i="6"/>
  <c r="BC142" i="6"/>
  <c r="BI142" i="6" s="1"/>
  <c r="BB142" i="6"/>
  <c r="BH142" i="6" s="1"/>
  <c r="BA142" i="6"/>
  <c r="BG142" i="6" s="1"/>
  <c r="AZ142" i="6"/>
  <c r="BF142" i="6" s="1"/>
  <c r="AY142" i="6"/>
  <c r="BE142" i="6" s="1"/>
  <c r="AX142" i="6"/>
  <c r="BC138" i="6"/>
  <c r="BI138" i="6" s="1"/>
  <c r="BB138" i="6"/>
  <c r="BH138" i="6" s="1"/>
  <c r="BA138" i="6"/>
  <c r="AZ138" i="6"/>
  <c r="BF138" i="6" s="1"/>
  <c r="AY138" i="6"/>
  <c r="BE138" i="6" s="1"/>
  <c r="AX138" i="6"/>
  <c r="BC134" i="6"/>
  <c r="BI134" i="6" s="1"/>
  <c r="BB134" i="6"/>
  <c r="BH134" i="6" s="1"/>
  <c r="BA134" i="6"/>
  <c r="AZ134" i="6"/>
  <c r="BF134" i="6" s="1"/>
  <c r="AY134" i="6"/>
  <c r="BE134" i="6" s="1"/>
  <c r="AX134" i="6"/>
  <c r="BC130" i="6"/>
  <c r="BI130" i="6" s="1"/>
  <c r="BB130" i="6"/>
  <c r="BH130" i="6" s="1"/>
  <c r="BA130" i="6"/>
  <c r="AZ130" i="6"/>
  <c r="BF130" i="6" s="1"/>
  <c r="AY130" i="6"/>
  <c r="BE130" i="6" s="1"/>
  <c r="AX130" i="6"/>
  <c r="BC126" i="6"/>
  <c r="BI126" i="6" s="1"/>
  <c r="BB126" i="6"/>
  <c r="BH126" i="6" s="1"/>
  <c r="BA126" i="6"/>
  <c r="AZ126" i="6"/>
  <c r="BF126" i="6" s="1"/>
  <c r="AY126" i="6"/>
  <c r="BE126" i="6" s="1"/>
  <c r="AX126" i="6"/>
  <c r="BC122" i="6"/>
  <c r="BI122" i="6" s="1"/>
  <c r="BB122" i="6"/>
  <c r="BH122" i="6" s="1"/>
  <c r="BA122" i="6"/>
  <c r="AZ122" i="6"/>
  <c r="BF122" i="6" s="1"/>
  <c r="AY122" i="6"/>
  <c r="BE122" i="6" s="1"/>
  <c r="AX122" i="6"/>
  <c r="BD122" i="6" s="1"/>
  <c r="BC118" i="6"/>
  <c r="BI118" i="6" s="1"/>
  <c r="BB118" i="6"/>
  <c r="BH118" i="6" s="1"/>
  <c r="BA118" i="6"/>
  <c r="AZ118" i="6"/>
  <c r="BF118" i="6" s="1"/>
  <c r="AY118" i="6"/>
  <c r="BE118" i="6" s="1"/>
  <c r="AX118" i="6"/>
  <c r="BD118" i="6" s="1"/>
  <c r="BC114" i="6"/>
  <c r="BI114" i="6" s="1"/>
  <c r="BB114" i="6"/>
  <c r="BH114" i="6" s="1"/>
  <c r="BA114" i="6"/>
  <c r="AZ114" i="6"/>
  <c r="BF114" i="6" s="1"/>
  <c r="AY114" i="6"/>
  <c r="BE114" i="6" s="1"/>
  <c r="AX114" i="6"/>
  <c r="BC110" i="6"/>
  <c r="BI110" i="6" s="1"/>
  <c r="BB110" i="6"/>
  <c r="BH110" i="6" s="1"/>
  <c r="BA110" i="6"/>
  <c r="AZ110" i="6"/>
  <c r="BF110" i="6" s="1"/>
  <c r="AY110" i="6"/>
  <c r="BE110" i="6" s="1"/>
  <c r="AX110" i="6"/>
  <c r="BC106" i="6"/>
  <c r="BI106" i="6" s="1"/>
  <c r="BB106" i="6"/>
  <c r="BH106" i="6" s="1"/>
  <c r="BA106" i="6"/>
  <c r="AZ106" i="6"/>
  <c r="BF106" i="6" s="1"/>
  <c r="AY106" i="6"/>
  <c r="BE106" i="6" s="1"/>
  <c r="AX106" i="6"/>
  <c r="BD106" i="6" s="1"/>
  <c r="BC102" i="6"/>
  <c r="BI102" i="6" s="1"/>
  <c r="BB102" i="6"/>
  <c r="BH102" i="6" s="1"/>
  <c r="BA102" i="6"/>
  <c r="AZ102" i="6"/>
  <c r="BF102" i="6" s="1"/>
  <c r="AY102" i="6"/>
  <c r="BE102" i="6" s="1"/>
  <c r="AX102" i="6"/>
  <c r="BD102" i="6" s="1"/>
  <c r="BC98" i="6"/>
  <c r="BI98" i="6" s="1"/>
  <c r="BB98" i="6"/>
  <c r="BH98" i="6" s="1"/>
  <c r="BA98" i="6"/>
  <c r="AZ98" i="6"/>
  <c r="BF98" i="6" s="1"/>
  <c r="AY98" i="6"/>
  <c r="BE98" i="6" s="1"/>
  <c r="AX98" i="6"/>
  <c r="BC94" i="6"/>
  <c r="BI94" i="6" s="1"/>
  <c r="BB94" i="6"/>
  <c r="BH94" i="6" s="1"/>
  <c r="BA94" i="6"/>
  <c r="AZ94" i="6"/>
  <c r="BF94" i="6" s="1"/>
  <c r="AY94" i="6"/>
  <c r="BE94" i="6" s="1"/>
  <c r="AX94" i="6"/>
  <c r="BC90" i="6"/>
  <c r="BI90" i="6" s="1"/>
  <c r="BB90" i="6"/>
  <c r="BH90" i="6" s="1"/>
  <c r="BA90" i="6"/>
  <c r="AZ90" i="6"/>
  <c r="BF90" i="6" s="1"/>
  <c r="AY90" i="6"/>
  <c r="BE90" i="6" s="1"/>
  <c r="AX90" i="6"/>
  <c r="BD90" i="6" s="1"/>
  <c r="BC86" i="6"/>
  <c r="BI86" i="6" s="1"/>
  <c r="BB86" i="6"/>
  <c r="BH86" i="6" s="1"/>
  <c r="BA86" i="6"/>
  <c r="AZ86" i="6"/>
  <c r="BF86" i="6" s="1"/>
  <c r="AY86" i="6"/>
  <c r="BE86" i="6" s="1"/>
  <c r="AX86" i="6"/>
  <c r="BD86" i="6" s="1"/>
  <c r="BC82" i="6"/>
  <c r="BI82" i="6" s="1"/>
  <c r="BB82" i="6"/>
  <c r="BH82" i="6" s="1"/>
  <c r="BA82" i="6"/>
  <c r="AZ82" i="6"/>
  <c r="BF82" i="6" s="1"/>
  <c r="AY82" i="6"/>
  <c r="BE82" i="6" s="1"/>
  <c r="AX82" i="6"/>
  <c r="BC78" i="6"/>
  <c r="BI78" i="6" s="1"/>
  <c r="BB78" i="6"/>
  <c r="BH78" i="6" s="1"/>
  <c r="BA78" i="6"/>
  <c r="AZ78" i="6"/>
  <c r="BF78" i="6" s="1"/>
  <c r="AY78" i="6"/>
  <c r="BE78" i="6" s="1"/>
  <c r="AX78" i="6"/>
  <c r="BC74" i="6"/>
  <c r="BI74" i="6" s="1"/>
  <c r="BB74" i="6"/>
  <c r="BH74" i="6" s="1"/>
  <c r="BA74" i="6"/>
  <c r="AZ74" i="6"/>
  <c r="BF74" i="6" s="1"/>
  <c r="AY74" i="6"/>
  <c r="BE74" i="6" s="1"/>
  <c r="AX74" i="6"/>
  <c r="BD74" i="6" s="1"/>
  <c r="BC70" i="6"/>
  <c r="BI70" i="6" s="1"/>
  <c r="BB70" i="6"/>
  <c r="BH70" i="6" s="1"/>
  <c r="BA70" i="6"/>
  <c r="AZ70" i="6"/>
  <c r="BF70" i="6" s="1"/>
  <c r="AY70" i="6"/>
  <c r="BE70" i="6" s="1"/>
  <c r="AX70" i="6"/>
  <c r="BD70" i="6" s="1"/>
  <c r="BC66" i="6"/>
  <c r="BI66" i="6" s="1"/>
  <c r="BB66" i="6"/>
  <c r="BH66" i="6" s="1"/>
  <c r="BA66" i="6"/>
  <c r="AZ66" i="6"/>
  <c r="BF66" i="6" s="1"/>
  <c r="AY66" i="6"/>
  <c r="BE66" i="6" s="1"/>
  <c r="AX66" i="6"/>
  <c r="BC62" i="6"/>
  <c r="BI62" i="6" s="1"/>
  <c r="BB62" i="6"/>
  <c r="BH62" i="6" s="1"/>
  <c r="BA62" i="6"/>
  <c r="AZ62" i="6"/>
  <c r="BF62" i="6" s="1"/>
  <c r="AY62" i="6"/>
  <c r="BE62" i="6" s="1"/>
  <c r="AX62" i="6"/>
  <c r="BC58" i="6"/>
  <c r="BI58" i="6" s="1"/>
  <c r="BB58" i="6"/>
  <c r="BH58" i="6" s="1"/>
  <c r="BA58" i="6"/>
  <c r="AZ58" i="6"/>
  <c r="BF58" i="6" s="1"/>
  <c r="AY58" i="6"/>
  <c r="BE58" i="6" s="1"/>
  <c r="AX58" i="6"/>
  <c r="BD58" i="6" s="1"/>
  <c r="BC54" i="6"/>
  <c r="BI54" i="6" s="1"/>
  <c r="BB54" i="6"/>
  <c r="BH54" i="6" s="1"/>
  <c r="BA54" i="6"/>
  <c r="AZ54" i="6"/>
  <c r="BF54" i="6" s="1"/>
  <c r="AY54" i="6"/>
  <c r="BE54" i="6" s="1"/>
  <c r="AX54" i="6"/>
  <c r="BD54" i="6" s="1"/>
  <c r="BC50" i="6"/>
  <c r="BI50" i="6" s="1"/>
  <c r="BB50" i="6"/>
  <c r="BH50" i="6" s="1"/>
  <c r="BA50" i="6"/>
  <c r="AZ50" i="6"/>
  <c r="BF50" i="6" s="1"/>
  <c r="AY50" i="6"/>
  <c r="BE50" i="6" s="1"/>
  <c r="AX50" i="6"/>
  <c r="BC46" i="6"/>
  <c r="BI46" i="6" s="1"/>
  <c r="BB46" i="6"/>
  <c r="BH46" i="6" s="1"/>
  <c r="BA46" i="6"/>
  <c r="AZ46" i="6"/>
  <c r="BF46" i="6" s="1"/>
  <c r="AY46" i="6"/>
  <c r="BE46" i="6" s="1"/>
  <c r="AX46" i="6"/>
  <c r="BC42" i="6"/>
  <c r="BI42" i="6" s="1"/>
  <c r="BB42" i="6"/>
  <c r="BH42" i="6" s="1"/>
  <c r="BA42" i="6"/>
  <c r="AZ42" i="6"/>
  <c r="BF42" i="6" s="1"/>
  <c r="AY42" i="6"/>
  <c r="BE42" i="6" s="1"/>
  <c r="AX42" i="6"/>
  <c r="BD42" i="6" s="1"/>
  <c r="BC38" i="6"/>
  <c r="BI38" i="6" s="1"/>
  <c r="BB38" i="6"/>
  <c r="BH38" i="6" s="1"/>
  <c r="BA38" i="6"/>
  <c r="AZ38" i="6"/>
  <c r="BF38" i="6" s="1"/>
  <c r="AY38" i="6"/>
  <c r="BE38" i="6" s="1"/>
  <c r="AX38" i="6"/>
  <c r="BD38" i="6" s="1"/>
  <c r="BC34" i="6"/>
  <c r="BI34" i="6" s="1"/>
  <c r="BB34" i="6"/>
  <c r="BH34" i="6" s="1"/>
  <c r="BA34" i="6"/>
  <c r="AZ34" i="6"/>
  <c r="BF34" i="6" s="1"/>
  <c r="AY34" i="6"/>
  <c r="BE34" i="6" s="1"/>
  <c r="AX34" i="6"/>
  <c r="BC30" i="6"/>
  <c r="BI30" i="6" s="1"/>
  <c r="BB30" i="6"/>
  <c r="BH30" i="6" s="1"/>
  <c r="BA30" i="6"/>
  <c r="AZ30" i="6"/>
  <c r="BF30" i="6" s="1"/>
  <c r="AY30" i="6"/>
  <c r="BE30" i="6" s="1"/>
  <c r="AX30" i="6"/>
  <c r="BC26" i="6"/>
  <c r="BI26" i="6" s="1"/>
  <c r="BB26" i="6"/>
  <c r="BH26" i="6" s="1"/>
  <c r="BA26" i="6"/>
  <c r="AZ26" i="6"/>
  <c r="BF26" i="6" s="1"/>
  <c r="AY26" i="6"/>
  <c r="BE26" i="6" s="1"/>
  <c r="AX26" i="6"/>
  <c r="BD26" i="6" s="1"/>
  <c r="BC22" i="6"/>
  <c r="BI22" i="6" s="1"/>
  <c r="BB22" i="6"/>
  <c r="BH22" i="6" s="1"/>
  <c r="BA22" i="6"/>
  <c r="AZ22" i="6"/>
  <c r="BF22" i="6" s="1"/>
  <c r="AY22" i="6"/>
  <c r="BE22" i="6" s="1"/>
  <c r="AX22" i="6"/>
  <c r="BD22" i="6" s="1"/>
  <c r="BC18" i="6"/>
  <c r="BI18" i="6" s="1"/>
  <c r="BB18" i="6"/>
  <c r="BH18" i="6" s="1"/>
  <c r="BA18" i="6"/>
  <c r="AZ18" i="6"/>
  <c r="BF18" i="6" s="1"/>
  <c r="AY18" i="6"/>
  <c r="BE18" i="6" s="1"/>
  <c r="AX18" i="6"/>
  <c r="BC14" i="6"/>
  <c r="BI14" i="6" s="1"/>
  <c r="BB14" i="6"/>
  <c r="BH14" i="6" s="1"/>
  <c r="BA14" i="6"/>
  <c r="AZ14" i="6"/>
  <c r="BF14" i="6" s="1"/>
  <c r="AY14" i="6"/>
  <c r="BE14" i="6" s="1"/>
  <c r="AX14" i="6"/>
  <c r="BC10" i="6"/>
  <c r="BI10" i="6" s="1"/>
  <c r="BB10" i="6"/>
  <c r="BH10" i="6" s="1"/>
  <c r="BA10" i="6"/>
  <c r="AZ10" i="6"/>
  <c r="BF10" i="6" s="1"/>
  <c r="AY10" i="6"/>
  <c r="BE10" i="6" s="1"/>
  <c r="AX10" i="6"/>
  <c r="BD10" i="6" s="1"/>
  <c r="BC6" i="6"/>
  <c r="BI6" i="6" s="1"/>
  <c r="BB6" i="6"/>
  <c r="BH6" i="6" s="1"/>
  <c r="BA6" i="6"/>
  <c r="AZ6" i="6"/>
  <c r="BF6" i="6" s="1"/>
  <c r="AY6" i="6"/>
  <c r="BE6" i="6" s="1"/>
  <c r="AX6" i="6"/>
  <c r="BD6" i="6" s="1"/>
  <c r="BC2" i="6"/>
  <c r="BI2" i="6" s="1"/>
  <c r="BB2" i="6"/>
  <c r="BH2" i="6" s="1"/>
  <c r="BA2" i="6"/>
  <c r="AZ2" i="6"/>
  <c r="BF2" i="6" s="1"/>
  <c r="AY2" i="6"/>
  <c r="BE2" i="6" s="1"/>
  <c r="AX2" i="6"/>
  <c r="BJ2" i="6" l="1"/>
  <c r="BL2" i="6" s="1"/>
  <c r="BN2" i="6" s="1"/>
  <c r="BJ18" i="6"/>
  <c r="BL18" i="6" s="1"/>
  <c r="BN18" i="6" s="1"/>
  <c r="BJ34" i="6"/>
  <c r="BL34" i="6" s="1"/>
  <c r="BN34" i="6" s="1"/>
  <c r="BJ50" i="6"/>
  <c r="BL50" i="6" s="1"/>
  <c r="BJ66" i="6"/>
  <c r="BL66" i="6" s="1"/>
  <c r="BJ82" i="6"/>
  <c r="BL82" i="6" s="1"/>
  <c r="BN82" i="6" s="1"/>
  <c r="BJ98" i="6"/>
  <c r="BL98" i="6" s="1"/>
  <c r="BN98" i="6" s="1"/>
  <c r="BJ114" i="6"/>
  <c r="BL114" i="6" s="1"/>
  <c r="BN114" i="6" s="1"/>
  <c r="BK10" i="6"/>
  <c r="BM10" i="6" s="1"/>
  <c r="BO10" i="6" s="1"/>
  <c r="BK26" i="6"/>
  <c r="BK42" i="6"/>
  <c r="BM42" i="6" s="1"/>
  <c r="BO42" i="6" s="1"/>
  <c r="BK58" i="6"/>
  <c r="BM58" i="6" s="1"/>
  <c r="BO58" i="6" s="1"/>
  <c r="BK74" i="6"/>
  <c r="BM74" i="6" s="1"/>
  <c r="BO74" i="6" s="1"/>
  <c r="BK90" i="6"/>
  <c r="BM90" i="6" s="1"/>
  <c r="BO90" i="6" s="1"/>
  <c r="BK106" i="6"/>
  <c r="BM106" i="6" s="1"/>
  <c r="BO106" i="6" s="1"/>
  <c r="BK122" i="6"/>
  <c r="BM122" i="6" s="1"/>
  <c r="BO122" i="6" s="1"/>
  <c r="BK138" i="6"/>
  <c r="BM138" i="6" s="1"/>
  <c r="BO138" i="6" s="1"/>
  <c r="BK154" i="6"/>
  <c r="BM154" i="6" s="1"/>
  <c r="BO154" i="6" s="1"/>
  <c r="BK170" i="6"/>
  <c r="BM170" i="6" s="1"/>
  <c r="BO170" i="6" s="1"/>
  <c r="BK186" i="6"/>
  <c r="BM186" i="6" s="1"/>
  <c r="BO186" i="6" s="1"/>
  <c r="BK202" i="6"/>
  <c r="BM202" i="6" s="1"/>
  <c r="BO202" i="6" s="1"/>
  <c r="BK218" i="6"/>
  <c r="BM218" i="6" s="1"/>
  <c r="BO218" i="6" s="1"/>
  <c r="BK234" i="6"/>
  <c r="BM234" i="6" s="1"/>
  <c r="BO234" i="6" s="1"/>
  <c r="BK250" i="6"/>
  <c r="BM250" i="6" s="1"/>
  <c r="BO250" i="6" s="1"/>
  <c r="BK266" i="6"/>
  <c r="BM266" i="6" s="1"/>
  <c r="BO266" i="6" s="1"/>
  <c r="BK282" i="6"/>
  <c r="BM282" i="6" s="1"/>
  <c r="BO282" i="6" s="1"/>
  <c r="BJ14" i="6"/>
  <c r="BL14" i="6" s="1"/>
  <c r="BN14" i="6" s="1"/>
  <c r="BJ30" i="6"/>
  <c r="BL30" i="6" s="1"/>
  <c r="BN30" i="6" s="1"/>
  <c r="BJ46" i="6"/>
  <c r="BL46" i="6" s="1"/>
  <c r="BN46" i="6" s="1"/>
  <c r="BJ62" i="6"/>
  <c r="BL62" i="6" s="1"/>
  <c r="BJ78" i="6"/>
  <c r="BL78" i="6" s="1"/>
  <c r="BN78" i="6" s="1"/>
  <c r="BJ94" i="6"/>
  <c r="BL94" i="6" s="1"/>
  <c r="BN94" i="6" s="1"/>
  <c r="BJ110" i="6"/>
  <c r="BL110" i="6" s="1"/>
  <c r="BN110" i="6" s="1"/>
  <c r="BK14" i="6"/>
  <c r="BM14" i="6" s="1"/>
  <c r="BO14" i="6" s="1"/>
  <c r="BK46" i="6"/>
  <c r="BM46" i="6" s="1"/>
  <c r="BO46" i="6" s="1"/>
  <c r="BK62" i="6"/>
  <c r="BM62" i="6" s="1"/>
  <c r="BO62" i="6" s="1"/>
  <c r="BK78" i="6"/>
  <c r="BM78" i="6" s="1"/>
  <c r="BO78" i="6" s="1"/>
  <c r="BK94" i="6"/>
  <c r="BM94" i="6" s="1"/>
  <c r="BO94" i="6" s="1"/>
  <c r="BK110" i="6"/>
  <c r="BM110" i="6" s="1"/>
  <c r="BO110" i="6" s="1"/>
  <c r="BK126" i="6"/>
  <c r="BM126" i="6" s="1"/>
  <c r="BO126" i="6" s="1"/>
  <c r="BK142" i="6"/>
  <c r="BM142" i="6" s="1"/>
  <c r="BO142" i="6" s="1"/>
  <c r="BK158" i="6"/>
  <c r="BM158" i="6" s="1"/>
  <c r="BO158" i="6" s="1"/>
  <c r="BK174" i="6"/>
  <c r="BM174" i="6" s="1"/>
  <c r="BO174" i="6" s="1"/>
  <c r="BK190" i="6"/>
  <c r="BM190" i="6" s="1"/>
  <c r="BO190" i="6" s="1"/>
  <c r="BK206" i="6"/>
  <c r="BM206" i="6" s="1"/>
  <c r="BO206" i="6" s="1"/>
  <c r="BK222" i="6"/>
  <c r="BM222" i="6" s="1"/>
  <c r="BO222" i="6" s="1"/>
  <c r="BK238" i="6"/>
  <c r="BM238" i="6" s="1"/>
  <c r="BO238" i="6" s="1"/>
  <c r="BK254" i="6"/>
  <c r="BM254" i="6" s="1"/>
  <c r="BO254" i="6" s="1"/>
  <c r="BK270" i="6"/>
  <c r="BM270" i="6" s="1"/>
  <c r="BO270" i="6" s="1"/>
  <c r="BG286" i="6"/>
  <c r="BK286" i="6"/>
  <c r="BM286" i="6" s="1"/>
  <c r="BO286" i="6" s="1"/>
  <c r="BG158" i="6"/>
  <c r="BG222" i="6"/>
  <c r="BK30" i="6"/>
  <c r="BJ6" i="6"/>
  <c r="BL6" i="6" s="1"/>
  <c r="BN6" i="6" s="1"/>
  <c r="BJ22" i="6"/>
  <c r="BL22" i="6" s="1"/>
  <c r="BN22" i="6" s="1"/>
  <c r="BJ38" i="6"/>
  <c r="BL38" i="6" s="1"/>
  <c r="BN38" i="6" s="1"/>
  <c r="BJ54" i="6"/>
  <c r="BL54" i="6" s="1"/>
  <c r="BJ70" i="6"/>
  <c r="BL70" i="6" s="1"/>
  <c r="BJ86" i="6"/>
  <c r="BL86" i="6" s="1"/>
  <c r="BN86" i="6" s="1"/>
  <c r="BJ102" i="6"/>
  <c r="BL102" i="6" s="1"/>
  <c r="BN102" i="6" s="1"/>
  <c r="BJ118" i="6"/>
  <c r="BL118" i="6" s="1"/>
  <c r="BN118" i="6" s="1"/>
  <c r="BJ134" i="6"/>
  <c r="BL134" i="6" s="1"/>
  <c r="BN134" i="6" s="1"/>
  <c r="BD134" i="6"/>
  <c r="BJ150" i="6"/>
  <c r="BL150" i="6" s="1"/>
  <c r="BN150" i="6" s="1"/>
  <c r="BD150" i="6"/>
  <c r="BJ166" i="6"/>
  <c r="BL166" i="6" s="1"/>
  <c r="BN166" i="6" s="1"/>
  <c r="BD166" i="6"/>
  <c r="BJ182" i="6"/>
  <c r="BL182" i="6" s="1"/>
  <c r="BN182" i="6" s="1"/>
  <c r="BD182" i="6"/>
  <c r="BJ198" i="6"/>
  <c r="BL198" i="6" s="1"/>
  <c r="BN198" i="6" s="1"/>
  <c r="BD198" i="6"/>
  <c r="BJ214" i="6"/>
  <c r="BL214" i="6" s="1"/>
  <c r="BN214" i="6" s="1"/>
  <c r="BD214" i="6"/>
  <c r="BJ230" i="6"/>
  <c r="BL230" i="6" s="1"/>
  <c r="BN230" i="6" s="1"/>
  <c r="BD230" i="6"/>
  <c r="BJ246" i="6"/>
  <c r="BL246" i="6" s="1"/>
  <c r="BN246" i="6" s="1"/>
  <c r="BD246" i="6"/>
  <c r="BJ262" i="6"/>
  <c r="BL262" i="6" s="1"/>
  <c r="BN262" i="6" s="1"/>
  <c r="BD262" i="6"/>
  <c r="BJ278" i="6"/>
  <c r="BL278" i="6" s="1"/>
  <c r="BN278" i="6" s="1"/>
  <c r="BD278" i="6"/>
  <c r="BG14" i="6"/>
  <c r="BG30" i="6"/>
  <c r="BG46" i="6"/>
  <c r="BG62" i="6"/>
  <c r="BG78" i="6"/>
  <c r="BG94" i="6"/>
  <c r="BG110" i="6"/>
  <c r="BG138" i="6"/>
  <c r="BG202" i="6"/>
  <c r="BG266" i="6"/>
  <c r="BJ146" i="6"/>
  <c r="BL146" i="6" s="1"/>
  <c r="BN146" i="6" s="1"/>
  <c r="BD146" i="6"/>
  <c r="BJ258" i="6"/>
  <c r="BL258" i="6" s="1"/>
  <c r="BN258" i="6" s="1"/>
  <c r="BD258" i="6"/>
  <c r="BG10" i="6"/>
  <c r="BG122" i="6"/>
  <c r="BK6" i="6"/>
  <c r="BM6" i="6" s="1"/>
  <c r="BO6" i="6" s="1"/>
  <c r="BK22" i="6"/>
  <c r="BK38" i="6"/>
  <c r="BM38" i="6" s="1"/>
  <c r="BO38" i="6" s="1"/>
  <c r="BK54" i="6"/>
  <c r="BM54" i="6" s="1"/>
  <c r="BO54" i="6" s="1"/>
  <c r="BK70" i="6"/>
  <c r="BM70" i="6" s="1"/>
  <c r="BO70" i="6" s="1"/>
  <c r="BK86" i="6"/>
  <c r="BM86" i="6" s="1"/>
  <c r="BO86" i="6" s="1"/>
  <c r="BK102" i="6"/>
  <c r="BM102" i="6" s="1"/>
  <c r="BO102" i="6" s="1"/>
  <c r="BK118" i="6"/>
  <c r="BM118" i="6" s="1"/>
  <c r="BO118" i="6" s="1"/>
  <c r="BK134" i="6"/>
  <c r="BM134" i="6" s="1"/>
  <c r="BO134" i="6" s="1"/>
  <c r="BG134" i="6"/>
  <c r="BK150" i="6"/>
  <c r="BM150" i="6" s="1"/>
  <c r="BO150" i="6" s="1"/>
  <c r="BG150" i="6"/>
  <c r="BK166" i="6"/>
  <c r="BM166" i="6" s="1"/>
  <c r="BO166" i="6" s="1"/>
  <c r="BG166" i="6"/>
  <c r="BK182" i="6"/>
  <c r="BM182" i="6" s="1"/>
  <c r="BO182" i="6" s="1"/>
  <c r="BG182" i="6"/>
  <c r="BK198" i="6"/>
  <c r="BM198" i="6" s="1"/>
  <c r="BO198" i="6" s="1"/>
  <c r="BG198" i="6"/>
  <c r="BK214" i="6"/>
  <c r="BM214" i="6" s="1"/>
  <c r="BO214" i="6" s="1"/>
  <c r="BG214" i="6"/>
  <c r="BK230" i="6"/>
  <c r="BM230" i="6" s="1"/>
  <c r="BO230" i="6" s="1"/>
  <c r="BG230" i="6"/>
  <c r="BK246" i="6"/>
  <c r="BM246" i="6" s="1"/>
  <c r="BO246" i="6" s="1"/>
  <c r="BG246" i="6"/>
  <c r="BK262" i="6"/>
  <c r="BM262" i="6" s="1"/>
  <c r="BO262" i="6" s="1"/>
  <c r="BG262" i="6"/>
  <c r="BK278" i="6"/>
  <c r="BM278" i="6" s="1"/>
  <c r="BO278" i="6" s="1"/>
  <c r="BG278" i="6"/>
  <c r="BD2" i="6"/>
  <c r="BD18" i="6"/>
  <c r="BD34" i="6"/>
  <c r="BD50" i="6"/>
  <c r="BD66" i="6"/>
  <c r="BD82" i="6"/>
  <c r="BD98" i="6"/>
  <c r="BD114" i="6"/>
  <c r="BG126" i="6"/>
  <c r="BG190" i="6"/>
  <c r="BG254" i="6"/>
  <c r="BJ130" i="6"/>
  <c r="BL130" i="6" s="1"/>
  <c r="BN130" i="6" s="1"/>
  <c r="BD130" i="6"/>
  <c r="BJ162" i="6"/>
  <c r="BL162" i="6" s="1"/>
  <c r="BN162" i="6" s="1"/>
  <c r="BD162" i="6"/>
  <c r="BG26" i="6"/>
  <c r="BG90" i="6"/>
  <c r="BG186" i="6"/>
  <c r="BG250" i="6"/>
  <c r="BJ126" i="6"/>
  <c r="BL126" i="6" s="1"/>
  <c r="BN126" i="6" s="1"/>
  <c r="BD126" i="6"/>
  <c r="BJ142" i="6"/>
  <c r="BL142" i="6" s="1"/>
  <c r="BN142" i="6" s="1"/>
  <c r="BD142" i="6"/>
  <c r="BJ158" i="6"/>
  <c r="BL158" i="6" s="1"/>
  <c r="BN158" i="6" s="1"/>
  <c r="BD158" i="6"/>
  <c r="BJ174" i="6"/>
  <c r="BL174" i="6" s="1"/>
  <c r="BN174" i="6" s="1"/>
  <c r="BD174" i="6"/>
  <c r="BJ190" i="6"/>
  <c r="BL190" i="6" s="1"/>
  <c r="BN190" i="6" s="1"/>
  <c r="BD190" i="6"/>
  <c r="BJ206" i="6"/>
  <c r="BL206" i="6" s="1"/>
  <c r="BN206" i="6" s="1"/>
  <c r="BD206" i="6"/>
  <c r="BJ222" i="6"/>
  <c r="BL222" i="6" s="1"/>
  <c r="BN222" i="6" s="1"/>
  <c r="BD222" i="6"/>
  <c r="BJ238" i="6"/>
  <c r="BL238" i="6" s="1"/>
  <c r="BN238" i="6" s="1"/>
  <c r="BD238" i="6"/>
  <c r="BJ254" i="6"/>
  <c r="BL254" i="6" s="1"/>
  <c r="BN254" i="6" s="1"/>
  <c r="BD254" i="6"/>
  <c r="BJ270" i="6"/>
  <c r="BL270" i="6" s="1"/>
  <c r="BN270" i="6" s="1"/>
  <c r="BD270" i="6"/>
  <c r="BJ286" i="6"/>
  <c r="BL286" i="6" s="1"/>
  <c r="BN286" i="6" s="1"/>
  <c r="BD286" i="6"/>
  <c r="BG6" i="6"/>
  <c r="BG22" i="6"/>
  <c r="BG38" i="6"/>
  <c r="BG54" i="6"/>
  <c r="BG70" i="6"/>
  <c r="BG86" i="6"/>
  <c r="BG102" i="6"/>
  <c r="BG118" i="6"/>
  <c r="BG170" i="6"/>
  <c r="BG234" i="6"/>
  <c r="BJ194" i="6"/>
  <c r="BL194" i="6" s="1"/>
  <c r="BN194" i="6" s="1"/>
  <c r="BD194" i="6"/>
  <c r="BJ242" i="6"/>
  <c r="BL242" i="6" s="1"/>
  <c r="BN242" i="6" s="1"/>
  <c r="BD242" i="6"/>
  <c r="BJ274" i="6"/>
  <c r="BL274" i="6" s="1"/>
  <c r="BN274" i="6" s="1"/>
  <c r="BD274" i="6"/>
  <c r="BG42" i="6"/>
  <c r="BG106" i="6"/>
  <c r="BK2" i="6"/>
  <c r="BM2" i="6" s="1"/>
  <c r="BO2" i="6" s="1"/>
  <c r="BK18" i="6"/>
  <c r="BK34" i="6"/>
  <c r="BK50" i="6"/>
  <c r="BM50" i="6" s="1"/>
  <c r="BO50" i="6" s="1"/>
  <c r="BK66" i="6"/>
  <c r="BM66" i="6" s="1"/>
  <c r="BO66" i="6" s="1"/>
  <c r="BK82" i="6"/>
  <c r="BM82" i="6" s="1"/>
  <c r="BO82" i="6" s="1"/>
  <c r="BK98" i="6"/>
  <c r="BM98" i="6" s="1"/>
  <c r="BO98" i="6" s="1"/>
  <c r="BK114" i="6"/>
  <c r="BM114" i="6" s="1"/>
  <c r="BO114" i="6" s="1"/>
  <c r="BG130" i="6"/>
  <c r="BK130" i="6"/>
  <c r="BM130" i="6" s="1"/>
  <c r="BO130" i="6" s="1"/>
  <c r="BG146" i="6"/>
  <c r="BK146" i="6"/>
  <c r="BM146" i="6" s="1"/>
  <c r="BO146" i="6" s="1"/>
  <c r="BG162" i="6"/>
  <c r="BK162" i="6"/>
  <c r="BM162" i="6" s="1"/>
  <c r="BO162" i="6" s="1"/>
  <c r="BG178" i="6"/>
  <c r="BK178" i="6"/>
  <c r="BM178" i="6" s="1"/>
  <c r="BO178" i="6" s="1"/>
  <c r="BG194" i="6"/>
  <c r="BK194" i="6"/>
  <c r="BM194" i="6" s="1"/>
  <c r="BO194" i="6" s="1"/>
  <c r="BG210" i="6"/>
  <c r="BK210" i="6"/>
  <c r="BM210" i="6" s="1"/>
  <c r="BO210" i="6" s="1"/>
  <c r="BG226" i="6"/>
  <c r="BK226" i="6"/>
  <c r="BM226" i="6" s="1"/>
  <c r="BO226" i="6" s="1"/>
  <c r="BG242" i="6"/>
  <c r="BK242" i="6"/>
  <c r="BM242" i="6" s="1"/>
  <c r="BO242" i="6" s="1"/>
  <c r="BG258" i="6"/>
  <c r="BK258" i="6"/>
  <c r="BM258" i="6" s="1"/>
  <c r="BO258" i="6" s="1"/>
  <c r="BG274" i="6"/>
  <c r="BK274" i="6"/>
  <c r="BM274" i="6" s="1"/>
  <c r="BO274" i="6" s="1"/>
  <c r="BD14" i="6"/>
  <c r="BD30" i="6"/>
  <c r="BD46" i="6"/>
  <c r="BD62" i="6"/>
  <c r="BD78" i="6"/>
  <c r="BD94" i="6"/>
  <c r="BD110" i="6"/>
  <c r="BG174" i="6"/>
  <c r="BG238" i="6"/>
  <c r="BJ178" i="6"/>
  <c r="BL178" i="6" s="1"/>
  <c r="BN178" i="6" s="1"/>
  <c r="BD178" i="6"/>
  <c r="BJ210" i="6"/>
  <c r="BL210" i="6" s="1"/>
  <c r="BN210" i="6" s="1"/>
  <c r="BD210" i="6"/>
  <c r="BJ226" i="6"/>
  <c r="BL226" i="6" s="1"/>
  <c r="BN226" i="6" s="1"/>
  <c r="BD226" i="6"/>
  <c r="BG58" i="6"/>
  <c r="BG74" i="6"/>
  <c r="BJ10" i="6"/>
  <c r="BL10" i="6" s="1"/>
  <c r="BN10" i="6" s="1"/>
  <c r="BJ26" i="6"/>
  <c r="BL26" i="6" s="1"/>
  <c r="BN26" i="6" s="1"/>
  <c r="BJ42" i="6"/>
  <c r="BL42" i="6" s="1"/>
  <c r="BN42" i="6" s="1"/>
  <c r="BJ58" i="6"/>
  <c r="BL58" i="6" s="1"/>
  <c r="BJ74" i="6"/>
  <c r="BL74" i="6" s="1"/>
  <c r="BN74" i="6" s="1"/>
  <c r="BJ90" i="6"/>
  <c r="BL90" i="6" s="1"/>
  <c r="BN90" i="6" s="1"/>
  <c r="BJ106" i="6"/>
  <c r="BL106" i="6" s="1"/>
  <c r="BN106" i="6" s="1"/>
  <c r="BJ122" i="6"/>
  <c r="BL122" i="6" s="1"/>
  <c r="BN122" i="6" s="1"/>
  <c r="BJ138" i="6"/>
  <c r="BL138" i="6" s="1"/>
  <c r="BN138" i="6" s="1"/>
  <c r="BD138" i="6"/>
  <c r="BJ154" i="6"/>
  <c r="BL154" i="6" s="1"/>
  <c r="BN154" i="6" s="1"/>
  <c r="BD154" i="6"/>
  <c r="BJ170" i="6"/>
  <c r="BL170" i="6" s="1"/>
  <c r="BN170" i="6" s="1"/>
  <c r="BD170" i="6"/>
  <c r="BJ186" i="6"/>
  <c r="BL186" i="6" s="1"/>
  <c r="BN186" i="6" s="1"/>
  <c r="BD186" i="6"/>
  <c r="BJ202" i="6"/>
  <c r="BL202" i="6" s="1"/>
  <c r="BN202" i="6" s="1"/>
  <c r="BD202" i="6"/>
  <c r="BJ218" i="6"/>
  <c r="BL218" i="6" s="1"/>
  <c r="BN218" i="6" s="1"/>
  <c r="BD218" i="6"/>
  <c r="BJ234" i="6"/>
  <c r="BL234" i="6" s="1"/>
  <c r="BN234" i="6" s="1"/>
  <c r="BD234" i="6"/>
  <c r="BJ250" i="6"/>
  <c r="BL250" i="6" s="1"/>
  <c r="BN250" i="6" s="1"/>
  <c r="BD250" i="6"/>
  <c r="BJ266" i="6"/>
  <c r="BL266" i="6" s="1"/>
  <c r="BN266" i="6" s="1"/>
  <c r="BD266" i="6"/>
  <c r="BJ282" i="6"/>
  <c r="BL282" i="6" s="1"/>
  <c r="BN282" i="6" s="1"/>
  <c r="BD282" i="6"/>
  <c r="BG2" i="6"/>
  <c r="BG18" i="6"/>
  <c r="BG34" i="6"/>
  <c r="BG50" i="6"/>
  <c r="BG66" i="6"/>
  <c r="BG82" i="6"/>
  <c r="BG98" i="6"/>
  <c r="BG114" i="6"/>
  <c r="BG154" i="6"/>
  <c r="BG218" i="6"/>
  <c r="BG282" i="6"/>
  <c r="BM30" i="6" l="1"/>
  <c r="BO30" i="6" s="1"/>
  <c r="BN62" i="6"/>
  <c r="BN66" i="6"/>
  <c r="BM34" i="6"/>
  <c r="BO34" i="6" s="1"/>
  <c r="BM22" i="6"/>
  <c r="BO22" i="6" s="1"/>
  <c r="BN50" i="6"/>
  <c r="BM18" i="6"/>
  <c r="BO18" i="6" s="1"/>
  <c r="BN70" i="6"/>
  <c r="BN58" i="6"/>
  <c r="BN54" i="6"/>
  <c r="BM26" i="6"/>
  <c r="BO26" i="6" s="1"/>
</calcChain>
</file>

<file path=xl/sharedStrings.xml><?xml version="1.0" encoding="utf-8"?>
<sst xmlns="http://schemas.openxmlformats.org/spreadsheetml/2006/main" count="1449" uniqueCount="958">
  <si>
    <t>Session</t>
  </si>
  <si>
    <t>Quiz1</t>
  </si>
  <si>
    <t>Quiz2</t>
  </si>
  <si>
    <t>Quiz3</t>
  </si>
  <si>
    <t>Quiz4</t>
  </si>
  <si>
    <t>Quiz5</t>
  </si>
  <si>
    <t>QuizScore</t>
  </si>
  <si>
    <t>TokensRd1</t>
  </si>
  <si>
    <t>TokensRd2</t>
  </si>
  <si>
    <t>TokensRd3</t>
  </si>
  <si>
    <t>TokensRd4</t>
  </si>
  <si>
    <t>TokensRd5</t>
  </si>
  <si>
    <t>TokensRd6</t>
  </si>
  <si>
    <t>TokensRd7</t>
  </si>
  <si>
    <t>TokensRd8</t>
  </si>
  <si>
    <t>TokensRd9</t>
  </si>
  <si>
    <t>GrpTokensRd1</t>
  </si>
  <si>
    <t>GrpTokensRd2</t>
  </si>
  <si>
    <t>GrpTokensRd3</t>
  </si>
  <si>
    <t>GrpTokensRd4</t>
  </si>
  <si>
    <t>GrpTokensRd5</t>
  </si>
  <si>
    <t>GrpTokensRd6</t>
  </si>
  <si>
    <t>GrpTokensRd7</t>
  </si>
  <si>
    <t>GrpTokensRd8</t>
  </si>
  <si>
    <t>GrpTokensRd9</t>
  </si>
  <si>
    <t>Guilt1</t>
  </si>
  <si>
    <t>Guilt2</t>
  </si>
  <si>
    <t>Age</t>
  </si>
  <si>
    <t>Race</t>
  </si>
  <si>
    <t>Income</t>
  </si>
  <si>
    <t>Filter (AllGrps)</t>
  </si>
  <si>
    <t>Variable Name</t>
  </si>
  <si>
    <t>Description</t>
  </si>
  <si>
    <t>Date the participant completed the experiment session.</t>
  </si>
  <si>
    <t>Group</t>
  </si>
  <si>
    <t>Alphanumeric participant ID generated by foraging software (passed to/from the surveys to link the survey and decision data).</t>
  </si>
  <si>
    <t>Player</t>
  </si>
  <si>
    <t>Player number (1 to 4) within the group.</t>
  </si>
  <si>
    <t>Filter to select group level (i.e., aggregate) data for analysis of group processes and outcomes.</t>
  </si>
  <si>
    <t>Participant's percentage correct on Instructional Quiz (percentage correct: Quiz 1, 2, 3, 4, 5)</t>
  </si>
  <si>
    <t>Participant response to Item 1 of the Instructional Quiz given at the beginning of the experiment to ensure participants understood the token task instructions (0 incorrect, 1 correct).</t>
  </si>
  <si>
    <t>Participant response to Item 2 of the Instructional Quiz given at the beginning of the experiment to ensure participants understood the token task instructions (0 incorrect, 1 correct).</t>
  </si>
  <si>
    <t>Participant response to Item 3 of the Instructional Quiz given at the beginning of the experiment to ensure participants understood the token task instructions (0 incorrect, 1 correct).</t>
  </si>
  <si>
    <t>Participant response to Item 4 of the Instructional Quiz given at the beginning of the experiment to ensure participants understood the token task instructions (0 incorrect, 1 correct).</t>
  </si>
  <si>
    <t>Participant response to Item 5 of the Instructional Quiz given at the beginning of the experiment to ensure participants understood the token task instructions (0 incorrect, 1 correct).</t>
  </si>
  <si>
    <t>Number of tokens collected by the individual during Round 1.</t>
  </si>
  <si>
    <t>Number of tokens collected by the individual during Round 2.</t>
  </si>
  <si>
    <t>Number of tokens collected by the individual during Round 3.</t>
  </si>
  <si>
    <t>Number of tokens collected by the individual during Round 4.</t>
  </si>
  <si>
    <t>Number of tokens collected by the individual during Round 5.</t>
  </si>
  <si>
    <t>Number of tokens collected by the individual during Round 6.</t>
  </si>
  <si>
    <t>Number of tokens collected by the individual during Round 7.</t>
  </si>
  <si>
    <t>Number of tokens collected by the individual during Round 8.</t>
  </si>
  <si>
    <t>Number of tokens collected by the individual during Round 9.</t>
  </si>
  <si>
    <t>Average (mean) number of tokens collected by the group during Round 1.</t>
  </si>
  <si>
    <t>Average (mean) number of tokens collected by the group during Round 2.</t>
  </si>
  <si>
    <t>Average (mean) number of tokens collected by the group during Round 3.</t>
  </si>
  <si>
    <t>Average (mean) number of tokens collected by the group during Round 4.</t>
  </si>
  <si>
    <t>Average (mean) number of tokens collected by the group during Round 5.</t>
  </si>
  <si>
    <t>Average (mean) number of tokens collected by the group during Round 6.</t>
  </si>
  <si>
    <t>Average (mean) number of tokens collected by the group during Round 7.</t>
  </si>
  <si>
    <t>Average (mean) number of tokens collected by the group during Round 8.</t>
  </si>
  <si>
    <t>Average (mean) number of tokens collected by the group during Round 9.</t>
  </si>
  <si>
    <t>SURVEY 1 (individual responses) :</t>
  </si>
  <si>
    <t xml:space="preserve">Rule Acceptance Item 1 </t>
  </si>
  <si>
    <t xml:space="preserve">Rule Acceptance Item 2 </t>
  </si>
  <si>
    <t xml:space="preserve">Rule Acceptance Item 3 </t>
  </si>
  <si>
    <t>COMPUTED GROUP VARIABLES:</t>
  </si>
  <si>
    <t>Participant age in years</t>
  </si>
  <si>
    <t xml:space="preserve">Gender </t>
  </si>
  <si>
    <t>Gender Text</t>
  </si>
  <si>
    <t>Text response for gender "other"</t>
  </si>
  <si>
    <t>Race (1 White/Caucasian, 2 Black/African American, 3 Hispanic, 4 Asian (e.g., Japanese, Chinese, Korean), 5 Asian (e.g., Indian), 6 Native American, 7 Pacific Islander, 8 Other Please describe, 9 Decline)</t>
  </si>
  <si>
    <t>Text response for race "other"</t>
  </si>
  <si>
    <t>Race Text</t>
  </si>
  <si>
    <t>Text response for education "other"</t>
  </si>
  <si>
    <t>Ed Text</t>
  </si>
  <si>
    <t xml:space="preserve">Ed </t>
  </si>
  <si>
    <t>ClassRecruit</t>
  </si>
  <si>
    <t>Class in which participant was recruited for the experiment (i.e., class visited for recruitment).</t>
  </si>
  <si>
    <t>Received psychological research credit (0 no, 1 yes)</t>
  </si>
  <si>
    <t>PsychCredit</t>
  </si>
  <si>
    <t>Annual household income (1 Less than $20000, 2 $20000 to $29000, 3 $30000 to $49000, 4 $50000 to $74999, 5 $75000 to $99999, 6 $100000 to $149999, 7 $150000 to $199999, 8 $200000 or more, 9 decline)</t>
  </si>
  <si>
    <t>Education (1 freshman, 2 sophomore, 3 junior, 4 senior, 5 other, 6 decline)</t>
  </si>
  <si>
    <t>Participant gender (1 male, 2 female, 3 other (see Gender Text), 4 decline)</t>
  </si>
  <si>
    <t>Averages within each group.</t>
  </si>
  <si>
    <t>CODED GROUP VARIABLES:</t>
  </si>
  <si>
    <t>Group variables coded from the communication chat/text.</t>
  </si>
  <si>
    <t>PJSD</t>
  </si>
  <si>
    <t>group-8_09-06-2018-17.31.02</t>
  </si>
  <si>
    <t>group-9_09-06-2018-17.31.02</t>
  </si>
  <si>
    <t>group-8_09-14-2018-13.24.26</t>
  </si>
  <si>
    <t>group-9_09-14-2018-13.24.26</t>
  </si>
  <si>
    <t>group-8_09-18-2018-17.29.37</t>
  </si>
  <si>
    <t>group-9_09-18-2018-17.29.37</t>
  </si>
  <si>
    <t>group-12_01-24-2019-17.21.54</t>
  </si>
  <si>
    <t>group-13_01-24-2019-17.21.54</t>
  </si>
  <si>
    <t>group-14_01-24-2019-17.21.54</t>
  </si>
  <si>
    <t>group-12_09-10-2019-15.26.01</t>
  </si>
  <si>
    <t>group-13_09-10-2019-15.26.01</t>
  </si>
  <si>
    <t>group-12_09-20-2019-14.32.10</t>
  </si>
  <si>
    <t>group-13_09-20-2019-14.32.10</t>
  </si>
  <si>
    <t>group-14_09-20-2019-14.32.10</t>
  </si>
  <si>
    <t>group-8_09-13-2018-17.25.23</t>
  </si>
  <si>
    <t>group-9_09-13-2018-17.25.23</t>
  </si>
  <si>
    <t>group-8_09-21-2018-13.26.35</t>
  </si>
  <si>
    <t>group-9_09-21-2018-13.26.35</t>
  </si>
  <si>
    <t>group-8_09-25-2018-17.25.31</t>
  </si>
  <si>
    <t>group-9_09-25-2018-17.25.31</t>
  </si>
  <si>
    <t>group-8_01-25-2019-13.15.52</t>
  </si>
  <si>
    <t>group-9_01-25-2019-13.15.52</t>
  </si>
  <si>
    <t>group-12_09-06-2019-14.36.01</t>
  </si>
  <si>
    <t>group-13_09-06-2019-14.36.01</t>
  </si>
  <si>
    <t>group-14_09-06-2019-14.36.01</t>
  </si>
  <si>
    <t>group-12_09-07-2018-13.29.04</t>
  </si>
  <si>
    <t>group-13_09-07-2018-13.29.04</t>
  </si>
  <si>
    <t>group-14_09-07-2018-13.29.04</t>
  </si>
  <si>
    <t>group-12_09-12-2018-15.13.56</t>
  </si>
  <si>
    <t>group-13_09-12-2018-15.13.56</t>
  </si>
  <si>
    <t>group-14_09-12-2018-15.13.56</t>
  </si>
  <si>
    <t>group-8_09-27-2018-17.26.33</t>
  </si>
  <si>
    <t>group-9_09-27-2018-17.26.33</t>
  </si>
  <si>
    <t>group-12_09-19-2019-17.22.17</t>
  </si>
  <si>
    <t>group-13_09-19-2019-17.22.17</t>
  </si>
  <si>
    <t>group-14_09-19-2019-17.22.17</t>
  </si>
  <si>
    <t>group-12_09-11-2018-17.33.35</t>
  </si>
  <si>
    <t>group-13_09-11-2018-17.33.35</t>
  </si>
  <si>
    <t>group-14_09-11-2018-17.33.35</t>
  </si>
  <si>
    <t>group-12_09-20-2018-17.26.33</t>
  </si>
  <si>
    <t>group-13_09-20-2018-17.26.33</t>
  </si>
  <si>
    <t>group-14_09-20-2018-17.26.33</t>
  </si>
  <si>
    <t>group-12_09-28-2018-13.31.14</t>
  </si>
  <si>
    <t>group-13_09-28-2018-13.31.14</t>
  </si>
  <si>
    <t>group-14_09-28-2018-13.31.14</t>
  </si>
  <si>
    <t>group-8_09-17-2019-15.17.45</t>
  </si>
  <si>
    <t>group-9_09-17-2019-15.17.45</t>
  </si>
  <si>
    <t>group-8_01-23-2019-15.05.00</t>
  </si>
  <si>
    <t>group-9_01-23-2019-15.05.00</t>
  </si>
  <si>
    <t>group-8_01-31-2019-17.28.34</t>
  </si>
  <si>
    <t>group-9_01-31-2019-17.28.34</t>
  </si>
  <si>
    <t>group-8_02-07-2019-17.05.25</t>
  </si>
  <si>
    <t>group-9_02-07-2019-17.05.25</t>
  </si>
  <si>
    <t>group-8_02-14-2019-17.09.40</t>
  </si>
  <si>
    <t>group-9_02-14-2019-17.09.40</t>
  </si>
  <si>
    <t>group-12_09-12-2019-17.25.31</t>
  </si>
  <si>
    <t>group-13_09-12-2019-17.25.31</t>
  </si>
  <si>
    <t>group-14_09-12-2019-17.25.31</t>
  </si>
  <si>
    <t>group-8_09-24-2019-15.20.47</t>
  </si>
  <si>
    <t>group-9_09-24-2019-15.20.47</t>
  </si>
  <si>
    <t>group-8_01-29-2019-17.21.53</t>
  </si>
  <si>
    <t>group-9_01-29-2019-17.21.53</t>
  </si>
  <si>
    <t>group-8_02-01-2019-13.23.27</t>
  </si>
  <si>
    <t>group-9_02-01-2019-13.23.27</t>
  </si>
  <si>
    <t>group-8_02-08-2019-13.12.29</t>
  </si>
  <si>
    <t>group-9_02-08-2019-13.12.29</t>
  </si>
  <si>
    <t>group-8_02-12-2019-17.10.06</t>
  </si>
  <si>
    <t>group-9_02-12-2019-17.10.06</t>
  </si>
  <si>
    <t>group-8_09-13-2019-14.34.21</t>
  </si>
  <si>
    <t>group-9_09-13-2019-14.34.21</t>
  </si>
  <si>
    <t>group-8_09-27-2019-14.39.49</t>
  </si>
  <si>
    <t>group-9_09-27-2019-14.39.49</t>
  </si>
  <si>
    <t>SessID</t>
  </si>
  <si>
    <t>PID</t>
  </si>
  <si>
    <t>3af1b3ba-cfd9-4fc5-9805-70af6f54fe90</t>
  </si>
  <si>
    <t>9f9c8459-b9ca-4eb4-ac67-edb2ad724924</t>
  </si>
  <si>
    <t>30b86a12-d234-4dc1-8485-9dbc7f1bdeec</t>
  </si>
  <si>
    <t>95830e80-a400-4924-b04c-7d7f53f269d8</t>
  </si>
  <si>
    <t>5c5531c0-4b0f-42a2-bf48-51ce7ce18ff7</t>
  </si>
  <si>
    <t>2220273c-6248-44a0-8b8f-0cb2660e7dbe</t>
  </si>
  <si>
    <t>7e27e849-401e-4692-a3c4-6e3f00c02ad7</t>
  </si>
  <si>
    <t>43f5a7f0-6083-44ef-8514-8ab2db5991e1</t>
  </si>
  <si>
    <t>2a9d6b99-e5bb-43e7-bbd1-d0dcb27ab19a</t>
  </si>
  <si>
    <t>1822cba7-6d7b-461b-9c5e-a22868937962</t>
  </si>
  <si>
    <t>dce937ae-a640-4ffe-8fe9-88bd8e7ef457</t>
  </si>
  <si>
    <t>4c8df73e-6cb1-44d4-a716-44417ecd925f</t>
  </si>
  <si>
    <t>15e7ac91-b3b0-4c0b-9f22-77624010f585</t>
  </si>
  <si>
    <t>69eb7812-9550-4fdc-bc54-eaff63026795</t>
  </si>
  <si>
    <t>b4d8db6d-79ec-49bf-b498-89062e3aae5e</t>
  </si>
  <si>
    <t>a812539c-65c2-4450-b133-00778f2ca4e2</t>
  </si>
  <si>
    <t>b17d095d-0a1d-4c85-8a4c-dfd5aad326ea</t>
  </si>
  <si>
    <t>09fcd922-ff99-4d4f-9ce8-cdbf290e15e9</t>
  </si>
  <si>
    <t>88475e57-0d80-4ebd-a13e-0c1145ab6a1f</t>
  </si>
  <si>
    <t>2f6d5046-3e13-400a-92c7-61febc013185</t>
  </si>
  <si>
    <t>ca3cf22d-6890-4498-8aa9-e4c22cd78260</t>
  </si>
  <si>
    <t>51bae1a0-4e74-478c-b456-603d0313941a</t>
  </si>
  <si>
    <t>803b4f1b-0a95-4dea-aca6-5c00f60f8100</t>
  </si>
  <si>
    <t>183fb178-fabd-4a9c-9641-e3211df05002</t>
  </si>
  <si>
    <t>57b7fd49-435b-40e7-b5d0-397b2fe8e243</t>
  </si>
  <si>
    <t>bf940e20-b270-445d-a5c9-cc3046fad2db</t>
  </si>
  <si>
    <t>983b1dfd-9e25-4643-af83-13889d9857c7</t>
  </si>
  <si>
    <t>3a82bef3-a1d7-435d-a673-69cc5fb98afb</t>
  </si>
  <si>
    <t>2d0f47a8-11dc-4558-8826-dde275df81f2</t>
  </si>
  <si>
    <t>cfb07278-9954-4714-88cc-3d4964ecb054</t>
  </si>
  <si>
    <t>1710df8a-5e40-41bb-af59-a776feec3ff4</t>
  </si>
  <si>
    <t>85b4fe37-d99d-475a-b5c9-cab96de6fdbd</t>
  </si>
  <si>
    <t>eeda53ce-62f1-448d-918e-d6c68264ee97</t>
  </si>
  <si>
    <t>809b8512-e631-460b-b7cb-5e6278df2400</t>
  </si>
  <si>
    <t>38e34fc5-a7dd-49e8-9e60-52d81eb2a721</t>
  </si>
  <si>
    <t>d672acad-378b-4a3f-a5d5-3c2be78ee219</t>
  </si>
  <si>
    <t>8f7a17ae-e07a-4002-b30a-0312746694d0</t>
  </si>
  <si>
    <t>9690d0a0-a4cb-4eb1-92dc-87437d3e74ab</t>
  </si>
  <si>
    <t>3c042374-734b-4d82-855a-90ddc38e3566</t>
  </si>
  <si>
    <t>ad2b5899-e971-4614-a711-30a6796b7028</t>
  </si>
  <si>
    <t>9ad6bf9f-3fb2-4381-a473-14356ebeba0c</t>
  </si>
  <si>
    <t>cabed7df-735e-4e2c-8f66-2b0d9d9518e5</t>
  </si>
  <si>
    <t>ba5c1296-5bfe-4299-86d6-607fbe39b3ae</t>
  </si>
  <si>
    <t>11cdd98f-fe45-46c7-abf3-5ec0a7d06283</t>
  </si>
  <si>
    <t>d6e0e587-e61c-4072-9c4b-f41a54c4c019</t>
  </si>
  <si>
    <t>8c733963-aef8-40ac-960b-02f32d31e1ac</t>
  </si>
  <si>
    <t>688f6a17-339c-4437-af1f-dd332c3440b7</t>
  </si>
  <si>
    <t>d8e292b6-ec5a-4c21-8dab-7ef2af045c86</t>
  </si>
  <si>
    <t>88821d03-4d2d-44c1-89af-7a21e486da2a</t>
  </si>
  <si>
    <t>ce558fbe-a2e4-4760-862c-2e00f2d31b21</t>
  </si>
  <si>
    <t>83f67a32-417d-42f2-ae36-53d095670f85</t>
  </si>
  <si>
    <t>80c807a4-a322-4383-b95c-1f8ba0f0f353</t>
  </si>
  <si>
    <t>b56ed88d-6cde-40ad-9345-ab67e6dceab5</t>
  </si>
  <si>
    <t>3813b8b3-d642-438b-840a-250bb53c0103</t>
  </si>
  <si>
    <t>ef2f6489-846d-4d8a-a216-8ff28be83644</t>
  </si>
  <si>
    <t>8402a083-96b0-48ab-88a9-b8dfa5e1a5a6</t>
  </si>
  <si>
    <t>f7e365b8-0d25-44c0-9c27-2d0ebeec229a</t>
  </si>
  <si>
    <t>d8d8bfc1-f569-4caa-b338-7cdb6dabe92d</t>
  </si>
  <si>
    <t>e27ce09b-98be-46f3-8a6d-a5d653c4f9c0</t>
  </si>
  <si>
    <t>a05d69d6-87a5-4eac-a40b-46c47730075c</t>
  </si>
  <si>
    <t>c6464256-8300-46b2-a79a-8615bd51b04f</t>
  </si>
  <si>
    <t>6e906913-73cd-49bc-aeed-667a70fb4a80</t>
  </si>
  <si>
    <t>3337b81b-ffa8-4028-b2fa-b1d3eb45da4b</t>
  </si>
  <si>
    <t>129fc6ad-be5c-409b-be29-0d47c31e16bd</t>
  </si>
  <si>
    <t>9e87ac7e-2b30-481e-910d-4528a3388b85</t>
  </si>
  <si>
    <t>b8543af0-7968-49dd-b028-087b249efb9f</t>
  </si>
  <si>
    <t>8b7a1d2c-0006-4289-ac92-3144e2036673</t>
  </si>
  <si>
    <t>aa3de0fe-d0c2-4542-b7ea-8e9a9219a5b4</t>
  </si>
  <si>
    <t>f52a2247-5083-477c-801e-eb89b3c7ad51</t>
  </si>
  <si>
    <t>48eed1ea-ce1c-4048-be7a-140c7091b31b</t>
  </si>
  <si>
    <t>8bb96f6b-7371-4d87-8719-a95fccea20b9</t>
  </si>
  <si>
    <t>5793abe8-ca64-43ca-81c1-88d4ce589497</t>
  </si>
  <si>
    <t>52253e80-14b2-4aad-98a5-fa48beaee24f</t>
  </si>
  <si>
    <t>6ee268f9-5da2-40d1-802b-f67a9f4a44dd</t>
  </si>
  <si>
    <t>b16bcdc5-cdb3-4ea5-a201-fc8df4c8678b</t>
  </si>
  <si>
    <t>7498cf3a-b29a-412d-b0ab-3cac5287a1a0</t>
  </si>
  <si>
    <t>cd75c09d-1d6d-4a92-bbff-3a41dd1197c2</t>
  </si>
  <si>
    <t>dab94528-8f21-410e-b935-5d286762e2ea</t>
  </si>
  <si>
    <t>e5db0c8d-d132-44dd-a454-34527dd18c84</t>
  </si>
  <si>
    <t>9d7c2b1c-5f7c-4fd8-9071-e11a0f7d540d</t>
  </si>
  <si>
    <t>87db9aad-b5ac-4cd8-b8dd-23aed753002b</t>
  </si>
  <si>
    <t>3081389c-27df-4360-937e-8685aa44e5b8</t>
  </si>
  <si>
    <t>f2bebba5-ed13-459b-811a-d4778a7f0d75</t>
  </si>
  <si>
    <t>1ace6e43-9d17-4fcd-8f2c-77733f4942d9</t>
  </si>
  <si>
    <t>1c46305c-d918-4cc4-8fb5-6fc36d69f918</t>
  </si>
  <si>
    <t>1b999d82-f5a1-424c-a38d-231506e8a00d</t>
  </si>
  <si>
    <t>6cae22a4-9ab0-49f2-9df5-011b53bc2ff7</t>
  </si>
  <si>
    <t>1afb9b3a-b1ef-4a1b-ab5b-2f83c9023415</t>
  </si>
  <si>
    <t>aa503136-0d0b-4496-bad2-694833757b1f</t>
  </si>
  <si>
    <t>d8efe607-bf20-4e4b-839f-6ae6ca642989</t>
  </si>
  <si>
    <t>9be006f8-9ea2-4a2f-bc04-5fae51fe0c56</t>
  </si>
  <si>
    <t>5d8b7ef3-ac0f-4483-8573-17b3997c9b07</t>
  </si>
  <si>
    <t>5102bea5-a980-47c7-ad4a-6216a29ead5b</t>
  </si>
  <si>
    <t>33a39dc2-9b69-47a4-b06e-6b7299745233</t>
  </si>
  <si>
    <t>e7c4bfab-691b-472b-956c-834187915f2b</t>
  </si>
  <si>
    <t>e5103228-4bd9-448c-bb21-a92fdbd3b925</t>
  </si>
  <si>
    <t>3e3b8fea-a080-4a5a-a0e0-9df4d0a836cc</t>
  </si>
  <si>
    <t>aa1c7b82-204f-44e0-9d79-6f147c476d21</t>
  </si>
  <si>
    <t>deac0409-51c9-4e9c-8904-67dbf3b52889</t>
  </si>
  <si>
    <t>e2151519-853e-47fc-8572-f6defaddb961</t>
  </si>
  <si>
    <t>eba2f4e7-157c-4adb-a101-929fa38f3d43</t>
  </si>
  <si>
    <t>5a1947e9-d724-4edf-862b-e1062ca2f729</t>
  </si>
  <si>
    <t>7f0eeeb5-8498-4e1e-94b2-c5e035edbc08</t>
  </si>
  <si>
    <t>eafae6cd-39f1-4685-ace4-06acb0a40d46</t>
  </si>
  <si>
    <t>43e5ce1e-acda-4763-8ee8-7170b462a4c8</t>
  </si>
  <si>
    <t>ae519c50-5a27-4d28-8bbe-06838cab3817</t>
  </si>
  <si>
    <t>8b118fff-1259-4f84-a7ce-3b911bb5b404</t>
  </si>
  <si>
    <t>e6e9bd6e-740b-4a19-b6bb-7bb48ee13192</t>
  </si>
  <si>
    <t>72fad3be-d7ed-4739-b9d1-8b4139c5c265</t>
  </si>
  <si>
    <t>e8b846b1-313b-4b7a-a404-c133c48e0f6a</t>
  </si>
  <si>
    <t>6146ec73-e729-4a20-b7a4-1a63b6365b7b</t>
  </si>
  <si>
    <t>4db90bc6-2538-417d-805e-92723e8136ff</t>
  </si>
  <si>
    <t>a7630a54-9069-49e5-86c3-b1216c10a7d2</t>
  </si>
  <si>
    <t>d887e540-233b-4439-a987-2ec5624d8b9c</t>
  </si>
  <si>
    <t>d0a3cfab-0d85-4583-b9c1-168daad7a21a</t>
  </si>
  <si>
    <t>143b073f-2ce6-46a5-8691-e86a23a77104</t>
  </si>
  <si>
    <t>76c71418-b466-4fe0-a37b-58360b7c3717</t>
  </si>
  <si>
    <t>63ab78b8-3843-48c0-b8a5-40cc9ba1400a</t>
  </si>
  <si>
    <t>a50f3556-5a48-4d6a-991f-043c47d8c4d1</t>
  </si>
  <si>
    <t>7cdcfd7d-c496-46f8-9962-770ec82b3cca</t>
  </si>
  <si>
    <t>c117a6f2-27c0-4dc3-bc77-addb86cd5901</t>
  </si>
  <si>
    <t>cefa77b8-b95e-4e29-a173-9e504b832193</t>
  </si>
  <si>
    <t>e15c04f2-c257-439f-91c8-d18504a3bfdf</t>
  </si>
  <si>
    <t>cfdf69e2-4056-45e8-b32e-5ac7d756f7f1</t>
  </si>
  <si>
    <t>c4d925da-98b4-40e8-8c83-2415b14f6b0d</t>
  </si>
  <si>
    <t>87de2cda-185e-4b74-9421-b700dd138e59</t>
  </si>
  <si>
    <t>a29d4a5f-d039-44aa-93d6-eb2bffec0965</t>
  </si>
  <si>
    <t>22bc297a-36c6-4c9f-8acd-faaadd60f42c</t>
  </si>
  <si>
    <t>b5f91cd3-9e82-4289-93d6-9fec83505957</t>
  </si>
  <si>
    <t>3f4be77d-ddf6-49d2-804f-2c02f5c33cde</t>
  </si>
  <si>
    <t>5b99428f-6f4c-4248-b082-4186edf64937</t>
  </si>
  <si>
    <t>f01eaa02-edea-4b42-99cb-f39751f70f79</t>
  </si>
  <si>
    <t>894eb64e-8eb6-4177-8a25-6b56bd315be0</t>
  </si>
  <si>
    <t>21d083bb-98f3-4178-b58a-c591bd29e6bb</t>
  </si>
  <si>
    <t>aea52691-af9c-4282-82e7-1cccd7998e6a</t>
  </si>
  <si>
    <t>862706ad-c16e-44cf-8998-ed28d45155a0</t>
  </si>
  <si>
    <t>7d3e9a4c-d438-4597-a736-f4c1f77f7032</t>
  </si>
  <si>
    <t>22816ece-98ea-465a-bb53-578fa28a0614</t>
  </si>
  <si>
    <t>6ba8d213-4691-4504-b7c9-7404670f685b</t>
  </si>
  <si>
    <t>b963613f-f75d-48e9-b665-c2559d471c6b</t>
  </si>
  <si>
    <t>1b165961-8c90-47dc-9b10-64332e11b777</t>
  </si>
  <si>
    <t>9fbdb692-4954-46bc-ad79-24bf5f556aac</t>
  </si>
  <si>
    <t>b0b7f190-a98a-4fba-9a55-ad86cab0d2b9</t>
  </si>
  <si>
    <t>23be7e72-5451-40d3-8a8d-8aa971bb5205</t>
  </si>
  <si>
    <t>2a7ffa27-1a71-4c58-b576-755dfea5d41c</t>
  </si>
  <si>
    <t>d718324b-8760-4cc7-8aa5-6993415139fc</t>
  </si>
  <si>
    <t>2146ce9e-0b60-4efe-9a70-ac4fbe0c9ba0</t>
  </si>
  <si>
    <t>74669145-97bb-4098-9230-973acbbb6651</t>
  </si>
  <si>
    <t>31785346-e66b-4884-a648-a3fb9f3be98b</t>
  </si>
  <si>
    <t>47ba11cb-89fe-411d-9a09-859c94d80a34</t>
  </si>
  <si>
    <t>1b2bfc8b-5796-44a3-b357-9dc3abbe991a</t>
  </si>
  <si>
    <t>c9388fc0-2596-469d-a857-d0a2d6d1ad6f</t>
  </si>
  <si>
    <t>e2fa6982-5ebe-41cb-bbeb-a4b9ed2fd568</t>
  </si>
  <si>
    <t>fef657d4-f1c1-47e3-9a05-85d83771fa3d</t>
  </si>
  <si>
    <t>966424f2-00dd-461a-be73-677613f57f2a</t>
  </si>
  <si>
    <t>2825f4a8-8080-42b7-b387-3341406c39e7</t>
  </si>
  <si>
    <t>3a2f18c7-a345-4bc6-878e-f0a6aaba64e9</t>
  </si>
  <si>
    <t>c1501ded-5d98-4c96-9ed6-2add7224f96f</t>
  </si>
  <si>
    <t>84523fd0-e415-41e9-bf38-0b5fd5979ce2</t>
  </si>
  <si>
    <t>77100fab-4175-48c9-98b7-ea22720736e8</t>
  </si>
  <si>
    <t>7edac52c-e808-4374-8500-fd51e2fecdf3</t>
  </si>
  <si>
    <t>53b6fc90-d68d-4882-9edf-458c56a7f844</t>
  </si>
  <si>
    <t>f6f05f4d-2b70-47a1-91dc-79c21619a393</t>
  </si>
  <si>
    <t>179c4bfa-6e8c-44fd-b8d2-0a2e27f22723</t>
  </si>
  <si>
    <t>35c79fc6-cd2c-456e-9cc5-749f47cc6685</t>
  </si>
  <si>
    <t>10b8888b-0315-4f9e-b007-3b8391744320</t>
  </si>
  <si>
    <t>d6ea2215-3574-4744-89c0-1b829cd01f6c</t>
  </si>
  <si>
    <t>20d11bb3-c407-4133-8ee6-22bf021e30c0</t>
  </si>
  <si>
    <t>72468ef6-dffa-4131-9a9b-a8be9089ae20</t>
  </si>
  <si>
    <t>77284507-9920-4d88-95f1-f0fc0ad47506</t>
  </si>
  <si>
    <t>039c7291-8050-4728-839f-a2526b528c2e</t>
  </si>
  <si>
    <t>c51e5156-de96-46d5-8ac6-874bc36b18e0</t>
  </si>
  <si>
    <t>99237ab3-1f0d-420c-afea-722233b28bf9</t>
  </si>
  <si>
    <t>cd95206a-264f-4e89-bd1e-38e116b26bc8</t>
  </si>
  <si>
    <t>dadb8e81-5089-4d37-8495-6ec6748d6bd5</t>
  </si>
  <si>
    <t>f6c4ab20-cca5-4c98-9bd2-b680ae74c3ac</t>
  </si>
  <si>
    <t>6d06b5df-7f38-4270-b93f-e0e47ccac807</t>
  </si>
  <si>
    <t>87710024-d91e-4ec0-a2f9-0b805d88dd98</t>
  </si>
  <si>
    <t>a0280e4b-629a-4668-b9a1-2f38d1512d8e</t>
  </si>
  <si>
    <t>d969874a-cdbf-4959-b5fa-c36008bdee44</t>
  </si>
  <si>
    <t>5e20c450-5807-41f2-b606-a134d4f5ce5d</t>
  </si>
  <si>
    <t>7eedb49e-91f5-43d6-a42a-62467b61c31d</t>
  </si>
  <si>
    <t>d9abdd35-4336-43e4-86a8-34efb1e22073</t>
  </si>
  <si>
    <t>d09713ca-6a16-4628-8626-17f25510a064</t>
  </si>
  <si>
    <t>8d952ba7-09fb-4352-a87a-ec88251ddc03</t>
  </si>
  <si>
    <t>240f6c5d-76fd-49e4-8b4d-fa6cb7ff0f9c</t>
  </si>
  <si>
    <t>63b5b96c-c4c1-4162-a820-a4cb6abd9906</t>
  </si>
  <si>
    <t>4a8c361d-367d-415b-bdc2-a206b0f32024</t>
  </si>
  <si>
    <t>8bb94503-e9fc-46e6-b274-790fef70419d</t>
  </si>
  <si>
    <t>2e610504-5903-4735-b282-f5f34c3813c9</t>
  </si>
  <si>
    <t>69db3459-63d9-486d-9871-c51e7e13d817</t>
  </si>
  <si>
    <t>2694a020-8016-420e-9292-1815aba2b8b3</t>
  </si>
  <si>
    <t>f9eec03f-b073-4ad6-9c90-3a259a8182d0</t>
  </si>
  <si>
    <t>b30bf9d6-bfc3-4567-a485-d4043040912f</t>
  </si>
  <si>
    <t>d3b03727-d2b8-443a-9949-70acabba84f4</t>
  </si>
  <si>
    <t>1a90d45e-6dfd-4c74-b4a2-b1a6cd276717</t>
  </si>
  <si>
    <t>3bbfc32b-7bad-4ebd-a3ce-1c574a360173</t>
  </si>
  <si>
    <t>1988baff-a967-4de0-bdde-f613d98922a8</t>
  </si>
  <si>
    <t>f5713a28-2eae-459a-a8b9-89f6876d9e76</t>
  </si>
  <si>
    <t>a96922fb-1131-42ea-929f-77c3452db061</t>
  </si>
  <si>
    <t>0bfefaf3-8e49-4501-a74c-bf07693853f8</t>
  </si>
  <si>
    <t>e733cb8c-31bd-48eb-b80a-f0cc1d2b2f44</t>
  </si>
  <si>
    <t>f104a5fd-f61d-4192-92db-2d2db9fb9499</t>
  </si>
  <si>
    <t>672ba5ea-f2ce-4bce-b22b-18b1db8a3cc6</t>
  </si>
  <si>
    <t>499ae3b8-d4b6-4096-898a-8cf0348752eb</t>
  </si>
  <si>
    <t>2c0f4141-ffda-42aa-9ae7-37a31f1e9c21</t>
  </si>
  <si>
    <t>de49a34c-8aeb-48a2-9b41-95db6ac8de45</t>
  </si>
  <si>
    <t>1091a5b4-52a6-4626-bea8-2a7cf7a0f764</t>
  </si>
  <si>
    <t>66af2087-19aa-4d36-8da8-09f4f8dcffa2</t>
  </si>
  <si>
    <t>5d173d09-b5b5-47f0-8d4c-c3807eeacadf</t>
  </si>
  <si>
    <t>1881bf3d-f357-4c48-b851-7e97b57b6fba</t>
  </si>
  <si>
    <t>3046d830-e03a-4bc5-b703-1c40608a04d8</t>
  </si>
  <si>
    <t>33ab17bd-b4a7-4492-b834-4a915978dc45</t>
  </si>
  <si>
    <t>a384d8d0-dcf7-4d4d-80fb-9dd335abaa5e</t>
  </si>
  <si>
    <t>9ec8a9a3-b99c-4b1d-b63a-4d0f62168ffb</t>
  </si>
  <si>
    <t>6bbe5650-6010-4b70-b0dd-7f52e0e4f8ce</t>
  </si>
  <si>
    <t>7501b61d-23ab-4f1c-b9b5-c06d9ae7f8f6</t>
  </si>
  <si>
    <t>c071e5b9-f61b-43f2-b268-5a367b1ade15</t>
  </si>
  <si>
    <t>ff922cdd-aad3-4332-885c-0c0de29d5f1a</t>
  </si>
  <si>
    <t>e59b9363-035b-437f-8351-8cb54087742e</t>
  </si>
  <si>
    <t>c48514ac-ba82-4042-9f51-88df38802563</t>
  </si>
  <si>
    <t>7e44547c-c088-455d-aab9-09fcd4ecf6e0</t>
  </si>
  <si>
    <t>db11a48d-8df3-4345-9ffc-39b353cdf7b8</t>
  </si>
  <si>
    <t>abae4a1f-2a87-4cd4-bacb-bc69eba78a74</t>
  </si>
  <si>
    <t>b4191dd7-f111-4430-a8bd-cc67bc309cad</t>
  </si>
  <si>
    <t>c0856168-60c4-49c1-82fb-0b4de9089aad</t>
  </si>
  <si>
    <t>4ff89830-8b38-4fea-88a1-c4a43ef1cb6c</t>
  </si>
  <si>
    <t>d3f7b187-ceee-4355-ae52-b7e9682219b8</t>
  </si>
  <si>
    <t>10baee09-19fc-4cdc-bbbd-2ea79932986f</t>
  </si>
  <si>
    <t>00045c14-df59-406d-914f-13d96e26d9e0</t>
  </si>
  <si>
    <t>c7124e70-068b-4d7f-b2d9-3d82ea8a7b1d</t>
  </si>
  <si>
    <t>a5ea4d5b-8852-4091-b8e1-50a75dbd78eb</t>
  </si>
  <si>
    <t>a846746e-ccac-4c8f-bcf5-608ef704f087</t>
  </si>
  <si>
    <t>56479e37-7f2f-468d-a0e6-1b2a0dc22b62</t>
  </si>
  <si>
    <t>70499fa3-805f-4066-8b41-aa4d0debfc5c</t>
  </si>
  <si>
    <t>ccb4e269-2fad-4670-9122-38a9d5529005</t>
  </si>
  <si>
    <t>fdcaea44-8088-4c7c-acc0-776f9c6a5b05</t>
  </si>
  <si>
    <t>dfdc0b95-9fa9-40a7-924f-bd91542a7d4d</t>
  </si>
  <si>
    <t>807377f2-af92-4249-a7d0-d1a33fdd4fc1</t>
  </si>
  <si>
    <t>b1708a76-1a26-49cb-9fea-46a521d0f426</t>
  </si>
  <si>
    <t>6103926d-18dd-40b3-a133-06b2484d6144</t>
  </si>
  <si>
    <t>c46c25fd-6b18-454a-9281-9abf60ffd90d</t>
  </si>
  <si>
    <t>485d3d5f-6fdb-4fce-874f-cc5dc455ec61</t>
  </si>
  <si>
    <t>35e657ee-417c-49ee-8b1c-dec709237096</t>
  </si>
  <si>
    <t>375c700d-4d5c-4a16-bbc9-e9864581f33f</t>
  </si>
  <si>
    <t>7cfdfabe-f5eb-44da-abd8-7f882dee5e8e</t>
  </si>
  <si>
    <t>ae4ddcac-ef61-4d45-86e5-124178d9d951</t>
  </si>
  <si>
    <t>982b91cd-67d2-4fbb-ad0c-4dcefbc70166</t>
  </si>
  <si>
    <t>9b9d7494-a6be-4b4b-a964-a64c1feafc95</t>
  </si>
  <si>
    <t>5d3d01b6-08b3-494e-b881-bd9525162936</t>
  </si>
  <si>
    <t>78f61e5a-83bd-4c70-8813-6ff5eee41d8b</t>
  </si>
  <si>
    <t>fdab8661-9fca-4957-90ed-fbf62b94b824</t>
  </si>
  <si>
    <t>23aec379-8de0-4f3a-a3d5-18808d02bedc</t>
  </si>
  <si>
    <t>dc6d840b-e495-4309-9486-22f40d30efc0</t>
  </si>
  <si>
    <t>96192a1c-dd01-4e3b-b126-817349171582</t>
  </si>
  <si>
    <t>bb71cfb6-cf6c-4766-999b-fcad5d460813</t>
  </si>
  <si>
    <t>ce85b3ae-2416-4bfa-975b-3d0494ab6687</t>
  </si>
  <si>
    <t>a1f28ac8-ebee-42bb-bca4-cd492e47a0ad</t>
  </si>
  <si>
    <t>edd75ab0-10ec-4584-997b-4f5f3be31a76</t>
  </si>
  <si>
    <t>d9dc0cf7-5260-4f4e-ae80-b3fb8d330b60</t>
  </si>
  <si>
    <t>0d7c415b-9d5d-486d-ac65-3bcf2fe79f9a</t>
  </si>
  <si>
    <t>e214f674-a492-4528-a4dc-a6cfd1d47dc3</t>
  </si>
  <si>
    <t>f3c35abf-8f7a-4a01-9ac0-97d418aad951</t>
  </si>
  <si>
    <t>cb8d076b-24c1-4b22-be66-7ab9a2663075</t>
  </si>
  <si>
    <t>8ed999f5-9563-4424-856e-5d555a35d0de</t>
  </si>
  <si>
    <t>4783792d-73c7-40ca-82f9-74634b25bced</t>
  </si>
  <si>
    <t>bc09f808-3425-406c-bb5b-6cd29d46c0c3</t>
  </si>
  <si>
    <t>f17b1c09-a5d1-43d1-a0bf-a5f4be93a719</t>
  </si>
  <si>
    <t>ccb21228-2dd5-4b8b-8baf-bcb7d3f59d86</t>
  </si>
  <si>
    <t>2c680914-4f79-43dd-be8e-3231f38beadb</t>
  </si>
  <si>
    <t>f1630b21-05d8-44d5-a0d2-57a5c9d37bb7</t>
  </si>
  <si>
    <t>8172be08-5e18-4d44-8bcd-041120e64b7f</t>
  </si>
  <si>
    <t>9f95a6ca-5141-4faa-9c07-448bd39dc297</t>
  </si>
  <si>
    <t>9784b8cf-4240-477a-83df-c11ddf123b5c</t>
  </si>
  <si>
    <t>624fbbaf-feea-42be-8691-8c5826738287</t>
  </si>
  <si>
    <t>ad555ae6-aa3e-468a-bec7-44bb535cd275</t>
  </si>
  <si>
    <t>8bfe9036-a9f2-4d20-a571-d44e924ace07</t>
  </si>
  <si>
    <t>438743e7-04d8-4e6b-b8ce-dea06394d9e3</t>
  </si>
  <si>
    <t>0532f3e3-746a-4813-917d-ea739c211f5d</t>
  </si>
  <si>
    <t>4e54d3a6-eb46-4224-bbf0-1dc4284088d0</t>
  </si>
  <si>
    <t>a1b8f2fc-a850-43d8-ac3b-c9b90e65bbba</t>
  </si>
  <si>
    <t>ad9e3245-a151-4155-bcf5-e9ebd579ea9a</t>
  </si>
  <si>
    <t>6de6b46a-0793-4516-a88a-0cb20c964ac8</t>
  </si>
  <si>
    <t>ff570eb0-cde1-44be-87c7-bafb717f284e</t>
  </si>
  <si>
    <t>19ceca12-0a48-4c18-b6e7-4f3ce426bea1</t>
  </si>
  <si>
    <t>6b93e165-7c8d-4bb8-a917-0feba74f4457</t>
  </si>
  <si>
    <t>3a1103fb-9ce6-4c37-aa1b-32008ffa29e3</t>
  </si>
  <si>
    <t>b2873f46-d897-44da-93bd-74be1f5a4dee</t>
  </si>
  <si>
    <t>Pnum</t>
  </si>
  <si>
    <t>Trigg Penalty Rd1</t>
  </si>
  <si>
    <t>Trigg Penalty Rd2</t>
  </si>
  <si>
    <t>Trigg Penalty Rd3</t>
  </si>
  <si>
    <t>Trigg Penalty Rd4</t>
  </si>
  <si>
    <t>Trigg Penalty Rd5</t>
  </si>
  <si>
    <t>Trigg Penalty Rd6</t>
  </si>
  <si>
    <t>Penalized Rd1</t>
  </si>
  <si>
    <t>Penalized Rd2</t>
  </si>
  <si>
    <t>Penalized Rd3</t>
  </si>
  <si>
    <t>Penalized Rd4</t>
  </si>
  <si>
    <t>Penalized Rd5</t>
  </si>
  <si>
    <t>Penalized Rd6</t>
  </si>
  <si>
    <t>Grp Pen Trigg Rd1</t>
  </si>
  <si>
    <t>Grp Pen Trigg Rd2</t>
  </si>
  <si>
    <t>Grp Pen Trigg Rd3</t>
  </si>
  <si>
    <t>Grp Pen Trigg Rd4</t>
  </si>
  <si>
    <t>Grp Pen Trigg Rd5</t>
  </si>
  <si>
    <t>Grp Pen Trigg Rd6</t>
  </si>
  <si>
    <t>Grp Pen Total Cost Rd1</t>
  </si>
  <si>
    <t>Grp Pen Total Cost Rd2</t>
  </si>
  <si>
    <t>Grp Pen Total Cost Rd3</t>
  </si>
  <si>
    <t>Grp Pen Total Cost Rd4</t>
  </si>
  <si>
    <t>Grp Pen Total Cost Rd5</t>
  </si>
  <si>
    <t>Grp Pen Total Cost Rd6</t>
  </si>
  <si>
    <t>Grp Pen Trigg Ph1</t>
  </si>
  <si>
    <t>Grp Pen Trigg Ph2</t>
  </si>
  <si>
    <t>Grp Pen Total Cost Ph1</t>
  </si>
  <si>
    <t>Grp Pen Total Cost Ph2</t>
  </si>
  <si>
    <t>Grp Avg Pen Cost Ph1</t>
  </si>
  <si>
    <t>Grp Avg Pen Cost Ph2</t>
  </si>
  <si>
    <t>GrpTokensPh1</t>
  </si>
  <si>
    <t>GrpTokensPh2</t>
  </si>
  <si>
    <t>GrpTokensPh3</t>
  </si>
  <si>
    <t>NET avgGrpEarnPh1</t>
  </si>
  <si>
    <t>NET avgGrpEarnPh2</t>
  </si>
  <si>
    <t>NET avgGrpEarnPh3</t>
  </si>
  <si>
    <t>VARIABLES LIST</t>
  </si>
  <si>
    <t>SessionID</t>
  </si>
  <si>
    <t>Computer generated session ID (for data tracking)</t>
  </si>
  <si>
    <t>Generic participant identifier to keep track of total number of participants (1-288)</t>
  </si>
  <si>
    <t>Group number (1 to 72).</t>
  </si>
  <si>
    <t>Number of times the individual (player) penalized another player during Round 1</t>
  </si>
  <si>
    <t>Number of times the individual (player) penalized another player during Round 2</t>
  </si>
  <si>
    <t>Number of times the individual (player) penalized another player during Round 3</t>
  </si>
  <si>
    <t>Number of times the individual (player) penalized another player during Round 4</t>
  </si>
  <si>
    <t>Number of times the individual (player) penalized another player during Round 5</t>
  </si>
  <si>
    <t>Number of times the individual (player) penalized another player during Round 6</t>
  </si>
  <si>
    <t>Number of times the individual (player) was penalized during Round 1</t>
  </si>
  <si>
    <t>Number of times the individual (player) was penalized during Round 2</t>
  </si>
  <si>
    <t>Number of times the individual (player) was penalized during Round 3</t>
  </si>
  <si>
    <t>Number of times the individual (player) was penalized during Round 4</t>
  </si>
  <si>
    <t>Number of times the individual (player) was penalized during Round 5</t>
  </si>
  <si>
    <t>Number of times the individual (player) was penalized during Round 6</t>
  </si>
  <si>
    <t>Number of times the group used (activated, triggered) penalities during Round 1 (total number of penalties used by the group that round).</t>
  </si>
  <si>
    <t xml:space="preserve">Total cost of the penalties used by the group during Round 1 </t>
  </si>
  <si>
    <t>Total cost of the penalties used by the group during Round 2</t>
  </si>
  <si>
    <t>Total cost of the penalties used by the group during Round 3</t>
  </si>
  <si>
    <t>Total cost of the penalties used by the group during Round 4</t>
  </si>
  <si>
    <t>Total cost of the penalties used by the group during Round 5</t>
  </si>
  <si>
    <t>Total cost of the penalties used by the group during Round 6</t>
  </si>
  <si>
    <t>Total cost of the penalties used by the group during Phase 1 (Rounds 1, 2, 3)</t>
  </si>
  <si>
    <t>Total number of penalties used (activated, triggered) during Phase 1 (Rounds 1, 2, 3).</t>
  </si>
  <si>
    <t>Total number of penalties used (activated, triggered) during Phase 2 (Rounds 4, 5, 6).</t>
  </si>
  <si>
    <t>Average (mean) cost of the penalties used by the group during Phase 1 (Rounds 1, 2, 3)</t>
  </si>
  <si>
    <t>Average (mean) cost of the penalties used by the group during Phase 2 (Rounds 4, 5, 6)</t>
  </si>
  <si>
    <t>Total cost of the penalties used by the group during Phase 2 (Rounds 4, 5, 6)</t>
  </si>
  <si>
    <t>Average (mean) number of tokens collected by the group during Phase 1 (Rounds 1, 2, 3)</t>
  </si>
  <si>
    <t>Average (mean) number of tokens collected by the group during Phase 2 (Rounds 4, 5, 6)</t>
  </si>
  <si>
    <t>Average (mean) number of tokens collected by the group during Phase 3 (Rounds 7, 8, 9)</t>
  </si>
  <si>
    <t>Net average (mean) number of tokens collected by the group during Phase 1, after substracting the average cost of penalties (i.e., GrpTokensPh1 - Grp Avg Pen Cost Ph1).</t>
  </si>
  <si>
    <t>Net average (mean) number of tokens collected by the group during Phase 2, after substracting the average cost of penalties (i.e., GrpTokensPh2 - Grp Avg Pen Cost Ph2).</t>
  </si>
  <si>
    <t>Net average (mean) number of tokens collected by the group during Phase 3 (sanctioning was disabled during Phase 3, so this value = GrpTokensPh3).</t>
  </si>
  <si>
    <t>NET avgGrpEarn PhA</t>
  </si>
  <si>
    <t>NET avgGrpEarn PhB</t>
  </si>
  <si>
    <t>Net average (mean) number of tokens collected by the group during their communication phase (differs by treatment; e.g., T6 PFN = NET avgGrpEarn Ph2). Diagnostic phase used to examine immediate effects of facilitated communication.</t>
  </si>
  <si>
    <t>Net average (mean) number of tokens collected by the group during the phase after their communication phase (differs by treatment; e.g., T6 PFN = NET avgGrpEarn Ph3). Diagnostic phase used to determine the long-term/carry-over effects of facilitated communication (immediately after communication and enforcement first cease)</t>
  </si>
  <si>
    <t>OrigTreatmentNum</t>
  </si>
  <si>
    <t>GraphTreatmentNum</t>
  </si>
  <si>
    <t>Relabeled treatment number used to organize graphs and paper (1 = CNN, 2 = FNN, 3 = NCN, 4 = NFN, 5 = PCN, 6 = PFN)</t>
  </si>
  <si>
    <t>Original Treatment number assigned to each treatment by computer (1 = NFN, 2 = FNN, 3 = CNN, 4 = NCN, 5 = PCN, 6 = PFN)</t>
  </si>
  <si>
    <t>Survey taken immediately after the group's communication phase (depends on treatment)</t>
  </si>
  <si>
    <t>Facil</t>
  </si>
  <si>
    <t>Con Strat Rd 1</t>
  </si>
  <si>
    <t>Con Strat Rd 2</t>
  </si>
  <si>
    <t>Con Strat Rd 3</t>
  </si>
  <si>
    <t>Final Con Strat</t>
  </si>
  <si>
    <t>CUE Rd1</t>
  </si>
  <si>
    <t>CUE Rd2</t>
  </si>
  <si>
    <t>CUE Rd3</t>
  </si>
  <si>
    <t>Final CUE</t>
  </si>
  <si>
    <t>ES Rd1</t>
  </si>
  <si>
    <t>ES Rd2</t>
  </si>
  <si>
    <t>ES Rd3</t>
  </si>
  <si>
    <t>Final ES</t>
  </si>
  <si>
    <t>Has ES</t>
  </si>
  <si>
    <t>DDMI</t>
  </si>
  <si>
    <t>Con Strat Rd1</t>
  </si>
  <si>
    <t>Con Strat Rd2</t>
  </si>
  <si>
    <t>Con Strat Rd3</t>
  </si>
  <si>
    <t>Conservation strategy, Round 1</t>
  </si>
  <si>
    <t>Conservation strategy, Round 2</t>
  </si>
  <si>
    <t>Conservation strategy, Round 3</t>
  </si>
  <si>
    <t>The group's final conservation strategy</t>
  </si>
  <si>
    <t>Conceptual Understanding of Enforcement score, Round 1</t>
  </si>
  <si>
    <t>Conceptual Understanding of Enforcement score, Round 2</t>
  </si>
  <si>
    <t>Conceptual Understanding of Enforcement score, Round 3</t>
  </si>
  <si>
    <t>The group's final CUE (Conceptual Understanding of Enforcement) score</t>
  </si>
  <si>
    <t>Enforcement Systems, Round 1</t>
  </si>
  <si>
    <t>Enforcement Systems, Round 2</t>
  </si>
  <si>
    <t>Enforcement Systems, Round 3</t>
  </si>
  <si>
    <t xml:space="preserve">Democratic Decision Making Index </t>
  </si>
  <si>
    <t>PJSDComm1</t>
  </si>
  <si>
    <t>PJSDComm2</t>
  </si>
  <si>
    <t>PJSDComm3</t>
  </si>
  <si>
    <t>PJSDDM1</t>
  </si>
  <si>
    <t>PJSDDM2</t>
  </si>
  <si>
    <t>PJSDDM3</t>
  </si>
  <si>
    <t>PJSDDM4</t>
  </si>
  <si>
    <t>Procedural Justice (communication) Item 1 (procedural)</t>
  </si>
  <si>
    <t>Procedural Justice (communication) Item 2 (interpersonal)</t>
  </si>
  <si>
    <t>Procedural Justice (communication) Item 3 (general fairness)</t>
  </si>
  <si>
    <t>Self-Determination (group decision-making) Item 1 (procedural)</t>
  </si>
  <si>
    <t>Self-Determination (group decision-making) Item 2 (IPLOC: internal perceived locus of control)</t>
  </si>
  <si>
    <t>Self-Determination (group decision-making) Item 3 (choice)</t>
  </si>
  <si>
    <t>Self-Determination (group decision-making) Item 4 (self-concordance)</t>
  </si>
  <si>
    <t>PJSD Comm1</t>
  </si>
  <si>
    <t>PJSD Comm2</t>
  </si>
  <si>
    <t>PJSD Comm3</t>
  </si>
  <si>
    <t>PJSD DM1</t>
  </si>
  <si>
    <t>PJSD DM2</t>
  </si>
  <si>
    <t>PJSD DM3</t>
  </si>
  <si>
    <t>PJSD DM4</t>
  </si>
  <si>
    <t>PerceptDil1</t>
  </si>
  <si>
    <t>PerceptDil2</t>
  </si>
  <si>
    <t>PerceptDil3</t>
  </si>
  <si>
    <t>PerceptDil4</t>
  </si>
  <si>
    <t>Perception of the Dilemma Item 1 (chaos)</t>
  </si>
  <si>
    <t>Perception of the Dilemma Item 2 (resource management)</t>
  </si>
  <si>
    <t>Perception of the Dilemma Item 3 (cooperation)</t>
  </si>
  <si>
    <t>Perception of the Dilemma Item 4 (overall)</t>
  </si>
  <si>
    <t>NeedSatisDil1</t>
  </si>
  <si>
    <t>NeedSatisDil2</t>
  </si>
  <si>
    <t>NeedSatisDil3</t>
  </si>
  <si>
    <t>NeedSatisDil4</t>
  </si>
  <si>
    <t>NeedSatisDil5</t>
  </si>
  <si>
    <t>PerceptDil1r</t>
  </si>
  <si>
    <t>Reverse-coded Perception of the Dilemma Item 1 (chaos); reverse-coded so that the undelrying response scale of choas (a negative perception) matches the positive-valenced scaling of the other perception items.</t>
  </si>
  <si>
    <t>Need satisfaction from the Dilemma Item 1 (security)</t>
  </si>
  <si>
    <t>Need satisfaction from the Dilemma Item 2 (equity, distributive justice)</t>
  </si>
  <si>
    <t>Need satisfaction from the Dilemma Item 4 (perceived behavioral control)</t>
  </si>
  <si>
    <t>Need satisfaction from the Dilemma Item 3 (capability)</t>
  </si>
  <si>
    <t>Need satisfaction from the Dilemma Item 5 (belonging)</t>
  </si>
  <si>
    <t>PerceptDil</t>
  </si>
  <si>
    <t>NeedSatisDil</t>
  </si>
  <si>
    <t xml:space="preserve">Group level composite (mean) of the need satisfaction items for the dilemma (i.e., group mean of NeedSatisDil1 to NeedSatisDil5) </t>
  </si>
  <si>
    <t>Group level composite (mean) of the dilemma perception items, using reverse-coded chaos (i.e., group mean of PerceptDil1r, PerceptDil2, PerceptDil3, PerceptDil4).</t>
  </si>
  <si>
    <t>RuleAccept</t>
  </si>
  <si>
    <t>RuleIntern</t>
  </si>
  <si>
    <t>Group level composite (mean) of the procedural justice/self-determination communication and decision-making items (i.e., group mean of PJSD Comm1 to PJSD DM4). Perceived fairness and self-determination of group communication and decision-making, combined.</t>
  </si>
  <si>
    <t>Group level composite (mean) of the rule acceptance items (RuleAccept1, RuleAccept2, RuleAccept3)</t>
  </si>
  <si>
    <t>Group level composite (mean) of the rule internalization items (RuleIntern1, RuleIntern2)</t>
  </si>
  <si>
    <t>RuleAccept1</t>
  </si>
  <si>
    <t>RuleAccept2</t>
  </si>
  <si>
    <t>RuleAccept3</t>
  </si>
  <si>
    <t>RuleIntern1</t>
  </si>
  <si>
    <t>RuleIntern2</t>
  </si>
  <si>
    <t>Rule Internalization Item 1</t>
  </si>
  <si>
    <t>Rule Internalization Item 2</t>
  </si>
  <si>
    <t>SocSanct1</t>
  </si>
  <si>
    <t>SocSanct2</t>
  </si>
  <si>
    <t>SocDiss1</t>
  </si>
  <si>
    <t>SocDiss2</t>
  </si>
  <si>
    <t>Cooperative motivation: Social Sanctions Item 1</t>
  </si>
  <si>
    <t>Cooperative motivation: Social Sanctions Item 2</t>
  </si>
  <si>
    <t>Cooperative motivation: Social Dissapproval Item 1</t>
  </si>
  <si>
    <t>Cooperative motivation: Social Dissapproval Item 2</t>
  </si>
  <si>
    <t>Cooperative motivation: Guilt Item 1</t>
  </si>
  <si>
    <t>Cooperative motivation: Guilt Item 2</t>
  </si>
  <si>
    <t>RuleEffective</t>
  </si>
  <si>
    <t>RuleEffectiveGrp</t>
  </si>
  <si>
    <t xml:space="preserve">Group level rule effectiveness (mean of group rule effectiveness scores) </t>
  </si>
  <si>
    <t>AntEarn</t>
  </si>
  <si>
    <t>SocPress</t>
  </si>
  <si>
    <t>AntEarn1</t>
  </si>
  <si>
    <t>AntEarn2</t>
  </si>
  <si>
    <t>Cooperative motivation: Anticipated Earnings Item 1</t>
  </si>
  <si>
    <t>Cooperative motivation: Anticipated Earnings Item 2</t>
  </si>
  <si>
    <t>Group level composite (mean) of the social pressure items (SocSanct1, SocSanc2, SocDiss1, SocDiss2, Guilt1, Guilt2)</t>
  </si>
  <si>
    <t>FearPenalty</t>
  </si>
  <si>
    <t>FearPenalty1</t>
  </si>
  <si>
    <t>FearPenalty2</t>
  </si>
  <si>
    <t>Secure1</t>
  </si>
  <si>
    <t>Secure2</t>
  </si>
  <si>
    <t>Secure</t>
  </si>
  <si>
    <t>Group level composite (mean) of the anticipated earnings items (AntEarn1, AntEarn2)</t>
  </si>
  <si>
    <t>Group level composite (mean) of the fear economic sanctions (penalty) items (FearPenalty1, FearPenalty2)</t>
  </si>
  <si>
    <t>Anticipated effectiveness of the group's conservation agreement, under optimal conditions</t>
  </si>
  <si>
    <t>Cooperative motivation: Security Item 1</t>
  </si>
  <si>
    <t>Cooperative motivation: Security Item 2</t>
  </si>
  <si>
    <t>FearPenality1</t>
  </si>
  <si>
    <t>FearPenality2</t>
  </si>
  <si>
    <t>Cooperative motivation: Economic Sanctions (Fear Penalty) Item 1</t>
  </si>
  <si>
    <t>Cooperative motivation: Economic Sanctions (Fear Penalty) Item 2</t>
  </si>
  <si>
    <t>Group level composite (mean) of the security cooperative motivation items (Secure1, Secure2)</t>
  </si>
  <si>
    <t>SelfMerge1</t>
  </si>
  <si>
    <t>SelfMerge2</t>
  </si>
  <si>
    <t>Trust</t>
  </si>
  <si>
    <t>Group Cohesion: Self-Other Merging Item 1 (Venn)</t>
  </si>
  <si>
    <t>Group Cohesion: Self-Other Merging Item 2 (positive affect)</t>
  </si>
  <si>
    <t>Group Cohesion: Trust Item</t>
  </si>
  <si>
    <t>SelfMergeTrust</t>
  </si>
  <si>
    <t>Group level composite (mean) of the group cohesion items (SelfMerge1, SelfMerge2, Trust)</t>
  </si>
  <si>
    <t>Necess1</t>
  </si>
  <si>
    <t>Necess2</t>
  </si>
  <si>
    <t>Necess3</t>
  </si>
  <si>
    <t>Perceived necessity to use monetary penalties Item 1 (not need)</t>
  </si>
  <si>
    <t>Perceived necessity to use monetary penalties Item 1 (no reason)</t>
  </si>
  <si>
    <t>Perceived necessity to use monetary penalties Item 1 (not justified)</t>
  </si>
  <si>
    <t>Necess</t>
  </si>
  <si>
    <t>PPC</t>
  </si>
  <si>
    <t>Prevent</t>
  </si>
  <si>
    <t>Punish</t>
  </si>
  <si>
    <t>Control</t>
  </si>
  <si>
    <t>Group level composite (mean) for perceived neccesity to use monetary penalties (Necess1, Necess2, Necess3)</t>
  </si>
  <si>
    <t>PPC1</t>
  </si>
  <si>
    <t>PPC2</t>
  </si>
  <si>
    <t>PPC3</t>
  </si>
  <si>
    <t>Enforcement Orientation: Prevent, Punish, Control (PPC) Item 1 (prevent)</t>
  </si>
  <si>
    <t>Enforcement Orientation: Prevent, Punish, Control (PPC) Item 2 (punish)</t>
  </si>
  <si>
    <t>Enforcement Orientation: Prevent, Punish, Control (PPC) Item 3 (gain control)</t>
  </si>
  <si>
    <t>Group level composite (mean) for enforcement orientation PPC (prevent, punish, gain control) (PPC1, PPC2, PPC3)</t>
  </si>
  <si>
    <t>Revenge1</t>
  </si>
  <si>
    <t>Revenge2</t>
  </si>
  <si>
    <t>FearRevenge</t>
  </si>
  <si>
    <t>Revenge Item 1 (desire to use monetary penalties for revenge)</t>
  </si>
  <si>
    <t>Revenge Item 2 (feared penalties would be used for revenge)</t>
  </si>
  <si>
    <t>SeekRevenge</t>
  </si>
  <si>
    <t>Group level composite (mean) for revenge-seeking (Revenge1)</t>
  </si>
  <si>
    <t>Group level composite (mean) for fearing revenge (Revenge2)</t>
  </si>
  <si>
    <t>Protect</t>
  </si>
  <si>
    <t>Ineffect</t>
  </si>
  <si>
    <t>TooCost</t>
  </si>
  <si>
    <t>TooTime</t>
  </si>
  <si>
    <t>PenEquity</t>
  </si>
  <si>
    <t>Ineffective</t>
  </si>
  <si>
    <t>Other Item: use penalties to protect agreement</t>
  </si>
  <si>
    <t>Other Item: believed penalties would be ineffective</t>
  </si>
  <si>
    <t>Other item: believed penalties too costly</t>
  </si>
  <si>
    <t>Other tiem: believe penalties take too much time</t>
  </si>
  <si>
    <t>Other Item: use penalties to ensur equitable share of tokens</t>
  </si>
  <si>
    <t>Group level composite (mean) for fearing revenge (Protect)</t>
  </si>
  <si>
    <t>Group level composite (mean) for fearing revenge (Ineffective)</t>
  </si>
  <si>
    <t>Group level composite (mean) for fearing revenge (TooCost)</t>
  </si>
  <si>
    <t>Group level composite (mean) for fearing revenge (TooTime)</t>
  </si>
  <si>
    <t>Group level composite (mean) for fearing revenge (PenEquity)</t>
  </si>
  <si>
    <t>EnfEquity</t>
  </si>
  <si>
    <t>RJResp1</t>
  </si>
  <si>
    <t>RJResp2</t>
  </si>
  <si>
    <t>RJResp3</t>
  </si>
  <si>
    <t>RJLegit1</t>
  </si>
  <si>
    <t>RJLegit2</t>
  </si>
  <si>
    <t>Restorative Justice: Responsiveness Item 1 (discuss whether wanted penalties)</t>
  </si>
  <si>
    <t>Restorative Justice: Responsiveness Item 2 (discuss how to use penalties)</t>
  </si>
  <si>
    <t>Restorative Justice: Responsiveness Item 3 (discuss how to fix concerns about use of penalties)</t>
  </si>
  <si>
    <t>Restorative Justice: Legitimacy of Enforcement Item 1 (fair)</t>
  </si>
  <si>
    <t>Restorative Justice: Legitimacy of Enforcement Item 2 (justified and legitimate)</t>
  </si>
  <si>
    <t>RJRest1</t>
  </si>
  <si>
    <t>RJRest2</t>
  </si>
  <si>
    <t>Reatorative Justice: Restitution Item 2 (punisher)</t>
  </si>
  <si>
    <t>Restorative Justice: Restitution Item 1 (punished)</t>
  </si>
  <si>
    <t>RJResp</t>
  </si>
  <si>
    <t>RJLegit</t>
  </si>
  <si>
    <t>RJRest</t>
  </si>
  <si>
    <t>Group level composite (mean) of Restorative Justice Responsiveness (RJResp1, RJResp2, RJResp3)</t>
  </si>
  <si>
    <t>Group level composite (mean) of Restorative Justice Legitimacy (RJLegit1, RJLegit2)</t>
  </si>
  <si>
    <t>Group level composite (mean) of Restorative Justice Restitution (RJRest1, RJRest2)</t>
  </si>
  <si>
    <t>PenAccept1</t>
  </si>
  <si>
    <t>PenAccept2</t>
  </si>
  <si>
    <t>PenBen</t>
  </si>
  <si>
    <t>PenBen1</t>
  </si>
  <si>
    <t>PenBen2</t>
  </si>
  <si>
    <t>PenBen3</t>
  </si>
  <si>
    <t>PenCoerc1</t>
  </si>
  <si>
    <t>PenCoerc2</t>
  </si>
  <si>
    <t>Accept how group used penalties Item 1</t>
  </si>
  <si>
    <t>Accept how group used penalties Item 2</t>
  </si>
  <si>
    <t>Perceived Benefits Item 1 (general benefit)</t>
  </si>
  <si>
    <t>Perceived Benefits Item 2 (personal benefit)</t>
  </si>
  <si>
    <t>Perceived Benefits Item 3 (group benefit)</t>
  </si>
  <si>
    <t>Perceived Coercion (coercive use of penalties by group) Item 1 (oppressive)</t>
  </si>
  <si>
    <t>Perceived Coercion (coercive use of penalties by group) Item 2 (excessive and coercive)</t>
  </si>
  <si>
    <t>PenAccept</t>
  </si>
  <si>
    <t>PenCoerc</t>
  </si>
  <si>
    <t>Group level composite (mean) for group's acceptance of how group used penalties (PenAccept1, PenAccept2)</t>
  </si>
  <si>
    <t>Group level composite (mean) for perceived benefits of how group used penalties (PenBen1, PenBen2, PenBen3)</t>
  </si>
  <si>
    <t>Group level composite (mean) for perceived coerciveness/oppression of how group used penalties (PenCoerc1, PenCoerc2)</t>
  </si>
  <si>
    <t>DEMOGRAPHICS (SURVEY 2)</t>
  </si>
  <si>
    <t>Gender</t>
  </si>
  <si>
    <t>Ed</t>
  </si>
  <si>
    <t>GenderText</t>
  </si>
  <si>
    <t>trans female</t>
  </si>
  <si>
    <t>male transgener</t>
  </si>
  <si>
    <t>RaceText</t>
  </si>
  <si>
    <t>biracial</t>
  </si>
  <si>
    <t>black/white</t>
  </si>
  <si>
    <t>Caucasian/Asian</t>
  </si>
  <si>
    <t>biracial(black and white)</t>
  </si>
  <si>
    <t>Middle-Eastern White</t>
  </si>
  <si>
    <t>white and black</t>
  </si>
  <si>
    <t>Black &amp; White</t>
  </si>
  <si>
    <t>Bosnian/Muslim</t>
  </si>
  <si>
    <t>white/asian</t>
  </si>
  <si>
    <t>Biracial black/white</t>
  </si>
  <si>
    <t>Mixed</t>
  </si>
  <si>
    <t>mixed- black and white</t>
  </si>
  <si>
    <t>white/middle eastern origin</t>
  </si>
  <si>
    <t>Mixed - Black/African American, White &amp; Native Ame</t>
  </si>
  <si>
    <t>Mixed Black and Hispanic</t>
  </si>
  <si>
    <t>Engr 110 and CECS 130</t>
  </si>
  <si>
    <t>psychology 201 with edlin</t>
  </si>
  <si>
    <t>Intro to Pysch 201 Prof. Edlin</t>
  </si>
  <si>
    <t>intro to psych 201</t>
  </si>
  <si>
    <t>Engineering 110</t>
  </si>
  <si>
    <t>PSYC 201-02</t>
  </si>
  <si>
    <t>Psyc 201</t>
  </si>
  <si>
    <t>POLS 201</t>
  </si>
  <si>
    <t>PSYC 201</t>
  </si>
  <si>
    <t>Introduction to Psychology</t>
  </si>
  <si>
    <t>Pysch 201</t>
  </si>
  <si>
    <t>Criminal Justcice and my pysch</t>
  </si>
  <si>
    <t>Psych 301</t>
  </si>
  <si>
    <t>one of my criminal justice cla</t>
  </si>
  <si>
    <t>Psychology</t>
  </si>
  <si>
    <t>Psychology 201</t>
  </si>
  <si>
    <t>PSYC 201-75 Freya Edlin</t>
  </si>
  <si>
    <t>Pysch 201 &amp; Bio 102</t>
  </si>
  <si>
    <t>Criminal justice 200</t>
  </si>
  <si>
    <t>Psychology 101</t>
  </si>
  <si>
    <t>Bio 102-04</t>
  </si>
  <si>
    <t>PSYC 201 Dr. Ross</t>
  </si>
  <si>
    <t>CJ 201</t>
  </si>
  <si>
    <t>CIS205</t>
  </si>
  <si>
    <t>Chem 202</t>
  </si>
  <si>
    <t>PSY 201; CHEM 301</t>
  </si>
  <si>
    <t>Honors Chem 202</t>
  </si>
  <si>
    <t>psychology 201</t>
  </si>
  <si>
    <t>Psychology 201-01</t>
  </si>
  <si>
    <t>PYSCH 201</t>
  </si>
  <si>
    <t>PSYCH 201</t>
  </si>
  <si>
    <t>Biology</t>
  </si>
  <si>
    <t>CES 130 (Intro to Programming</t>
  </si>
  <si>
    <t>Political Science</t>
  </si>
  <si>
    <t>Macroeconomics</t>
  </si>
  <si>
    <t>CECS 130 Intro to Programming</t>
  </si>
  <si>
    <t>PSYC 201 and BIO 102</t>
  </si>
  <si>
    <t>pyschology 201</t>
  </si>
  <si>
    <t>I received an email from my EN</t>
  </si>
  <si>
    <t>ENGR 110</t>
  </si>
  <si>
    <t>Psych 201 Edna Ross</t>
  </si>
  <si>
    <t>Pschy 201</t>
  </si>
  <si>
    <t>Psychology 201 / Biology 102</t>
  </si>
  <si>
    <t>ECON 201</t>
  </si>
  <si>
    <t>Psych 201 With Edna Ross</t>
  </si>
  <si>
    <t>engineering class</t>
  </si>
  <si>
    <t>psyc 201</t>
  </si>
  <si>
    <t>psych 201</t>
  </si>
  <si>
    <t>CRJ 200 and CRJ 201</t>
  </si>
  <si>
    <t>Criminal Justice 200 &amp; 201</t>
  </si>
  <si>
    <t>Chemistry</t>
  </si>
  <si>
    <t>PSYCH201</t>
  </si>
  <si>
    <t>N/A, saw flyer on bulletin boa</t>
  </si>
  <si>
    <t>biology 102</t>
  </si>
  <si>
    <t>Intro to American Government a</t>
  </si>
  <si>
    <t>Chemistry 101</t>
  </si>
  <si>
    <t>Geography 200</t>
  </si>
  <si>
    <t>i saw a flier in life science</t>
  </si>
  <si>
    <t>im here for a psych 201 resear</t>
  </si>
  <si>
    <t>Biology 102, Dr. Hopp</t>
  </si>
  <si>
    <t>Biology 102 (Fuselier)</t>
  </si>
  <si>
    <t>psyc201</t>
  </si>
  <si>
    <t>psyc 201 - 02</t>
  </si>
  <si>
    <t>research methods</t>
  </si>
  <si>
    <t>none</t>
  </si>
  <si>
    <t>PSYCH 201-01</t>
  </si>
  <si>
    <t>CECS 130</t>
  </si>
  <si>
    <t>Microeconomics 201</t>
  </si>
  <si>
    <t>Psych 201</t>
  </si>
  <si>
    <t>PSYC 201: Intro to Psychology</t>
  </si>
  <si>
    <t>psych 201-01</t>
  </si>
  <si>
    <t>none, I got an email from my e</t>
  </si>
  <si>
    <t>Abnormal Psychology 308 Sectio</t>
  </si>
  <si>
    <t>psychology</t>
  </si>
  <si>
    <t>PSYC 201-75</t>
  </si>
  <si>
    <t>physics 299</t>
  </si>
  <si>
    <t>Psychology 201-02</t>
  </si>
  <si>
    <t>Engineering 101</t>
  </si>
  <si>
    <t>I was sent a link from a frien</t>
  </si>
  <si>
    <t>Psyc 201-02</t>
  </si>
  <si>
    <t>psychology 201, cj 200</t>
  </si>
  <si>
    <t>Psyc 301</t>
  </si>
  <si>
    <t>Intro to Psychology</t>
  </si>
  <si>
    <t>psych, political class</t>
  </si>
  <si>
    <t>Biology 102</t>
  </si>
  <si>
    <t>EDNA ROSS PSYC 201-01</t>
  </si>
  <si>
    <t>Global Environment</t>
  </si>
  <si>
    <t>POLS 202</t>
  </si>
  <si>
    <t>Sustainability 101</t>
  </si>
  <si>
    <t>pysch 201 and bio 102</t>
  </si>
  <si>
    <t>None</t>
  </si>
  <si>
    <t>Psychology of Life Span and De</t>
  </si>
  <si>
    <t>CECS 130-01</t>
  </si>
  <si>
    <t>finance 301</t>
  </si>
  <si>
    <t>BUS 201 Daniel gave out the in</t>
  </si>
  <si>
    <t>Psychologoy 302 (0nline course</t>
  </si>
  <si>
    <t>Bio 102 and Psyc 201</t>
  </si>
  <si>
    <t>psyc 201-02</t>
  </si>
  <si>
    <t>BIO 102</t>
  </si>
  <si>
    <t>Psychology 201- Edna Ross</t>
  </si>
  <si>
    <t>intro to psychology</t>
  </si>
  <si>
    <t>Pysch 201-01</t>
  </si>
  <si>
    <t>bio</t>
  </si>
  <si>
    <t>GEOS 200</t>
  </si>
  <si>
    <t>ENG 110-08</t>
  </si>
  <si>
    <t>Biological Anthropology (ANTH</t>
  </si>
  <si>
    <t>Psycholgy</t>
  </si>
  <si>
    <t>pysch 201</t>
  </si>
  <si>
    <t>Psych 201-03</t>
  </si>
  <si>
    <t>psycology 201-02</t>
  </si>
  <si>
    <t>Econ201</t>
  </si>
  <si>
    <t>psyc 102</t>
  </si>
  <si>
    <t>I was recruited by a friend th</t>
  </si>
  <si>
    <t>psych 201 and bio 102</t>
  </si>
  <si>
    <t>Anthropology</t>
  </si>
  <si>
    <t>Anthropology 201</t>
  </si>
  <si>
    <t>psych 102</t>
  </si>
  <si>
    <t>Biology and Psychology</t>
  </si>
  <si>
    <t>Biology 101</t>
  </si>
  <si>
    <t>Macroeconomics 202</t>
  </si>
  <si>
    <t>Intro to Psych TTh 2:30-3:45</t>
  </si>
  <si>
    <t>Anatomy 1</t>
  </si>
  <si>
    <t>Psychology 201 for credit</t>
  </si>
  <si>
    <t>CECS 130-01 or -02 not sure of</t>
  </si>
  <si>
    <t>PEAC 325</t>
  </si>
  <si>
    <t>psych 211</t>
  </si>
  <si>
    <t>Biology 242 (Professor Masters</t>
  </si>
  <si>
    <t>Physics 223</t>
  </si>
  <si>
    <t>Chemistry 202</t>
  </si>
  <si>
    <t>None, I just found this on the</t>
  </si>
  <si>
    <t>Bio 240</t>
  </si>
  <si>
    <t>psychology 102</t>
  </si>
  <si>
    <t>Phys 107: Elementary Atronomy</t>
  </si>
  <si>
    <t>Psychology Research Methods</t>
  </si>
  <si>
    <t>HSS 302</t>
  </si>
  <si>
    <t>Peace, Conflict, and Mediation</t>
  </si>
  <si>
    <t>Psyc201</t>
  </si>
  <si>
    <t>PSYC 201-03</t>
  </si>
  <si>
    <t>Introduction to Comparative Po</t>
  </si>
  <si>
    <t>Psyc Stats (Methods)</t>
  </si>
  <si>
    <t>Psych 306</t>
  </si>
  <si>
    <t>PHYC</t>
  </si>
  <si>
    <t>just here w friends</t>
  </si>
  <si>
    <t>History 102</t>
  </si>
  <si>
    <t>I was referred by a friend not</t>
  </si>
  <si>
    <t>my nutrition class</t>
  </si>
  <si>
    <t>Philosophy 205</t>
  </si>
  <si>
    <t>GEOS 200-01 and PSYC 201-01</t>
  </si>
  <si>
    <t>Psych201-01</t>
  </si>
  <si>
    <t>Pscyh 201</t>
  </si>
  <si>
    <t>Intro to psych</t>
  </si>
  <si>
    <t>I heard about it from a friend</t>
  </si>
  <si>
    <t>pysch 201-02</t>
  </si>
  <si>
    <t>Social Problems</t>
  </si>
  <si>
    <t>BIO 242</t>
  </si>
  <si>
    <t>pyschology</t>
  </si>
  <si>
    <t>Pschology 306</t>
  </si>
  <si>
    <t>ECE 210</t>
  </si>
  <si>
    <t>ACCT 201 &amp; CHEM 101</t>
  </si>
  <si>
    <t>Chem</t>
  </si>
  <si>
    <t>ACCT 202</t>
  </si>
  <si>
    <t>Anatomy BIO260</t>
  </si>
  <si>
    <t>Chemistry Honors 202</t>
  </si>
  <si>
    <t>Accounting 202</t>
  </si>
  <si>
    <t>Pschology</t>
  </si>
  <si>
    <t>Chem 202 Noble 2:30-3:45</t>
  </si>
  <si>
    <t>You did not visit my class</t>
  </si>
  <si>
    <t>Sociology</t>
  </si>
  <si>
    <t>pschology</t>
  </si>
  <si>
    <t>Microeconomics</t>
  </si>
  <si>
    <t>psych 302</t>
  </si>
  <si>
    <t>Chemistry 201</t>
  </si>
  <si>
    <t>Bio 102</t>
  </si>
  <si>
    <t>Physics 2</t>
  </si>
  <si>
    <t>PHYS 107</t>
  </si>
  <si>
    <t>Astronomy</t>
  </si>
  <si>
    <t>first aid and safety class HSS</t>
  </si>
  <si>
    <t>PHYS 317</t>
  </si>
  <si>
    <t>micro econ</t>
  </si>
  <si>
    <t>biology</t>
  </si>
  <si>
    <t>PSYC 201-01</t>
  </si>
  <si>
    <t>Psych 201-01</t>
  </si>
  <si>
    <t>psy 307</t>
  </si>
  <si>
    <t>PSYCOLOGY</t>
  </si>
  <si>
    <t>Meterology</t>
  </si>
  <si>
    <t>engineering110</t>
  </si>
  <si>
    <t>The group's final ES (Enforcement System) score</t>
  </si>
  <si>
    <t>Indicates whether the group has an Enforcement System (0 no, 1 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</si>
</sst>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1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1" fontId="0" fillId="0" borderId="0" xfId="0" applyNumberForma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horizontal="left" vertical="center"/>
    </xf>
    <xf numFmtId="2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/>
    <xf numFmtId="2" fontId="1" fillId="0" borderId="0" xfId="0" applyNumberFormat="1" applyFont="1" applyFill="1" applyAlignment="1">
      <alignment horizontal="center"/>
    </xf>
  </cellXfs>
  <cellStyles count="2">
    <cellStyle name="Normal" xfId="0" builtinId="0"/>
    <cellStyle name="Normal 2" xfId="1" xr:uid="{1069A6E5-5700-4CF5-B850-A2AAE94FBBF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DC45-26D2-4C80-9547-B379A45B5793}">
  <dimension ref="A1:C199"/>
  <sheetViews>
    <sheetView tabSelected="1" topLeftCell="A88" workbookViewId="0">
      <selection activeCell="A93" sqref="A93:XFD93"/>
    </sheetView>
  </sheetViews>
  <sheetFormatPr defaultRowHeight="14.5" x14ac:dyDescent="0.35"/>
  <cols>
    <col min="1" max="1" width="56.36328125" style="11" bestFit="1" customWidth="1"/>
  </cols>
  <sheetData>
    <row r="1" spans="1:2" x14ac:dyDescent="0.35">
      <c r="A1" s="10" t="s">
        <v>488</v>
      </c>
      <c r="B1" s="7"/>
    </row>
    <row r="2" spans="1:2" x14ac:dyDescent="0.35">
      <c r="A2" s="10"/>
      <c r="B2" s="7"/>
    </row>
    <row r="3" spans="1:2" x14ac:dyDescent="0.35">
      <c r="A3" s="12" t="s">
        <v>31</v>
      </c>
      <c r="B3" s="13" t="s">
        <v>32</v>
      </c>
    </row>
    <row r="4" spans="1:2" x14ac:dyDescent="0.35">
      <c r="A4" s="9" t="s">
        <v>0</v>
      </c>
      <c r="B4" t="s">
        <v>33</v>
      </c>
    </row>
    <row r="5" spans="1:2" x14ac:dyDescent="0.35">
      <c r="A5" s="9" t="s">
        <v>489</v>
      </c>
      <c r="B5" t="s">
        <v>490</v>
      </c>
    </row>
    <row r="6" spans="1:2" x14ac:dyDescent="0.35">
      <c r="A6" s="9" t="s">
        <v>162</v>
      </c>
      <c r="B6" t="s">
        <v>35</v>
      </c>
    </row>
    <row r="7" spans="1:2" x14ac:dyDescent="0.35">
      <c r="A7" s="9" t="s">
        <v>451</v>
      </c>
      <c r="B7" t="s">
        <v>491</v>
      </c>
    </row>
    <row r="8" spans="1:2" x14ac:dyDescent="0.35">
      <c r="A8" s="9" t="s">
        <v>528</v>
      </c>
      <c r="B8" t="s">
        <v>531</v>
      </c>
    </row>
    <row r="9" spans="1:2" x14ac:dyDescent="0.35">
      <c r="A9" s="9" t="s">
        <v>529</v>
      </c>
      <c r="B9" t="s">
        <v>530</v>
      </c>
    </row>
    <row r="10" spans="1:2" x14ac:dyDescent="0.35">
      <c r="A10" s="9" t="s">
        <v>34</v>
      </c>
      <c r="B10" t="s">
        <v>492</v>
      </c>
    </row>
    <row r="11" spans="1:2" x14ac:dyDescent="0.35">
      <c r="A11" s="9" t="s">
        <v>36</v>
      </c>
      <c r="B11" t="s">
        <v>37</v>
      </c>
    </row>
    <row r="12" spans="1:2" x14ac:dyDescent="0.35">
      <c r="A12" s="9" t="s">
        <v>30</v>
      </c>
      <c r="B12" t="s">
        <v>38</v>
      </c>
    </row>
    <row r="13" spans="1:2" x14ac:dyDescent="0.35">
      <c r="A13" s="9" t="s">
        <v>1</v>
      </c>
      <c r="B13" t="s">
        <v>40</v>
      </c>
    </row>
    <row r="14" spans="1:2" x14ac:dyDescent="0.35">
      <c r="A14" s="9" t="s">
        <v>2</v>
      </c>
      <c r="B14" t="s">
        <v>41</v>
      </c>
    </row>
    <row r="15" spans="1:2" x14ac:dyDescent="0.35">
      <c r="A15" s="9" t="s">
        <v>3</v>
      </c>
      <c r="B15" t="s">
        <v>42</v>
      </c>
    </row>
    <row r="16" spans="1:2" x14ac:dyDescent="0.35">
      <c r="A16" s="9" t="s">
        <v>4</v>
      </c>
      <c r="B16" t="s">
        <v>43</v>
      </c>
    </row>
    <row r="17" spans="1:2" x14ac:dyDescent="0.35">
      <c r="A17" s="9" t="s">
        <v>5</v>
      </c>
      <c r="B17" t="s">
        <v>44</v>
      </c>
    </row>
    <row r="18" spans="1:2" x14ac:dyDescent="0.35">
      <c r="A18" s="9" t="s">
        <v>6</v>
      </c>
      <c r="B18" t="s">
        <v>39</v>
      </c>
    </row>
    <row r="19" spans="1:2" x14ac:dyDescent="0.35">
      <c r="A19" s="9" t="s">
        <v>7</v>
      </c>
      <c r="B19" t="s">
        <v>45</v>
      </c>
    </row>
    <row r="20" spans="1:2" x14ac:dyDescent="0.35">
      <c r="A20" s="9" t="s">
        <v>8</v>
      </c>
      <c r="B20" t="s">
        <v>46</v>
      </c>
    </row>
    <row r="21" spans="1:2" x14ac:dyDescent="0.35">
      <c r="A21" s="9" t="s">
        <v>9</v>
      </c>
      <c r="B21" t="s">
        <v>47</v>
      </c>
    </row>
    <row r="22" spans="1:2" x14ac:dyDescent="0.35">
      <c r="A22" s="9" t="s">
        <v>10</v>
      </c>
      <c r="B22" t="s">
        <v>48</v>
      </c>
    </row>
    <row r="23" spans="1:2" x14ac:dyDescent="0.35">
      <c r="A23" s="9" t="s">
        <v>11</v>
      </c>
      <c r="B23" t="s">
        <v>49</v>
      </c>
    </row>
    <row r="24" spans="1:2" x14ac:dyDescent="0.35">
      <c r="A24" s="9" t="s">
        <v>12</v>
      </c>
      <c r="B24" t="s">
        <v>50</v>
      </c>
    </row>
    <row r="25" spans="1:2" x14ac:dyDescent="0.35">
      <c r="A25" s="9" t="s">
        <v>13</v>
      </c>
      <c r="B25" t="s">
        <v>51</v>
      </c>
    </row>
    <row r="26" spans="1:2" x14ac:dyDescent="0.35">
      <c r="A26" s="9" t="s">
        <v>14</v>
      </c>
      <c r="B26" t="s">
        <v>52</v>
      </c>
    </row>
    <row r="27" spans="1:2" x14ac:dyDescent="0.35">
      <c r="A27" s="9" t="s">
        <v>15</v>
      </c>
      <c r="B27" t="s">
        <v>53</v>
      </c>
    </row>
    <row r="28" spans="1:2" x14ac:dyDescent="0.35">
      <c r="A28" s="9" t="s">
        <v>16</v>
      </c>
      <c r="B28" t="s">
        <v>54</v>
      </c>
    </row>
    <row r="29" spans="1:2" x14ac:dyDescent="0.35">
      <c r="A29" s="9" t="s">
        <v>17</v>
      </c>
      <c r="B29" t="s">
        <v>55</v>
      </c>
    </row>
    <row r="30" spans="1:2" x14ac:dyDescent="0.35">
      <c r="A30" s="9" t="s">
        <v>18</v>
      </c>
      <c r="B30" t="s">
        <v>56</v>
      </c>
    </row>
    <row r="31" spans="1:2" x14ac:dyDescent="0.35">
      <c r="A31" s="9" t="s">
        <v>19</v>
      </c>
      <c r="B31" t="s">
        <v>57</v>
      </c>
    </row>
    <row r="32" spans="1:2" x14ac:dyDescent="0.35">
      <c r="A32" s="9" t="s">
        <v>20</v>
      </c>
      <c r="B32" t="s">
        <v>58</v>
      </c>
    </row>
    <row r="33" spans="1:2" x14ac:dyDescent="0.35">
      <c r="A33" s="9" t="s">
        <v>21</v>
      </c>
      <c r="B33" t="s">
        <v>59</v>
      </c>
    </row>
    <row r="34" spans="1:2" x14ac:dyDescent="0.35">
      <c r="A34" s="9" t="s">
        <v>22</v>
      </c>
      <c r="B34" t="s">
        <v>60</v>
      </c>
    </row>
    <row r="35" spans="1:2" x14ac:dyDescent="0.35">
      <c r="A35" s="9" t="s">
        <v>23</v>
      </c>
      <c r="B35" t="s">
        <v>61</v>
      </c>
    </row>
    <row r="36" spans="1:2" x14ac:dyDescent="0.35">
      <c r="A36" s="9" t="s">
        <v>24</v>
      </c>
      <c r="B36" t="s">
        <v>62</v>
      </c>
    </row>
    <row r="37" spans="1:2" x14ac:dyDescent="0.35">
      <c r="A37" s="9" t="s">
        <v>482</v>
      </c>
      <c r="B37" t="s">
        <v>518</v>
      </c>
    </row>
    <row r="38" spans="1:2" x14ac:dyDescent="0.35">
      <c r="A38" s="9" t="s">
        <v>483</v>
      </c>
      <c r="B38" t="s">
        <v>519</v>
      </c>
    </row>
    <row r="39" spans="1:2" x14ac:dyDescent="0.35">
      <c r="A39" s="9" t="s">
        <v>484</v>
      </c>
      <c r="B39" t="s">
        <v>520</v>
      </c>
    </row>
    <row r="40" spans="1:2" x14ac:dyDescent="0.35">
      <c r="A40" s="9" t="s">
        <v>452</v>
      </c>
      <c r="B40" t="s">
        <v>493</v>
      </c>
    </row>
    <row r="41" spans="1:2" x14ac:dyDescent="0.35">
      <c r="A41" s="9" t="s">
        <v>453</v>
      </c>
      <c r="B41" t="s">
        <v>494</v>
      </c>
    </row>
    <row r="42" spans="1:2" x14ac:dyDescent="0.35">
      <c r="A42" s="9" t="s">
        <v>454</v>
      </c>
      <c r="B42" t="s">
        <v>495</v>
      </c>
    </row>
    <row r="43" spans="1:2" x14ac:dyDescent="0.35">
      <c r="A43" s="9" t="s">
        <v>455</v>
      </c>
      <c r="B43" t="s">
        <v>496</v>
      </c>
    </row>
    <row r="44" spans="1:2" x14ac:dyDescent="0.35">
      <c r="A44" s="9" t="s">
        <v>456</v>
      </c>
      <c r="B44" t="s">
        <v>497</v>
      </c>
    </row>
    <row r="45" spans="1:2" x14ac:dyDescent="0.35">
      <c r="A45" s="9" t="s">
        <v>457</v>
      </c>
      <c r="B45" t="s">
        <v>498</v>
      </c>
    </row>
    <row r="46" spans="1:2" x14ac:dyDescent="0.35">
      <c r="A46" s="9" t="s">
        <v>458</v>
      </c>
      <c r="B46" t="s">
        <v>499</v>
      </c>
    </row>
    <row r="47" spans="1:2" x14ac:dyDescent="0.35">
      <c r="A47" s="9" t="s">
        <v>459</v>
      </c>
      <c r="B47" t="s">
        <v>500</v>
      </c>
    </row>
    <row r="48" spans="1:2" x14ac:dyDescent="0.35">
      <c r="A48" s="9" t="s">
        <v>460</v>
      </c>
      <c r="B48" t="s">
        <v>501</v>
      </c>
    </row>
    <row r="49" spans="1:2" x14ac:dyDescent="0.35">
      <c r="A49" s="9" t="s">
        <v>461</v>
      </c>
      <c r="B49" t="s">
        <v>502</v>
      </c>
    </row>
    <row r="50" spans="1:2" x14ac:dyDescent="0.35">
      <c r="A50" s="9" t="s">
        <v>462</v>
      </c>
      <c r="B50" t="s">
        <v>503</v>
      </c>
    </row>
    <row r="51" spans="1:2" x14ac:dyDescent="0.35">
      <c r="A51" s="9" t="s">
        <v>463</v>
      </c>
      <c r="B51" t="s">
        <v>504</v>
      </c>
    </row>
    <row r="52" spans="1:2" x14ac:dyDescent="0.35">
      <c r="A52" s="9" t="s">
        <v>464</v>
      </c>
      <c r="B52" t="s">
        <v>505</v>
      </c>
    </row>
    <row r="53" spans="1:2" x14ac:dyDescent="0.35">
      <c r="A53" s="9" t="s">
        <v>465</v>
      </c>
      <c r="B53" t="s">
        <v>505</v>
      </c>
    </row>
    <row r="54" spans="1:2" x14ac:dyDescent="0.35">
      <c r="A54" s="9" t="s">
        <v>466</v>
      </c>
      <c r="B54" t="s">
        <v>505</v>
      </c>
    </row>
    <row r="55" spans="1:2" x14ac:dyDescent="0.35">
      <c r="A55" s="9" t="s">
        <v>467</v>
      </c>
      <c r="B55" t="s">
        <v>505</v>
      </c>
    </row>
    <row r="56" spans="1:2" x14ac:dyDescent="0.35">
      <c r="A56" s="9" t="s">
        <v>468</v>
      </c>
      <c r="B56" t="s">
        <v>505</v>
      </c>
    </row>
    <row r="57" spans="1:2" x14ac:dyDescent="0.35">
      <c r="A57" s="9" t="s">
        <v>469</v>
      </c>
      <c r="B57" t="s">
        <v>505</v>
      </c>
    </row>
    <row r="58" spans="1:2" x14ac:dyDescent="0.35">
      <c r="A58" s="9" t="s">
        <v>470</v>
      </c>
      <c r="B58" t="s">
        <v>506</v>
      </c>
    </row>
    <row r="59" spans="1:2" x14ac:dyDescent="0.35">
      <c r="A59" s="9" t="s">
        <v>471</v>
      </c>
      <c r="B59" t="s">
        <v>507</v>
      </c>
    </row>
    <row r="60" spans="1:2" x14ac:dyDescent="0.35">
      <c r="A60" s="9" t="s">
        <v>472</v>
      </c>
      <c r="B60" t="s">
        <v>508</v>
      </c>
    </row>
    <row r="61" spans="1:2" x14ac:dyDescent="0.35">
      <c r="A61" s="9" t="s">
        <v>473</v>
      </c>
      <c r="B61" t="s">
        <v>509</v>
      </c>
    </row>
    <row r="62" spans="1:2" x14ac:dyDescent="0.35">
      <c r="A62" s="9" t="s">
        <v>474</v>
      </c>
      <c r="B62" t="s">
        <v>510</v>
      </c>
    </row>
    <row r="63" spans="1:2" x14ac:dyDescent="0.35">
      <c r="A63" s="9" t="s">
        <v>475</v>
      </c>
      <c r="B63" t="s">
        <v>511</v>
      </c>
    </row>
    <row r="64" spans="1:2" x14ac:dyDescent="0.35">
      <c r="A64" s="9" t="s">
        <v>476</v>
      </c>
      <c r="B64" t="s">
        <v>513</v>
      </c>
    </row>
    <row r="65" spans="1:2" x14ac:dyDescent="0.35">
      <c r="A65" s="9" t="s">
        <v>477</v>
      </c>
      <c r="B65" t="s">
        <v>514</v>
      </c>
    </row>
    <row r="66" spans="1:2" x14ac:dyDescent="0.35">
      <c r="A66" s="9" t="s">
        <v>478</v>
      </c>
      <c r="B66" t="s">
        <v>512</v>
      </c>
    </row>
    <row r="67" spans="1:2" x14ac:dyDescent="0.35">
      <c r="A67" s="9" t="s">
        <v>479</v>
      </c>
      <c r="B67" t="s">
        <v>517</v>
      </c>
    </row>
    <row r="68" spans="1:2" x14ac:dyDescent="0.35">
      <c r="A68" s="9" t="s">
        <v>480</v>
      </c>
      <c r="B68" t="s">
        <v>515</v>
      </c>
    </row>
    <row r="69" spans="1:2" x14ac:dyDescent="0.35">
      <c r="A69" s="9" t="s">
        <v>481</v>
      </c>
      <c r="B69" t="s">
        <v>516</v>
      </c>
    </row>
    <row r="70" spans="1:2" x14ac:dyDescent="0.35">
      <c r="A70" s="9" t="s">
        <v>485</v>
      </c>
      <c r="B70" t="s">
        <v>521</v>
      </c>
    </row>
    <row r="71" spans="1:2" x14ac:dyDescent="0.35">
      <c r="A71" s="9" t="s">
        <v>486</v>
      </c>
      <c r="B71" t="s">
        <v>522</v>
      </c>
    </row>
    <row r="72" spans="1:2" x14ac:dyDescent="0.35">
      <c r="A72" s="9" t="s">
        <v>487</v>
      </c>
      <c r="B72" t="s">
        <v>523</v>
      </c>
    </row>
    <row r="73" spans="1:2" x14ac:dyDescent="0.35">
      <c r="A73" s="9" t="s">
        <v>524</v>
      </c>
      <c r="B73" t="s">
        <v>526</v>
      </c>
    </row>
    <row r="74" spans="1:2" x14ac:dyDescent="0.35">
      <c r="A74" s="9" t="s">
        <v>525</v>
      </c>
      <c r="B74" t="s">
        <v>527</v>
      </c>
    </row>
    <row r="75" spans="1:2" x14ac:dyDescent="0.35">
      <c r="A75" s="20" t="s">
        <v>86</v>
      </c>
    </row>
    <row r="76" spans="1:2" x14ac:dyDescent="0.35">
      <c r="A76" s="22" t="s">
        <v>87</v>
      </c>
    </row>
    <row r="77" spans="1:2" x14ac:dyDescent="0.35">
      <c r="A77" s="9" t="s">
        <v>547</v>
      </c>
      <c r="B77" t="s">
        <v>562</v>
      </c>
    </row>
    <row r="78" spans="1:2" x14ac:dyDescent="0.35">
      <c r="A78" s="9" t="s">
        <v>548</v>
      </c>
      <c r="B78" t="s">
        <v>551</v>
      </c>
    </row>
    <row r="79" spans="1:2" x14ac:dyDescent="0.35">
      <c r="A79" s="9" t="s">
        <v>549</v>
      </c>
      <c r="B79" t="s">
        <v>552</v>
      </c>
    </row>
    <row r="80" spans="1:2" x14ac:dyDescent="0.35">
      <c r="A80" s="9" t="s">
        <v>550</v>
      </c>
      <c r="B80" t="s">
        <v>553</v>
      </c>
    </row>
    <row r="81" spans="1:3" x14ac:dyDescent="0.35">
      <c r="A81" s="9" t="s">
        <v>537</v>
      </c>
      <c r="B81" t="s">
        <v>554</v>
      </c>
    </row>
    <row r="82" spans="1:3" x14ac:dyDescent="0.35">
      <c r="A82" s="9" t="s">
        <v>538</v>
      </c>
      <c r="B82" t="s">
        <v>555</v>
      </c>
    </row>
    <row r="83" spans="1:3" x14ac:dyDescent="0.35">
      <c r="A83" s="9" t="s">
        <v>539</v>
      </c>
      <c r="B83" t="s">
        <v>556</v>
      </c>
    </row>
    <row r="84" spans="1:3" x14ac:dyDescent="0.35">
      <c r="A84" s="9" t="s">
        <v>540</v>
      </c>
      <c r="B84" t="s">
        <v>557</v>
      </c>
    </row>
    <row r="85" spans="1:3" x14ac:dyDescent="0.35">
      <c r="A85" s="9" t="s">
        <v>541</v>
      </c>
      <c r="B85" t="s">
        <v>558</v>
      </c>
    </row>
    <row r="86" spans="1:3" x14ac:dyDescent="0.35">
      <c r="A86" s="9" t="s">
        <v>542</v>
      </c>
      <c r="B86" t="s">
        <v>559</v>
      </c>
    </row>
    <row r="87" spans="1:3" x14ac:dyDescent="0.35">
      <c r="A87" s="9" t="s">
        <v>543</v>
      </c>
      <c r="B87" t="s">
        <v>560</v>
      </c>
    </row>
    <row r="88" spans="1:3" x14ac:dyDescent="0.35">
      <c r="A88" s="9" t="s">
        <v>544</v>
      </c>
      <c r="B88" t="s">
        <v>561</v>
      </c>
    </row>
    <row r="89" spans="1:3" x14ac:dyDescent="0.35">
      <c r="A89" s="9" t="s">
        <v>545</v>
      </c>
      <c r="B89" t="s">
        <v>956</v>
      </c>
    </row>
    <row r="90" spans="1:3" x14ac:dyDescent="0.35">
      <c r="A90" s="9" t="s">
        <v>546</v>
      </c>
      <c r="B90" t="s">
        <v>957</v>
      </c>
    </row>
    <row r="91" spans="1:3" x14ac:dyDescent="0.35">
      <c r="A91" s="20" t="s">
        <v>63</v>
      </c>
      <c r="B91" s="21"/>
      <c r="C91" s="21"/>
    </row>
    <row r="92" spans="1:3" x14ac:dyDescent="0.35">
      <c r="A92" s="22" t="s">
        <v>532</v>
      </c>
      <c r="B92" s="21"/>
      <c r="C92" s="21"/>
    </row>
    <row r="93" spans="1:3" x14ac:dyDescent="0.35">
      <c r="A93" s="28" t="s">
        <v>563</v>
      </c>
      <c r="B93" t="s">
        <v>570</v>
      </c>
    </row>
    <row r="94" spans="1:3" x14ac:dyDescent="0.35">
      <c r="A94" s="28" t="s">
        <v>564</v>
      </c>
      <c r="B94" t="s">
        <v>571</v>
      </c>
    </row>
    <row r="95" spans="1:3" x14ac:dyDescent="0.35">
      <c r="A95" s="28" t="s">
        <v>565</v>
      </c>
      <c r="B95" t="s">
        <v>572</v>
      </c>
    </row>
    <row r="96" spans="1:3" x14ac:dyDescent="0.35">
      <c r="A96" s="28" t="s">
        <v>566</v>
      </c>
      <c r="B96" t="s">
        <v>573</v>
      </c>
    </row>
    <row r="97" spans="1:2" x14ac:dyDescent="0.35">
      <c r="A97" s="28" t="s">
        <v>567</v>
      </c>
      <c r="B97" t="s">
        <v>574</v>
      </c>
    </row>
    <row r="98" spans="1:2" x14ac:dyDescent="0.35">
      <c r="A98" s="28" t="s">
        <v>568</v>
      </c>
      <c r="B98" t="s">
        <v>575</v>
      </c>
    </row>
    <row r="99" spans="1:2" x14ac:dyDescent="0.35">
      <c r="A99" s="28" t="s">
        <v>569</v>
      </c>
      <c r="B99" t="s">
        <v>576</v>
      </c>
    </row>
    <row r="100" spans="1:2" x14ac:dyDescent="0.35">
      <c r="A100" s="28" t="s">
        <v>584</v>
      </c>
      <c r="B100" t="s">
        <v>588</v>
      </c>
    </row>
    <row r="101" spans="1:2" x14ac:dyDescent="0.35">
      <c r="A101" s="28" t="s">
        <v>585</v>
      </c>
      <c r="B101" t="s">
        <v>589</v>
      </c>
    </row>
    <row r="102" spans="1:2" x14ac:dyDescent="0.35">
      <c r="A102" s="28" t="s">
        <v>586</v>
      </c>
      <c r="B102" t="s">
        <v>590</v>
      </c>
    </row>
    <row r="103" spans="1:2" x14ac:dyDescent="0.35">
      <c r="A103" s="28" t="s">
        <v>587</v>
      </c>
      <c r="B103" t="s">
        <v>591</v>
      </c>
    </row>
    <row r="104" spans="1:2" x14ac:dyDescent="0.35">
      <c r="A104" s="28" t="s">
        <v>597</v>
      </c>
      <c r="B104" t="s">
        <v>598</v>
      </c>
    </row>
    <row r="105" spans="1:2" x14ac:dyDescent="0.35">
      <c r="A105" s="29" t="s">
        <v>592</v>
      </c>
      <c r="B105" t="s">
        <v>599</v>
      </c>
    </row>
    <row r="106" spans="1:2" x14ac:dyDescent="0.35">
      <c r="A106" s="29" t="s">
        <v>593</v>
      </c>
      <c r="B106" t="s">
        <v>600</v>
      </c>
    </row>
    <row r="107" spans="1:2" x14ac:dyDescent="0.35">
      <c r="A107" s="29" t="s">
        <v>594</v>
      </c>
      <c r="B107" t="s">
        <v>602</v>
      </c>
    </row>
    <row r="108" spans="1:2" x14ac:dyDescent="0.35">
      <c r="A108" s="29" t="s">
        <v>595</v>
      </c>
      <c r="B108" t="s">
        <v>601</v>
      </c>
    </row>
    <row r="109" spans="1:2" x14ac:dyDescent="0.35">
      <c r="A109" s="29" t="s">
        <v>596</v>
      </c>
      <c r="B109" t="s">
        <v>603</v>
      </c>
    </row>
    <row r="110" spans="1:2" x14ac:dyDescent="0.35">
      <c r="A110" s="28" t="s">
        <v>613</v>
      </c>
      <c r="B110" t="s">
        <v>64</v>
      </c>
    </row>
    <row r="111" spans="1:2" x14ac:dyDescent="0.35">
      <c r="A111" s="28" t="s">
        <v>614</v>
      </c>
      <c r="B111" t="s">
        <v>65</v>
      </c>
    </row>
    <row r="112" spans="1:2" x14ac:dyDescent="0.35">
      <c r="A112" s="28" t="s">
        <v>615</v>
      </c>
      <c r="B112" t="s">
        <v>66</v>
      </c>
    </row>
    <row r="113" spans="1:2" x14ac:dyDescent="0.35">
      <c r="A113" s="28" t="s">
        <v>616</v>
      </c>
      <c r="B113" t="s">
        <v>618</v>
      </c>
    </row>
    <row r="114" spans="1:2" x14ac:dyDescent="0.35">
      <c r="A114" s="28" t="s">
        <v>617</v>
      </c>
      <c r="B114" t="s">
        <v>619</v>
      </c>
    </row>
    <row r="115" spans="1:2" x14ac:dyDescent="0.35">
      <c r="A115" s="28" t="s">
        <v>630</v>
      </c>
      <c r="B115" t="s">
        <v>648</v>
      </c>
    </row>
    <row r="116" spans="1:2" x14ac:dyDescent="0.35">
      <c r="A116" s="28" t="s">
        <v>620</v>
      </c>
      <c r="B116" t="s">
        <v>624</v>
      </c>
    </row>
    <row r="117" spans="1:2" x14ac:dyDescent="0.35">
      <c r="A117" s="28" t="s">
        <v>621</v>
      </c>
      <c r="B117" t="s">
        <v>625</v>
      </c>
    </row>
    <row r="118" spans="1:2" x14ac:dyDescent="0.35">
      <c r="A118" s="28" t="s">
        <v>622</v>
      </c>
      <c r="B118" t="s">
        <v>626</v>
      </c>
    </row>
    <row r="119" spans="1:2" x14ac:dyDescent="0.35">
      <c r="A119" s="28" t="s">
        <v>623</v>
      </c>
      <c r="B119" t="s">
        <v>627</v>
      </c>
    </row>
    <row r="120" spans="1:2" x14ac:dyDescent="0.35">
      <c r="A120" s="28" t="s">
        <v>25</v>
      </c>
      <c r="B120" t="s">
        <v>628</v>
      </c>
    </row>
    <row r="121" spans="1:2" x14ac:dyDescent="0.35">
      <c r="A121" s="28" t="s">
        <v>26</v>
      </c>
      <c r="B121" t="s">
        <v>629</v>
      </c>
    </row>
    <row r="122" spans="1:2" x14ac:dyDescent="0.35">
      <c r="A122" s="28" t="s">
        <v>635</v>
      </c>
      <c r="B122" t="s">
        <v>637</v>
      </c>
    </row>
    <row r="123" spans="1:2" x14ac:dyDescent="0.35">
      <c r="A123" s="28" t="s">
        <v>636</v>
      </c>
      <c r="B123" t="s">
        <v>638</v>
      </c>
    </row>
    <row r="124" spans="1:2" x14ac:dyDescent="0.35">
      <c r="A124" s="28" t="s">
        <v>651</v>
      </c>
      <c r="B124" t="s">
        <v>653</v>
      </c>
    </row>
    <row r="125" spans="1:2" x14ac:dyDescent="0.35">
      <c r="A125" s="28" t="s">
        <v>652</v>
      </c>
      <c r="B125" t="s">
        <v>654</v>
      </c>
    </row>
    <row r="126" spans="1:2" x14ac:dyDescent="0.35">
      <c r="A126" s="28" t="s">
        <v>643</v>
      </c>
      <c r="B126" t="s">
        <v>649</v>
      </c>
    </row>
    <row r="127" spans="1:2" x14ac:dyDescent="0.35">
      <c r="A127" s="28" t="s">
        <v>644</v>
      </c>
      <c r="B127" t="s">
        <v>650</v>
      </c>
    </row>
    <row r="128" spans="1:2" x14ac:dyDescent="0.35">
      <c r="A128" s="28" t="s">
        <v>656</v>
      </c>
      <c r="B128" t="s">
        <v>659</v>
      </c>
    </row>
    <row r="129" spans="1:2" x14ac:dyDescent="0.35">
      <c r="A129" s="28" t="s">
        <v>657</v>
      </c>
      <c r="B129" t="s">
        <v>660</v>
      </c>
    </row>
    <row r="130" spans="1:2" x14ac:dyDescent="0.35">
      <c r="A130" s="28" t="s">
        <v>658</v>
      </c>
      <c r="B130" t="s">
        <v>661</v>
      </c>
    </row>
    <row r="131" spans="1:2" x14ac:dyDescent="0.35">
      <c r="A131" s="28" t="s">
        <v>664</v>
      </c>
      <c r="B131" t="s">
        <v>667</v>
      </c>
    </row>
    <row r="132" spans="1:2" x14ac:dyDescent="0.35">
      <c r="A132" s="28" t="s">
        <v>665</v>
      </c>
      <c r="B132" t="s">
        <v>668</v>
      </c>
    </row>
    <row r="133" spans="1:2" x14ac:dyDescent="0.35">
      <c r="A133" s="28" t="s">
        <v>666</v>
      </c>
      <c r="B133" t="s">
        <v>669</v>
      </c>
    </row>
    <row r="134" spans="1:2" x14ac:dyDescent="0.35">
      <c r="A134" s="28" t="s">
        <v>676</v>
      </c>
      <c r="B134" t="s">
        <v>679</v>
      </c>
    </row>
    <row r="135" spans="1:2" x14ac:dyDescent="0.35">
      <c r="A135" s="28" t="s">
        <v>677</v>
      </c>
      <c r="B135" t="s">
        <v>680</v>
      </c>
    </row>
    <row r="136" spans="1:2" x14ac:dyDescent="0.35">
      <c r="A136" s="28" t="s">
        <v>678</v>
      </c>
      <c r="B136" t="s">
        <v>681</v>
      </c>
    </row>
    <row r="137" spans="1:2" x14ac:dyDescent="0.35">
      <c r="A137" s="28" t="s">
        <v>683</v>
      </c>
      <c r="B137" t="s">
        <v>686</v>
      </c>
    </row>
    <row r="138" spans="1:2" x14ac:dyDescent="0.35">
      <c r="A138" s="28" t="s">
        <v>684</v>
      </c>
      <c r="B138" t="s">
        <v>687</v>
      </c>
    </row>
    <row r="139" spans="1:2" x14ac:dyDescent="0.35">
      <c r="A139" s="28" t="s">
        <v>691</v>
      </c>
      <c r="B139" t="s">
        <v>697</v>
      </c>
    </row>
    <row r="140" spans="1:2" x14ac:dyDescent="0.35">
      <c r="A140" s="28" t="s">
        <v>696</v>
      </c>
      <c r="B140" t="s">
        <v>698</v>
      </c>
    </row>
    <row r="141" spans="1:2" x14ac:dyDescent="0.35">
      <c r="A141" s="28" t="s">
        <v>693</v>
      </c>
      <c r="B141" t="s">
        <v>699</v>
      </c>
    </row>
    <row r="142" spans="1:2" x14ac:dyDescent="0.35">
      <c r="A142" s="28" t="s">
        <v>694</v>
      </c>
      <c r="B142" t="s">
        <v>700</v>
      </c>
    </row>
    <row r="143" spans="1:2" x14ac:dyDescent="0.35">
      <c r="A143" s="28" t="s">
        <v>695</v>
      </c>
      <c r="B143" t="s">
        <v>701</v>
      </c>
    </row>
    <row r="144" spans="1:2" x14ac:dyDescent="0.35">
      <c r="A144" s="28" t="s">
        <v>728</v>
      </c>
      <c r="B144" t="s">
        <v>736</v>
      </c>
    </row>
    <row r="145" spans="1:2" x14ac:dyDescent="0.35">
      <c r="A145" s="28" t="s">
        <v>729</v>
      </c>
      <c r="B145" t="s">
        <v>737</v>
      </c>
    </row>
    <row r="146" spans="1:2" x14ac:dyDescent="0.35">
      <c r="A146" s="28" t="s">
        <v>731</v>
      </c>
      <c r="B146" t="s">
        <v>738</v>
      </c>
    </row>
    <row r="147" spans="1:2" x14ac:dyDescent="0.35">
      <c r="A147" s="28" t="s">
        <v>732</v>
      </c>
      <c r="B147" t="s">
        <v>739</v>
      </c>
    </row>
    <row r="148" spans="1:2" x14ac:dyDescent="0.35">
      <c r="A148" s="28" t="s">
        <v>733</v>
      </c>
      <c r="B148" t="s">
        <v>740</v>
      </c>
    </row>
    <row r="149" spans="1:2" x14ac:dyDescent="0.35">
      <c r="A149" s="28" t="s">
        <v>734</v>
      </c>
      <c r="B149" t="s">
        <v>741</v>
      </c>
    </row>
    <row r="150" spans="1:2" x14ac:dyDescent="0.35">
      <c r="A150" s="28" t="s">
        <v>735</v>
      </c>
      <c r="B150" t="s">
        <v>742</v>
      </c>
    </row>
    <row r="151" spans="1:2" x14ac:dyDescent="0.35">
      <c r="A151" s="28" t="s">
        <v>708</v>
      </c>
      <c r="B151" t="s">
        <v>713</v>
      </c>
    </row>
    <row r="152" spans="1:2" x14ac:dyDescent="0.35">
      <c r="A152" s="28" t="s">
        <v>709</v>
      </c>
      <c r="B152" t="s">
        <v>714</v>
      </c>
    </row>
    <row r="153" spans="1:2" x14ac:dyDescent="0.35">
      <c r="A153" s="28" t="s">
        <v>710</v>
      </c>
      <c r="B153" t="s">
        <v>715</v>
      </c>
    </row>
    <row r="154" spans="1:2" x14ac:dyDescent="0.35">
      <c r="A154" s="28" t="s">
        <v>711</v>
      </c>
      <c r="B154" t="s">
        <v>716</v>
      </c>
    </row>
    <row r="155" spans="1:2" x14ac:dyDescent="0.35">
      <c r="A155" s="28" t="s">
        <v>712</v>
      </c>
      <c r="B155" t="s">
        <v>717</v>
      </c>
    </row>
    <row r="156" spans="1:2" x14ac:dyDescent="0.35">
      <c r="A156" s="28" t="s">
        <v>718</v>
      </c>
      <c r="B156" t="s">
        <v>721</v>
      </c>
    </row>
    <row r="157" spans="1:2" x14ac:dyDescent="0.35">
      <c r="A157" s="28" t="s">
        <v>719</v>
      </c>
      <c r="B157" t="s">
        <v>720</v>
      </c>
    </row>
    <row r="158" spans="1:2" x14ac:dyDescent="0.35">
      <c r="A158" s="20" t="s">
        <v>748</v>
      </c>
    </row>
    <row r="159" spans="1:2" x14ac:dyDescent="0.35">
      <c r="A159" s="28" t="s">
        <v>27</v>
      </c>
      <c r="B159" t="s">
        <v>68</v>
      </c>
    </row>
    <row r="160" spans="1:2" x14ac:dyDescent="0.35">
      <c r="A160" s="28" t="s">
        <v>69</v>
      </c>
      <c r="B160" t="s">
        <v>84</v>
      </c>
    </row>
    <row r="161" spans="1:2" x14ac:dyDescent="0.35">
      <c r="A161" s="28" t="s">
        <v>70</v>
      </c>
      <c r="B161" t="s">
        <v>71</v>
      </c>
    </row>
    <row r="162" spans="1:2" x14ac:dyDescent="0.35">
      <c r="A162" s="28" t="s">
        <v>28</v>
      </c>
      <c r="B162" t="s">
        <v>72</v>
      </c>
    </row>
    <row r="163" spans="1:2" x14ac:dyDescent="0.35">
      <c r="A163" s="9" t="s">
        <v>74</v>
      </c>
      <c r="B163" t="s">
        <v>73</v>
      </c>
    </row>
    <row r="164" spans="1:2" x14ac:dyDescent="0.35">
      <c r="A164" s="9" t="s">
        <v>77</v>
      </c>
      <c r="B164" t="s">
        <v>83</v>
      </c>
    </row>
    <row r="165" spans="1:2" x14ac:dyDescent="0.35">
      <c r="A165" s="9" t="s">
        <v>76</v>
      </c>
      <c r="B165" t="s">
        <v>75</v>
      </c>
    </row>
    <row r="166" spans="1:2" x14ac:dyDescent="0.35">
      <c r="A166" s="9" t="s">
        <v>78</v>
      </c>
      <c r="B166" t="s">
        <v>79</v>
      </c>
    </row>
    <row r="167" spans="1:2" x14ac:dyDescent="0.35">
      <c r="A167" s="9" t="s">
        <v>81</v>
      </c>
      <c r="B167" t="s">
        <v>80</v>
      </c>
    </row>
    <row r="168" spans="1:2" x14ac:dyDescent="0.35">
      <c r="A168" s="9" t="s">
        <v>29</v>
      </c>
      <c r="B168" t="s">
        <v>82</v>
      </c>
    </row>
    <row r="169" spans="1:2" x14ac:dyDescent="0.35">
      <c r="A169" s="20" t="s">
        <v>67</v>
      </c>
    </row>
    <row r="170" spans="1:2" x14ac:dyDescent="0.35">
      <c r="A170" s="22" t="s">
        <v>85</v>
      </c>
    </row>
    <row r="171" spans="1:2" x14ac:dyDescent="0.35">
      <c r="A171" s="28" t="s">
        <v>88</v>
      </c>
      <c r="B171" t="s">
        <v>610</v>
      </c>
    </row>
    <row r="172" spans="1:2" x14ac:dyDescent="0.35">
      <c r="A172" s="28" t="s">
        <v>604</v>
      </c>
      <c r="B172" t="s">
        <v>607</v>
      </c>
    </row>
    <row r="173" spans="1:2" x14ac:dyDescent="0.35">
      <c r="A173" s="28" t="s">
        <v>605</v>
      </c>
      <c r="B173" t="s">
        <v>606</v>
      </c>
    </row>
    <row r="174" spans="1:2" x14ac:dyDescent="0.35">
      <c r="A174" s="28" t="s">
        <v>608</v>
      </c>
      <c r="B174" t="s">
        <v>611</v>
      </c>
    </row>
    <row r="175" spans="1:2" x14ac:dyDescent="0.35">
      <c r="A175" s="28" t="s">
        <v>609</v>
      </c>
      <c r="B175" t="s">
        <v>612</v>
      </c>
    </row>
    <row r="176" spans="1:2" x14ac:dyDescent="0.35">
      <c r="A176" s="28" t="s">
        <v>631</v>
      </c>
      <c r="B176" t="s">
        <v>632</v>
      </c>
    </row>
    <row r="177" spans="1:2" x14ac:dyDescent="0.35">
      <c r="A177" s="28" t="s">
        <v>634</v>
      </c>
      <c r="B177" t="s">
        <v>639</v>
      </c>
    </row>
    <row r="178" spans="1:2" x14ac:dyDescent="0.35">
      <c r="A178" s="28" t="s">
        <v>633</v>
      </c>
      <c r="B178" t="s">
        <v>646</v>
      </c>
    </row>
    <row r="179" spans="1:2" x14ac:dyDescent="0.35">
      <c r="A179" s="28" t="s">
        <v>640</v>
      </c>
      <c r="B179" t="s">
        <v>647</v>
      </c>
    </row>
    <row r="180" spans="1:2" x14ac:dyDescent="0.35">
      <c r="A180" s="28" t="s">
        <v>645</v>
      </c>
      <c r="B180" t="s">
        <v>655</v>
      </c>
    </row>
    <row r="181" spans="1:2" x14ac:dyDescent="0.35">
      <c r="A181" s="28" t="s">
        <v>662</v>
      </c>
      <c r="B181" t="s">
        <v>663</v>
      </c>
    </row>
    <row r="182" spans="1:2" x14ac:dyDescent="0.35">
      <c r="A182" s="28" t="s">
        <v>670</v>
      </c>
      <c r="B182" t="s">
        <v>675</v>
      </c>
    </row>
    <row r="183" spans="1:2" x14ac:dyDescent="0.35">
      <c r="A183" s="28" t="s">
        <v>671</v>
      </c>
      <c r="B183" t="s">
        <v>682</v>
      </c>
    </row>
    <row r="184" spans="1:2" x14ac:dyDescent="0.35">
      <c r="A184" s="28" t="s">
        <v>688</v>
      </c>
      <c r="B184" t="s">
        <v>689</v>
      </c>
    </row>
    <row r="185" spans="1:2" x14ac:dyDescent="0.35">
      <c r="A185" s="28" t="s">
        <v>685</v>
      </c>
      <c r="B185" t="s">
        <v>690</v>
      </c>
    </row>
    <row r="186" spans="1:2" x14ac:dyDescent="0.35">
      <c r="A186" s="28" t="s">
        <v>691</v>
      </c>
      <c r="B186" t="s">
        <v>702</v>
      </c>
    </row>
    <row r="187" spans="1:2" x14ac:dyDescent="0.35">
      <c r="A187" s="28" t="s">
        <v>696</v>
      </c>
      <c r="B187" t="s">
        <v>703</v>
      </c>
    </row>
    <row r="188" spans="1:2" x14ac:dyDescent="0.35">
      <c r="A188" s="28" t="s">
        <v>693</v>
      </c>
      <c r="B188" t="s">
        <v>704</v>
      </c>
    </row>
    <row r="189" spans="1:2" x14ac:dyDescent="0.35">
      <c r="A189" s="28" t="s">
        <v>694</v>
      </c>
      <c r="B189" t="s">
        <v>705</v>
      </c>
    </row>
    <row r="190" spans="1:2" x14ac:dyDescent="0.35">
      <c r="A190" s="28" t="s">
        <v>695</v>
      </c>
      <c r="B190" t="s">
        <v>706</v>
      </c>
    </row>
    <row r="191" spans="1:2" x14ac:dyDescent="0.35">
      <c r="A191" s="28" t="s">
        <v>743</v>
      </c>
      <c r="B191" t="s">
        <v>745</v>
      </c>
    </row>
    <row r="192" spans="1:2" x14ac:dyDescent="0.35">
      <c r="A192" s="28" t="s">
        <v>730</v>
      </c>
      <c r="B192" t="s">
        <v>746</v>
      </c>
    </row>
    <row r="193" spans="1:2" x14ac:dyDescent="0.35">
      <c r="A193" s="28" t="s">
        <v>744</v>
      </c>
      <c r="B193" t="s">
        <v>747</v>
      </c>
    </row>
    <row r="194" spans="1:2" x14ac:dyDescent="0.35">
      <c r="A194" s="28" t="s">
        <v>722</v>
      </c>
      <c r="B194" t="s">
        <v>725</v>
      </c>
    </row>
    <row r="195" spans="1:2" x14ac:dyDescent="0.35">
      <c r="A195" s="28" t="s">
        <v>723</v>
      </c>
      <c r="B195" t="s">
        <v>726</v>
      </c>
    </row>
    <row r="196" spans="1:2" x14ac:dyDescent="0.35">
      <c r="A196" s="28" t="s">
        <v>724</v>
      </c>
      <c r="B196" t="s">
        <v>727</v>
      </c>
    </row>
    <row r="198" spans="1:2" x14ac:dyDescent="0.35">
      <c r="A198" s="9"/>
    </row>
    <row r="199" spans="1:2" x14ac:dyDescent="0.35">
      <c r="A199" s="9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C8A1-40EA-4B2B-861C-78B959EAE1E7}">
  <dimension ref="A1:NL289"/>
  <sheetViews>
    <sheetView topLeftCell="CA1" workbookViewId="0">
      <pane ySplit="1" topLeftCell="A2" activePane="bottomLeft" state="frozen"/>
      <selection pane="bottomLeft" activeCell="CI1" sqref="CI1:CI1048576"/>
    </sheetView>
  </sheetViews>
  <sheetFormatPr defaultRowHeight="14.5" x14ac:dyDescent="0.35"/>
  <cols>
    <col min="1" max="1" width="11.26953125" style="1" customWidth="1"/>
    <col min="2" max="2" width="26.7265625" style="1" bestFit="1" customWidth="1"/>
    <col min="3" max="3" width="36.7265625" style="1" bestFit="1" customWidth="1"/>
    <col min="4" max="4" width="15.6328125" style="1" customWidth="1"/>
    <col min="5" max="5" width="17.36328125" style="1" bestFit="1" customWidth="1"/>
    <col min="6" max="6" width="20" style="1" bestFit="1" customWidth="1"/>
    <col min="7" max="9" width="8.7265625" style="1"/>
    <col min="10" max="10" width="13.7265625" style="1" bestFit="1" customWidth="1"/>
    <col min="11" max="16" width="8.7265625" style="1"/>
    <col min="17" max="25" width="10" style="1" bestFit="1" customWidth="1"/>
    <col min="26" max="34" width="13.1796875" style="1" bestFit="1" customWidth="1"/>
    <col min="35" max="35" width="16.1796875" style="1" bestFit="1" customWidth="1"/>
    <col min="36" max="37" width="13.1796875" style="1" customWidth="1"/>
    <col min="38" max="43" width="19.1796875" style="1" bestFit="1" customWidth="1"/>
    <col min="44" max="45" width="12.453125" style="1" bestFit="1" customWidth="1"/>
    <col min="46" max="46" width="12" style="1" bestFit="1" customWidth="1"/>
    <col min="47" max="47" width="12.453125" style="1" bestFit="1" customWidth="1"/>
    <col min="48" max="48" width="12" style="1" bestFit="1" customWidth="1"/>
    <col min="49" max="49" width="12.453125" style="1" bestFit="1" customWidth="1"/>
    <col min="50" max="50" width="16.1796875" style="1" bestFit="1" customWidth="1"/>
    <col min="51" max="55" width="15.7265625" style="1" bestFit="1" customWidth="1"/>
    <col min="56" max="56" width="24.81640625" style="1" bestFit="1" customWidth="1"/>
    <col min="57" max="61" width="20.26953125" style="1" bestFit="1" customWidth="1"/>
    <col min="62" max="63" width="15.90625" style="1" bestFit="1" customWidth="1"/>
    <col min="64" max="65" width="20.26953125" style="1" bestFit="1" customWidth="1"/>
    <col min="66" max="67" width="19" style="1" bestFit="1" customWidth="1"/>
    <col min="68" max="72" width="19" style="1" customWidth="1"/>
    <col min="73" max="73" width="11.453125" style="1" bestFit="1" customWidth="1"/>
    <col min="74" max="76" width="12.7265625" style="1" bestFit="1" customWidth="1"/>
    <col min="77" max="77" width="13.08984375" style="1" bestFit="1" customWidth="1"/>
    <col min="78" max="86" width="8.7265625" style="1"/>
    <col min="87" max="89" width="11.54296875" bestFit="1" customWidth="1"/>
    <col min="90" max="93" width="9.08984375" bestFit="1" customWidth="1"/>
    <col min="94" max="94" width="11.1796875" bestFit="1" customWidth="1"/>
    <col min="95" max="95" width="14.81640625" bestFit="1" customWidth="1"/>
    <col min="96" max="96" width="10.453125" bestFit="1" customWidth="1"/>
    <col min="97" max="97" width="12" bestFit="1" customWidth="1"/>
    <col min="98" max="98" width="14.1796875" bestFit="1" customWidth="1"/>
    <col min="99" max="99" width="12.6328125" bestFit="1" customWidth="1"/>
    <col min="100" max="103" width="12.1796875" bestFit="1" customWidth="1"/>
    <col min="104" max="110" width="12.1796875" customWidth="1"/>
    <col min="111" max="117" width="9.08984375" customWidth="1"/>
    <col min="118" max="118" width="11.7265625" bestFit="1" customWidth="1"/>
    <col min="119" max="119" width="11.7265625" style="1" bestFit="1" customWidth="1"/>
    <col min="120" max="121" width="7.36328125" style="1" bestFit="1" customWidth="1"/>
    <col min="122" max="123" width="10.1796875" style="1" bestFit="1" customWidth="1"/>
    <col min="124" max="124" width="7.36328125" style="1" customWidth="1"/>
    <col min="125" max="127" width="7.54296875" style="27" bestFit="1" customWidth="1"/>
    <col min="128" max="130" width="7.36328125" style="27" customWidth="1"/>
    <col min="131" max="132" width="8.81640625" style="27" bestFit="1" customWidth="1"/>
    <col min="133" max="136" width="7.36328125" style="27" customWidth="1"/>
    <col min="137" max="137" width="9.26953125" style="27" bestFit="1" customWidth="1"/>
    <col min="138" max="139" width="10.6328125" style="27" bestFit="1" customWidth="1"/>
    <col min="140" max="142" width="9.26953125" style="27" customWidth="1"/>
    <col min="143" max="144" width="9.7265625" style="27" bestFit="1" customWidth="1"/>
    <col min="145" max="147" width="7.54296875" style="27" bestFit="1" customWidth="1"/>
    <col min="148" max="153" width="7.36328125" style="27" customWidth="1"/>
    <col min="154" max="154" width="14.453125" style="27" bestFit="1" customWidth="1"/>
    <col min="155" max="155" width="7.36328125" style="27" customWidth="1"/>
    <col min="156" max="156" width="16.54296875" style="28" customWidth="1"/>
    <col min="157" max="157" width="7.36328125" style="27" customWidth="1"/>
    <col min="158" max="158" width="28.1796875" style="27" bestFit="1" customWidth="1"/>
    <col min="159" max="159" width="10.6328125" style="27" bestFit="1" customWidth="1"/>
    <col min="160" max="160" width="9.08984375" customWidth="1"/>
    <col min="161" max="161" width="4.7265625" style="1" bestFit="1" customWidth="1"/>
    <col min="162" max="162" width="9.453125" style="1" bestFit="1" customWidth="1"/>
    <col min="163" max="163" width="11.26953125" style="1" bestFit="1" customWidth="1"/>
    <col min="164" max="164" width="10.08984375" style="1" bestFit="1" customWidth="1"/>
    <col min="165" max="165" width="9.6328125" style="1" bestFit="1" customWidth="1"/>
    <col min="166" max="166" width="14.81640625" style="1" bestFit="1" customWidth="1"/>
    <col min="167" max="167" width="8.08984375" style="1" bestFit="1" customWidth="1"/>
    <col min="168" max="168" width="7.6328125" style="1" bestFit="1" customWidth="1"/>
    <col min="169" max="169" width="10.7265625" style="1" bestFit="1" customWidth="1"/>
    <col min="170" max="170" width="6.36328125" style="1" bestFit="1" customWidth="1"/>
    <col min="171" max="171" width="13.6328125" style="27" bestFit="1" customWidth="1"/>
    <col min="172" max="172" width="6.54296875" style="27" bestFit="1" customWidth="1"/>
    <col min="173" max="173" width="5.453125" style="27" customWidth="1"/>
    <col min="174" max="174" width="11.7265625" style="27" bestFit="1" customWidth="1"/>
    <col min="175" max="175" width="11.453125" style="27" bestFit="1" customWidth="1"/>
    <col min="176" max="176" width="7" style="27" bestFit="1" customWidth="1"/>
    <col min="177" max="177" width="9.6328125" style="27" bestFit="1" customWidth="1"/>
    <col min="178" max="178" width="7.7265625" style="27" bestFit="1" customWidth="1"/>
    <col min="179" max="179" width="8.08984375" style="27" bestFit="1" customWidth="1"/>
    <col min="180" max="180" width="8.81640625" style="27" bestFit="1" customWidth="1"/>
    <col min="181" max="181" width="9.6328125" style="27" bestFit="1" customWidth="1"/>
    <col min="182" max="182" width="8.81640625" style="27" customWidth="1"/>
    <col min="183" max="183" width="8.7265625" style="27" bestFit="1" customWidth="1"/>
    <col min="184" max="187" width="6.36328125" style="27" customWidth="1"/>
    <col min="188" max="188" width="14.54296875" style="1" bestFit="1" customWidth="1"/>
    <col min="189" max="193" width="8.7265625" style="1"/>
    <col min="194" max="194" width="39.6328125" style="1" bestFit="1" customWidth="1"/>
    <col min="195" max="195" width="14.1796875" style="1" bestFit="1" customWidth="1"/>
    <col min="196" max="196" width="8.7265625" style="1"/>
    <col min="197" max="197" width="18.90625" style="1" bestFit="1" customWidth="1"/>
    <col min="198" max="198" width="51.1796875" style="1" bestFit="1" customWidth="1"/>
    <col min="199" max="199" width="18.54296875" style="1" bestFit="1" customWidth="1"/>
    <col min="200" max="200" width="29.54296875" style="1" bestFit="1" customWidth="1"/>
    <col min="201" max="201" width="31.453125" style="1" bestFit="1" customWidth="1"/>
    <col min="202" max="202" width="30.1796875" style="1" bestFit="1" customWidth="1"/>
    <col min="203" max="203" width="26.7265625" style="1" bestFit="1" customWidth="1"/>
    <col min="204" max="205" width="8.7265625" style="1"/>
    <col min="206" max="206" width="9.6328125" style="1" bestFit="1" customWidth="1"/>
    <col min="207" max="207" width="7.54296875" style="1" bestFit="1" customWidth="1"/>
    <col min="208" max="208" width="10.26953125" style="1" bestFit="1" customWidth="1"/>
    <col min="209" max="209" width="14.1796875" style="1" bestFit="1" customWidth="1"/>
    <col min="210" max="210" width="28.6328125" style="1" bestFit="1" customWidth="1"/>
    <col min="211" max="211" width="19.6328125" style="1" bestFit="1" customWidth="1"/>
    <col min="212" max="212" width="33.6328125" style="1" bestFit="1" customWidth="1"/>
    <col min="213" max="213" width="15.7265625" style="1" bestFit="1" customWidth="1"/>
    <col min="214" max="214" width="25.54296875" style="1" bestFit="1" customWidth="1"/>
    <col min="215" max="215" width="17.26953125" style="1" bestFit="1" customWidth="1"/>
    <col min="216" max="216" width="25.6328125" style="1" customWidth="1"/>
    <col min="217" max="217" width="13.453125" style="1" bestFit="1" customWidth="1"/>
    <col min="218" max="218" width="25.6328125" style="1" bestFit="1" customWidth="1"/>
    <col min="219" max="219" width="14.6328125" style="1" bestFit="1" customWidth="1"/>
    <col min="220" max="220" width="28.6328125" style="1" bestFit="1" customWidth="1"/>
    <col min="221" max="221" width="20.08984375" style="1" bestFit="1" customWidth="1"/>
    <col min="222" max="222" width="34.08984375" style="1" bestFit="1" customWidth="1"/>
    <col min="223" max="223" width="16.1796875" style="1" bestFit="1" customWidth="1"/>
    <col min="224" max="224" width="25.54296875" style="1" bestFit="1" customWidth="1"/>
    <col min="225" max="225" width="17.7265625" style="1" bestFit="1" customWidth="1"/>
    <col min="226" max="226" width="25.6328125" style="1" customWidth="1"/>
    <col min="227" max="227" width="13.90625" style="1" bestFit="1" customWidth="1"/>
    <col min="228" max="228" width="26.08984375" style="1" bestFit="1" customWidth="1"/>
    <col min="229" max="229" width="14.54296875" style="1" bestFit="1" customWidth="1"/>
    <col min="230" max="230" width="18.1796875" style="1" bestFit="1" customWidth="1"/>
    <col min="231" max="231" width="13.36328125" style="1" bestFit="1" customWidth="1"/>
    <col min="232" max="232" width="10.90625" style="1" bestFit="1" customWidth="1"/>
    <col min="233" max="233" width="8.7265625" style="1"/>
    <col min="234" max="234" width="13.1796875" style="1" bestFit="1" customWidth="1"/>
    <col min="235" max="235" width="20.453125" style="1" bestFit="1" customWidth="1"/>
    <col min="236" max="242" width="18.08984375" style="1" customWidth="1"/>
    <col min="243" max="243" width="16.36328125" style="1" bestFit="1" customWidth="1"/>
    <col min="244" max="244" width="28.81640625" style="1" bestFit="1" customWidth="1"/>
    <col min="245" max="245" width="41.90625" style="1" bestFit="1" customWidth="1"/>
    <col min="246" max="246" width="19.08984375" style="1" bestFit="1" customWidth="1"/>
    <col min="247" max="247" width="18" style="1" bestFit="1" customWidth="1"/>
    <col min="248" max="248" width="21.6328125" style="1" bestFit="1" customWidth="1"/>
    <col min="249" max="249" width="11.90625" style="1" bestFit="1" customWidth="1"/>
    <col min="250" max="250" width="11.453125" style="1" bestFit="1" customWidth="1"/>
    <col min="251" max="251" width="13.36328125" style="1" bestFit="1" customWidth="1"/>
    <col min="252" max="252" width="9.26953125" style="1" bestFit="1" customWidth="1"/>
    <col min="253" max="253" width="11.7265625" style="1" bestFit="1" customWidth="1"/>
    <col min="254" max="254" width="11" style="1" bestFit="1" customWidth="1"/>
    <col min="255" max="255" width="12.1796875" style="1" bestFit="1" customWidth="1"/>
    <col min="256" max="256" width="12" style="1" bestFit="1" customWidth="1"/>
    <col min="257" max="257" width="16.453125" style="1" bestFit="1" customWidth="1"/>
    <col min="258" max="258" width="13.08984375" style="1" bestFit="1" customWidth="1"/>
    <col min="259" max="259" width="7.7265625" style="1" bestFit="1" customWidth="1"/>
    <col min="260" max="260" width="9.54296875" style="1" bestFit="1" customWidth="1"/>
    <col min="261" max="261" width="8.26953125" style="1" customWidth="1"/>
    <col min="262" max="262" width="10.81640625" style="1" customWidth="1"/>
    <col min="263" max="263" width="7.90625" style="1" customWidth="1"/>
    <col min="264" max="264" width="9.54296875" style="1" bestFit="1" customWidth="1"/>
    <col min="265" max="265" width="7.54296875" style="1" bestFit="1" customWidth="1"/>
    <col min="266" max="266" width="23.453125" style="1" bestFit="1" customWidth="1"/>
    <col min="267" max="267" width="19.08984375" style="1" bestFit="1" customWidth="1"/>
    <col min="268" max="268" width="19.81640625" style="4" bestFit="1" customWidth="1"/>
    <col min="269" max="269" width="10.6328125" style="1" bestFit="1" customWidth="1"/>
    <col min="270" max="270" width="11" style="1" bestFit="1" customWidth="1"/>
    <col min="271" max="271" width="7.26953125" style="1" bestFit="1" customWidth="1"/>
    <col min="272" max="272" width="22.7265625" style="1" bestFit="1" customWidth="1"/>
    <col min="273" max="273" width="32.7265625" style="1" bestFit="1" customWidth="1"/>
    <col min="274" max="274" width="7.90625" style="1" bestFit="1" customWidth="1"/>
    <col min="275" max="275" width="16.26953125" style="1" bestFit="1" customWidth="1"/>
    <col min="276" max="276" width="6.7265625" style="1" bestFit="1" customWidth="1"/>
    <col min="277" max="277" width="9.1796875" style="1" bestFit="1" customWidth="1"/>
    <col min="278" max="278" width="7.7265625" style="1" bestFit="1" customWidth="1"/>
    <col min="279" max="279" width="23.6328125" style="1" bestFit="1" customWidth="1"/>
    <col min="280" max="280" width="19.36328125" style="1" bestFit="1" customWidth="1"/>
    <col min="281" max="281" width="8.54296875" style="1" bestFit="1" customWidth="1"/>
    <col min="282" max="282" width="10.1796875" style="4" bestFit="1" customWidth="1"/>
    <col min="283" max="283" width="16.54296875" style="1" bestFit="1" customWidth="1"/>
    <col min="284" max="284" width="12.6328125" style="1" bestFit="1" customWidth="1"/>
    <col min="285" max="285" width="18.6328125" style="1" bestFit="1" customWidth="1"/>
    <col min="286" max="286" width="27.08984375" style="1" bestFit="1" customWidth="1"/>
    <col min="287" max="287" width="5.453125" style="1" bestFit="1" customWidth="1"/>
    <col min="288" max="288" width="8.7265625" style="1"/>
    <col min="289" max="289" width="7.81640625" style="1" bestFit="1" customWidth="1"/>
    <col min="290" max="290" width="10.81640625" style="1" bestFit="1" customWidth="1"/>
    <col min="291" max="291" width="8.81640625" style="1" bestFit="1" customWidth="1"/>
    <col min="292" max="292" width="9.54296875" style="1" bestFit="1" customWidth="1"/>
    <col min="293" max="293" width="11.26953125" style="1" bestFit="1" customWidth="1"/>
    <col min="294" max="294" width="16.26953125" style="1" bestFit="1" customWidth="1"/>
    <col min="295" max="295" width="18.6328125" style="1" bestFit="1" customWidth="1"/>
    <col min="296" max="296" width="18.36328125" style="1" bestFit="1" customWidth="1"/>
    <col min="297" max="297" width="18.54296875" style="1" bestFit="1" customWidth="1"/>
    <col min="298" max="298" width="6" style="1" bestFit="1" customWidth="1"/>
    <col min="299" max="299" width="9" style="1" bestFit="1" customWidth="1"/>
    <col min="300" max="300" width="10.26953125" style="1" bestFit="1" customWidth="1"/>
    <col min="301" max="301" width="10.90625" style="1" bestFit="1" customWidth="1"/>
    <col min="302" max="302" width="6.6328125" style="1" bestFit="1" customWidth="1"/>
    <col min="303" max="303" width="9.6328125" style="1" bestFit="1" customWidth="1"/>
    <col min="304" max="304" width="10.90625" style="1" bestFit="1" customWidth="1"/>
    <col min="305" max="305" width="13.90625" style="1" bestFit="1" customWidth="1"/>
    <col min="306" max="306" width="8.90625" style="1" bestFit="1" customWidth="1"/>
    <col min="307" max="307" width="6.6328125" style="1" bestFit="1" customWidth="1"/>
    <col min="308" max="308" width="7.08984375" style="1" bestFit="1" customWidth="1"/>
    <col min="309" max="309" width="19.90625" style="1" bestFit="1" customWidth="1"/>
    <col min="310" max="310" width="7.08984375" style="1" bestFit="1" customWidth="1"/>
    <col min="311" max="311" width="10.81640625" style="1" bestFit="1" customWidth="1"/>
    <col min="312" max="312" width="7.54296875" style="1" bestFit="1" customWidth="1"/>
    <col min="313" max="313" width="10.1796875" style="1" bestFit="1" customWidth="1"/>
    <col min="314" max="314" width="12.1796875" style="1" bestFit="1" customWidth="1"/>
    <col min="315" max="315" width="6.54296875" style="1" bestFit="1" customWidth="1"/>
    <col min="316" max="316" width="9.81640625" style="1" bestFit="1" customWidth="1"/>
    <col min="317" max="317" width="8.90625" style="1" bestFit="1" customWidth="1"/>
    <col min="318" max="318" width="11.90625" style="1" bestFit="1" customWidth="1"/>
    <col min="319" max="319" width="9.90625" style="1" bestFit="1" customWidth="1"/>
    <col min="320" max="320" width="10.6328125" style="1" bestFit="1" customWidth="1"/>
    <col min="321" max="321" width="12.36328125" style="1" bestFit="1" customWidth="1"/>
    <col min="322" max="322" width="17.453125" style="1" bestFit="1" customWidth="1"/>
    <col min="323" max="323" width="19.7265625" style="1" bestFit="1" customWidth="1"/>
    <col min="324" max="324" width="19.453125" style="1" bestFit="1" customWidth="1"/>
    <col min="325" max="325" width="19.6328125" style="1" bestFit="1" customWidth="1"/>
    <col min="326" max="326" width="7.08984375" style="1" bestFit="1" customWidth="1"/>
    <col min="327" max="327" width="10.08984375" style="1" bestFit="1" customWidth="1"/>
    <col min="328" max="328" width="11.36328125" style="1" bestFit="1" customWidth="1"/>
    <col min="329" max="329" width="12" style="1" bestFit="1" customWidth="1"/>
    <col min="330" max="330" width="7.7265625" style="1" bestFit="1" customWidth="1"/>
    <col min="331" max="331" width="10.7265625" style="1" bestFit="1" customWidth="1"/>
    <col min="332" max="332" width="12" style="1" bestFit="1" customWidth="1"/>
    <col min="333" max="333" width="15" style="1" bestFit="1" customWidth="1"/>
    <col min="334" max="334" width="10" style="1" bestFit="1" customWidth="1"/>
    <col min="335" max="335" width="7.7265625" style="1" bestFit="1" customWidth="1"/>
    <col min="336" max="336" width="8.1796875" style="1" bestFit="1" customWidth="1"/>
    <col min="337" max="337" width="21.08984375" style="1" bestFit="1" customWidth="1"/>
    <col min="338" max="338" width="8.1796875" style="1" bestFit="1" customWidth="1"/>
    <col min="339" max="339" width="11.90625" style="1" bestFit="1" customWidth="1"/>
    <col min="340" max="340" width="8.6328125" style="1" bestFit="1" customWidth="1"/>
    <col min="341" max="341" width="11.26953125" style="1" bestFit="1" customWidth="1"/>
    <col min="342" max="342" width="13.36328125" style="1" bestFit="1" customWidth="1"/>
    <col min="343" max="343" width="18.6328125" style="1" customWidth="1"/>
    <col min="344" max="345" width="18.26953125" style="1" bestFit="1" customWidth="1"/>
  </cols>
  <sheetData>
    <row r="1" spans="1:376" s="24" customFormat="1" x14ac:dyDescent="0.35">
      <c r="A1" s="25" t="s">
        <v>0</v>
      </c>
      <c r="B1" s="25" t="s">
        <v>161</v>
      </c>
      <c r="C1" s="25" t="s">
        <v>162</v>
      </c>
      <c r="D1" s="25" t="s">
        <v>451</v>
      </c>
      <c r="E1" s="25" t="s">
        <v>528</v>
      </c>
      <c r="F1" s="25" t="s">
        <v>529</v>
      </c>
      <c r="G1" s="25" t="s">
        <v>533</v>
      </c>
      <c r="H1" s="25" t="s">
        <v>34</v>
      </c>
      <c r="I1" s="25" t="s">
        <v>36</v>
      </c>
      <c r="J1" s="25" t="s">
        <v>30</v>
      </c>
      <c r="K1" s="25" t="s">
        <v>1</v>
      </c>
      <c r="L1" s="25" t="s">
        <v>2</v>
      </c>
      <c r="M1" s="25" t="s">
        <v>3</v>
      </c>
      <c r="N1" s="25" t="s">
        <v>4</v>
      </c>
      <c r="O1" s="25" t="s">
        <v>5</v>
      </c>
      <c r="P1" s="25" t="s">
        <v>6</v>
      </c>
      <c r="Q1" s="25" t="s">
        <v>7</v>
      </c>
      <c r="R1" s="25" t="s">
        <v>8</v>
      </c>
      <c r="S1" s="25" t="s">
        <v>9</v>
      </c>
      <c r="T1" s="25" t="s">
        <v>10</v>
      </c>
      <c r="U1" s="25" t="s">
        <v>11</v>
      </c>
      <c r="V1" s="25" t="s">
        <v>12</v>
      </c>
      <c r="W1" s="25" t="s">
        <v>13</v>
      </c>
      <c r="X1" s="25" t="s">
        <v>14</v>
      </c>
      <c r="Y1" s="25" t="s">
        <v>15</v>
      </c>
      <c r="Z1" s="25" t="s">
        <v>16</v>
      </c>
      <c r="AA1" s="25" t="s">
        <v>17</v>
      </c>
      <c r="AB1" s="25" t="s">
        <v>18</v>
      </c>
      <c r="AC1" s="25" t="s">
        <v>19</v>
      </c>
      <c r="AD1" s="25" t="s">
        <v>20</v>
      </c>
      <c r="AE1" s="25" t="s">
        <v>21</v>
      </c>
      <c r="AF1" s="25" t="s">
        <v>22</v>
      </c>
      <c r="AG1" s="25" t="s">
        <v>23</v>
      </c>
      <c r="AH1" s="25" t="s">
        <v>24</v>
      </c>
      <c r="AI1" s="25" t="s">
        <v>482</v>
      </c>
      <c r="AJ1" s="25" t="s">
        <v>483</v>
      </c>
      <c r="AK1" s="25" t="s">
        <v>484</v>
      </c>
      <c r="AL1" s="25" t="s">
        <v>452</v>
      </c>
      <c r="AM1" s="25" t="s">
        <v>453</v>
      </c>
      <c r="AN1" s="25" t="s">
        <v>454</v>
      </c>
      <c r="AO1" s="25" t="s">
        <v>455</v>
      </c>
      <c r="AP1" s="25" t="s">
        <v>456</v>
      </c>
      <c r="AQ1" s="25" t="s">
        <v>457</v>
      </c>
      <c r="AR1" s="25" t="s">
        <v>458</v>
      </c>
      <c r="AS1" s="25" t="s">
        <v>459</v>
      </c>
      <c r="AT1" s="25" t="s">
        <v>460</v>
      </c>
      <c r="AU1" s="25" t="s">
        <v>461</v>
      </c>
      <c r="AV1" s="25" t="s">
        <v>462</v>
      </c>
      <c r="AW1" s="25" t="s">
        <v>463</v>
      </c>
      <c r="AX1" s="24" t="s">
        <v>464</v>
      </c>
      <c r="AY1" s="24" t="s">
        <v>465</v>
      </c>
      <c r="AZ1" s="24" t="s">
        <v>466</v>
      </c>
      <c r="BA1" s="24" t="s">
        <v>467</v>
      </c>
      <c r="BB1" s="24" t="s">
        <v>468</v>
      </c>
      <c r="BC1" s="24" t="s">
        <v>469</v>
      </c>
      <c r="BD1" s="25" t="s">
        <v>470</v>
      </c>
      <c r="BE1" s="25" t="s">
        <v>471</v>
      </c>
      <c r="BF1" s="25" t="s">
        <v>472</v>
      </c>
      <c r="BG1" s="25" t="s">
        <v>473</v>
      </c>
      <c r="BH1" s="25" t="s">
        <v>474</v>
      </c>
      <c r="BI1" s="25" t="s">
        <v>475</v>
      </c>
      <c r="BJ1" s="25" t="s">
        <v>476</v>
      </c>
      <c r="BK1" s="25" t="s">
        <v>477</v>
      </c>
      <c r="BL1" s="25" t="s">
        <v>478</v>
      </c>
      <c r="BM1" s="25" t="s">
        <v>479</v>
      </c>
      <c r="BN1" s="25" t="s">
        <v>480</v>
      </c>
      <c r="BO1" s="25" t="s">
        <v>481</v>
      </c>
      <c r="BP1" s="25" t="s">
        <v>485</v>
      </c>
      <c r="BQ1" s="25" t="s">
        <v>486</v>
      </c>
      <c r="BR1" s="25" t="s">
        <v>487</v>
      </c>
      <c r="BS1" s="25" t="s">
        <v>524</v>
      </c>
      <c r="BT1" s="25" t="s">
        <v>525</v>
      </c>
      <c r="BU1" s="25" t="s">
        <v>547</v>
      </c>
      <c r="BV1" s="25" t="s">
        <v>534</v>
      </c>
      <c r="BW1" s="25" t="s">
        <v>535</v>
      </c>
      <c r="BX1" s="25" t="s">
        <v>536</v>
      </c>
      <c r="BY1" s="25" t="s">
        <v>537</v>
      </c>
      <c r="BZ1" s="25" t="s">
        <v>538</v>
      </c>
      <c r="CA1" s="25" t="s">
        <v>539</v>
      </c>
      <c r="CB1" s="25" t="s">
        <v>540</v>
      </c>
      <c r="CC1" s="25" t="s">
        <v>541</v>
      </c>
      <c r="CD1" s="25" t="s">
        <v>542</v>
      </c>
      <c r="CE1" s="25" t="s">
        <v>543</v>
      </c>
      <c r="CF1" s="25" t="s">
        <v>544</v>
      </c>
      <c r="CG1" s="25" t="s">
        <v>545</v>
      </c>
      <c r="CH1" s="25" t="s">
        <v>546</v>
      </c>
      <c r="CI1" s="30" t="s">
        <v>577</v>
      </c>
      <c r="CJ1" s="30" t="s">
        <v>578</v>
      </c>
      <c r="CK1" s="30" t="s">
        <v>579</v>
      </c>
      <c r="CL1" s="30" t="s">
        <v>580</v>
      </c>
      <c r="CM1" s="30" t="s">
        <v>581</v>
      </c>
      <c r="CN1" s="30" t="s">
        <v>582</v>
      </c>
      <c r="CO1" s="30" t="s">
        <v>583</v>
      </c>
      <c r="CP1" s="25" t="s">
        <v>584</v>
      </c>
      <c r="CQ1" s="25" t="s">
        <v>585</v>
      </c>
      <c r="CR1" s="25" t="s">
        <v>586</v>
      </c>
      <c r="CS1" s="25" t="s">
        <v>587</v>
      </c>
      <c r="CT1" s="25" t="s">
        <v>597</v>
      </c>
      <c r="CU1" s="24" t="s">
        <v>592</v>
      </c>
      <c r="CV1" s="24" t="s">
        <v>593</v>
      </c>
      <c r="CW1" s="24" t="s">
        <v>594</v>
      </c>
      <c r="CX1" s="24" t="s">
        <v>595</v>
      </c>
      <c r="CY1" s="24" t="s">
        <v>596</v>
      </c>
      <c r="CZ1" s="24" t="s">
        <v>613</v>
      </c>
      <c r="DA1" s="24" t="s">
        <v>614</v>
      </c>
      <c r="DB1" s="24" t="s">
        <v>615</v>
      </c>
      <c r="DC1" s="24" t="s">
        <v>616</v>
      </c>
      <c r="DD1" s="24" t="s">
        <v>617</v>
      </c>
      <c r="DE1" s="24" t="s">
        <v>630</v>
      </c>
      <c r="DF1" s="24" t="s">
        <v>620</v>
      </c>
      <c r="DG1" s="24" t="s">
        <v>621</v>
      </c>
      <c r="DH1" s="24" t="s">
        <v>622</v>
      </c>
      <c r="DI1" s="24" t="s">
        <v>623</v>
      </c>
      <c r="DJ1" s="24" t="s">
        <v>25</v>
      </c>
      <c r="DK1" s="24" t="s">
        <v>26</v>
      </c>
      <c r="DL1" s="24" t="s">
        <v>635</v>
      </c>
      <c r="DM1" s="24" t="s">
        <v>636</v>
      </c>
      <c r="DN1" s="24" t="s">
        <v>641</v>
      </c>
      <c r="DO1" s="24" t="s">
        <v>642</v>
      </c>
      <c r="DP1" s="24" t="s">
        <v>643</v>
      </c>
      <c r="DQ1" s="24" t="s">
        <v>644</v>
      </c>
      <c r="DR1" s="24" t="s">
        <v>656</v>
      </c>
      <c r="DS1" s="24" t="s">
        <v>657</v>
      </c>
      <c r="DT1" s="24" t="s">
        <v>658</v>
      </c>
      <c r="DU1" s="24" t="s">
        <v>664</v>
      </c>
      <c r="DV1" s="24" t="s">
        <v>665</v>
      </c>
      <c r="DW1" s="24" t="s">
        <v>666</v>
      </c>
      <c r="DX1" s="24" t="s">
        <v>672</v>
      </c>
      <c r="DY1" s="24" t="s">
        <v>673</v>
      </c>
      <c r="DZ1" s="24" t="s">
        <v>674</v>
      </c>
      <c r="EA1" s="24" t="s">
        <v>683</v>
      </c>
      <c r="EB1" s="24" t="s">
        <v>684</v>
      </c>
      <c r="EC1" s="24" t="s">
        <v>691</v>
      </c>
      <c r="ED1" s="24" t="s">
        <v>692</v>
      </c>
      <c r="EE1" s="24" t="s">
        <v>693</v>
      </c>
      <c r="EF1" s="24" t="s">
        <v>694</v>
      </c>
      <c r="EG1" s="24" t="s">
        <v>695</v>
      </c>
      <c r="EH1" s="24" t="s">
        <v>728</v>
      </c>
      <c r="EI1" s="24" t="s">
        <v>729</v>
      </c>
      <c r="EJ1" s="24" t="s">
        <v>731</v>
      </c>
      <c r="EK1" s="24" t="s">
        <v>732</v>
      </c>
      <c r="EL1" s="24" t="s">
        <v>733</v>
      </c>
      <c r="EM1" s="24" t="s">
        <v>734</v>
      </c>
      <c r="EN1" s="24" t="s">
        <v>735</v>
      </c>
      <c r="EO1" s="24" t="s">
        <v>708</v>
      </c>
      <c r="EP1" s="24" t="s">
        <v>709</v>
      </c>
      <c r="EQ1" s="24" t="s">
        <v>710</v>
      </c>
      <c r="ER1" s="24" t="s">
        <v>711</v>
      </c>
      <c r="ES1" s="24" t="s">
        <v>712</v>
      </c>
      <c r="ET1" s="24" t="s">
        <v>718</v>
      </c>
      <c r="EU1" s="24" t="s">
        <v>719</v>
      </c>
      <c r="EV1" s="24" t="s">
        <v>27</v>
      </c>
      <c r="EW1" s="24" t="s">
        <v>749</v>
      </c>
      <c r="EX1" s="24" t="s">
        <v>751</v>
      </c>
      <c r="EY1" s="24" t="s">
        <v>28</v>
      </c>
      <c r="EZ1" s="24" t="s">
        <v>754</v>
      </c>
      <c r="FA1" s="24" t="s">
        <v>750</v>
      </c>
      <c r="FB1" s="24" t="s">
        <v>78</v>
      </c>
      <c r="FC1" s="24" t="s">
        <v>81</v>
      </c>
      <c r="FD1" s="24" t="s">
        <v>29</v>
      </c>
      <c r="FE1" s="25" t="s">
        <v>88</v>
      </c>
      <c r="FF1" s="25" t="s">
        <v>604</v>
      </c>
      <c r="FG1" s="25" t="s">
        <v>605</v>
      </c>
      <c r="FH1" s="25" t="s">
        <v>608</v>
      </c>
      <c r="FI1" s="25" t="s">
        <v>609</v>
      </c>
      <c r="FJ1" s="25" t="s">
        <v>631</v>
      </c>
      <c r="FK1" s="25" t="s">
        <v>634</v>
      </c>
      <c r="FL1" s="25" t="s">
        <v>633</v>
      </c>
      <c r="FM1" s="25" t="s">
        <v>640</v>
      </c>
      <c r="FN1" s="25" t="s">
        <v>645</v>
      </c>
      <c r="FO1" s="25" t="s">
        <v>662</v>
      </c>
      <c r="FP1" s="25" t="s">
        <v>670</v>
      </c>
      <c r="FQ1" s="25" t="s">
        <v>671</v>
      </c>
      <c r="FR1" s="25" t="s">
        <v>688</v>
      </c>
      <c r="FS1" s="25" t="s">
        <v>685</v>
      </c>
      <c r="FT1" s="25" t="s">
        <v>691</v>
      </c>
      <c r="FU1" s="25" t="s">
        <v>696</v>
      </c>
      <c r="FV1" s="25" t="s">
        <v>693</v>
      </c>
      <c r="FW1" s="25" t="s">
        <v>694</v>
      </c>
      <c r="FX1" s="25" t="s">
        <v>707</v>
      </c>
      <c r="FY1" s="25" t="s">
        <v>743</v>
      </c>
      <c r="FZ1" s="25" t="s">
        <v>730</v>
      </c>
      <c r="GA1" s="31" t="s">
        <v>744</v>
      </c>
      <c r="GB1" s="25" t="s">
        <v>722</v>
      </c>
      <c r="GC1" s="25" t="s">
        <v>723</v>
      </c>
      <c r="GD1" s="25" t="s">
        <v>724</v>
      </c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  <c r="IX1" s="25"/>
      <c r="IY1" s="25"/>
      <c r="IZ1" s="25"/>
      <c r="JA1" s="25"/>
      <c r="JB1" s="25"/>
      <c r="JC1" s="25"/>
      <c r="JD1" s="25"/>
      <c r="JE1" s="25"/>
      <c r="JF1" s="25"/>
      <c r="JN1" s="25"/>
      <c r="JO1" s="25"/>
      <c r="JP1" s="25"/>
      <c r="JQ1" s="25"/>
      <c r="JR1" s="25"/>
      <c r="JS1" s="25"/>
      <c r="JT1" s="25"/>
      <c r="JU1" s="25"/>
      <c r="JV1" s="25"/>
      <c r="JW1" s="25"/>
      <c r="JX1" s="25"/>
      <c r="JY1" s="25"/>
      <c r="JZ1" s="25"/>
      <c r="KA1" s="25"/>
      <c r="KB1" s="25"/>
      <c r="KC1" s="25"/>
      <c r="KD1" s="25"/>
      <c r="KE1" s="25"/>
      <c r="KF1" s="25"/>
      <c r="KG1" s="25"/>
      <c r="KH1" s="25"/>
      <c r="KI1" s="25"/>
      <c r="KJ1" s="25"/>
      <c r="KM1" s="32"/>
      <c r="KO1" s="25"/>
      <c r="KT1" s="25"/>
      <c r="KU1" s="25"/>
      <c r="KV1" s="25"/>
      <c r="KW1" s="25"/>
      <c r="LA1" s="32"/>
      <c r="LF1" s="25"/>
      <c r="LG1" s="25"/>
      <c r="LH1" s="25"/>
      <c r="LI1" s="25"/>
      <c r="LJ1" s="25"/>
      <c r="LK1" s="25"/>
      <c r="LL1" s="25"/>
      <c r="LM1" s="25"/>
      <c r="LN1" s="25"/>
      <c r="LO1" s="25"/>
      <c r="LP1" s="25"/>
      <c r="LQ1" s="25"/>
      <c r="LR1" s="25"/>
      <c r="LS1" s="25"/>
      <c r="LT1" s="25"/>
      <c r="LU1" s="25"/>
      <c r="LV1" s="25"/>
      <c r="LW1" s="25"/>
      <c r="LX1" s="25"/>
      <c r="LY1" s="25"/>
      <c r="LZ1" s="25"/>
      <c r="MA1" s="25"/>
      <c r="MB1" s="25"/>
      <c r="MC1" s="25"/>
      <c r="MD1" s="25"/>
      <c r="ME1" s="25"/>
      <c r="MF1" s="25"/>
      <c r="MG1" s="25"/>
      <c r="MH1" s="25"/>
      <c r="MI1" s="25"/>
      <c r="MJ1" s="25"/>
      <c r="MK1" s="25"/>
      <c r="ML1" s="25"/>
      <c r="MM1" s="25"/>
      <c r="MN1" s="25"/>
      <c r="MO1" s="25"/>
      <c r="MP1" s="25"/>
      <c r="MQ1" s="25"/>
      <c r="MR1" s="25"/>
      <c r="MS1" s="25"/>
      <c r="MT1" s="25"/>
      <c r="MU1" s="25"/>
      <c r="MV1" s="25"/>
      <c r="MW1" s="25"/>
      <c r="MX1" s="25"/>
      <c r="MY1" s="25"/>
      <c r="MZ1" s="25"/>
      <c r="NA1" s="25"/>
      <c r="NB1" s="25"/>
      <c r="NC1" s="25"/>
      <c r="ND1" s="25"/>
      <c r="NE1" s="25"/>
      <c r="NF1" s="25"/>
      <c r="NG1" s="25"/>
      <c r="NH1" s="25"/>
      <c r="NI1" s="25"/>
      <c r="NJ1" s="25"/>
      <c r="NK1" s="25"/>
      <c r="NL1" s="25"/>
    </row>
    <row r="2" spans="1:376" x14ac:dyDescent="0.35">
      <c r="A2" s="2">
        <v>43349</v>
      </c>
      <c r="B2" s="15" t="s">
        <v>89</v>
      </c>
      <c r="C2" s="15" t="s">
        <v>163</v>
      </c>
      <c r="D2" s="1">
        <v>1</v>
      </c>
      <c r="E2" s="3">
        <v>1</v>
      </c>
      <c r="F2" s="3">
        <v>4</v>
      </c>
      <c r="G2" s="3">
        <v>1</v>
      </c>
      <c r="H2" s="3">
        <v>1</v>
      </c>
      <c r="I2" s="3">
        <v>1</v>
      </c>
      <c r="J2" s="3">
        <v>1</v>
      </c>
      <c r="K2" s="18">
        <v>0</v>
      </c>
      <c r="L2" s="18">
        <v>1</v>
      </c>
      <c r="M2" s="18">
        <v>1</v>
      </c>
      <c r="N2" s="18">
        <v>1</v>
      </c>
      <c r="O2" s="18">
        <v>1</v>
      </c>
      <c r="P2" s="4">
        <v>0.8</v>
      </c>
      <c r="Q2" s="3">
        <v>59</v>
      </c>
      <c r="R2" s="3">
        <v>62</v>
      </c>
      <c r="S2" s="3">
        <v>51</v>
      </c>
      <c r="T2" s="3">
        <v>69</v>
      </c>
      <c r="U2" s="3">
        <v>77</v>
      </c>
      <c r="V2" s="3">
        <v>114</v>
      </c>
      <c r="W2" s="3">
        <v>100</v>
      </c>
      <c r="X2" s="3">
        <v>108</v>
      </c>
      <c r="Y2" s="3">
        <v>132</v>
      </c>
      <c r="Z2" s="3">
        <v>208</v>
      </c>
      <c r="AA2" s="3">
        <v>215</v>
      </c>
      <c r="AB2" s="3">
        <v>215</v>
      </c>
      <c r="AC2" s="3">
        <v>217</v>
      </c>
      <c r="AD2" s="3">
        <v>279</v>
      </c>
      <c r="AE2" s="3">
        <v>396</v>
      </c>
      <c r="AF2" s="3">
        <v>397</v>
      </c>
      <c r="AG2" s="3">
        <v>347</v>
      </c>
      <c r="AH2" s="3">
        <v>376</v>
      </c>
      <c r="AI2" s="4">
        <v>212.67</v>
      </c>
      <c r="AJ2" s="4">
        <v>297.33</v>
      </c>
      <c r="AK2" s="4">
        <v>373.33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9">
        <v>0</v>
      </c>
      <c r="AT2" s="19">
        <v>0</v>
      </c>
      <c r="AU2" s="19">
        <v>0</v>
      </c>
      <c r="AV2" s="19">
        <v>0</v>
      </c>
      <c r="AW2" s="19">
        <v>0</v>
      </c>
      <c r="AX2" s="19">
        <f t="shared" ref="AX2:BC2" si="0">AL2+AL3+AL4+AL5</f>
        <v>0</v>
      </c>
      <c r="AY2" s="19">
        <f t="shared" si="0"/>
        <v>0</v>
      </c>
      <c r="AZ2" s="19">
        <f t="shared" si="0"/>
        <v>0</v>
      </c>
      <c r="BA2" s="19">
        <f t="shared" si="0"/>
        <v>0</v>
      </c>
      <c r="BB2" s="19">
        <f t="shared" si="0"/>
        <v>0</v>
      </c>
      <c r="BC2" s="19">
        <f t="shared" si="0"/>
        <v>0</v>
      </c>
      <c r="BD2" s="1">
        <f>AX2*3</f>
        <v>0</v>
      </c>
      <c r="BE2" s="1">
        <f t="shared" ref="BE2:BI2" si="1">AY2*3</f>
        <v>0</v>
      </c>
      <c r="BF2" s="1">
        <f t="shared" si="1"/>
        <v>0</v>
      </c>
      <c r="BG2" s="1">
        <f t="shared" si="1"/>
        <v>0</v>
      </c>
      <c r="BH2" s="1">
        <f t="shared" si="1"/>
        <v>0</v>
      </c>
      <c r="BI2" s="1">
        <f t="shared" si="1"/>
        <v>0</v>
      </c>
      <c r="BJ2" s="1">
        <f>AX2+AY2+AZ2</f>
        <v>0</v>
      </c>
      <c r="BK2" s="1">
        <f>BA2+BB2+BC2</f>
        <v>0</v>
      </c>
      <c r="BL2" s="1">
        <f>BJ2*3</f>
        <v>0</v>
      </c>
      <c r="BM2" s="1">
        <f>BK2*3</f>
        <v>0</v>
      </c>
      <c r="BN2" s="1">
        <f>BL2/3</f>
        <v>0</v>
      </c>
      <c r="BO2" s="1">
        <f>BM2/3</f>
        <v>0</v>
      </c>
      <c r="BP2" s="4">
        <v>212.66666666666666</v>
      </c>
      <c r="BQ2" s="4">
        <v>297.33333333333331</v>
      </c>
      <c r="BR2" s="4">
        <v>373.33333333333331</v>
      </c>
      <c r="BS2" s="4">
        <v>297.33</v>
      </c>
      <c r="BT2" s="4">
        <v>373.33</v>
      </c>
      <c r="BU2" s="4">
        <v>3.57</v>
      </c>
      <c r="BV2" s="3">
        <v>1</v>
      </c>
      <c r="BW2" s="3">
        <v>2</v>
      </c>
      <c r="BX2" s="3">
        <v>2</v>
      </c>
      <c r="BY2" s="3">
        <v>2</v>
      </c>
      <c r="BZ2" s="3">
        <v>1</v>
      </c>
      <c r="CA2" s="3">
        <v>1</v>
      </c>
      <c r="CB2" s="3">
        <v>1</v>
      </c>
      <c r="CC2" s="3">
        <v>1</v>
      </c>
      <c r="CD2" s="3">
        <v>1</v>
      </c>
      <c r="CE2" s="3">
        <v>1</v>
      </c>
      <c r="CF2" s="3">
        <v>1</v>
      </c>
      <c r="CG2" s="3">
        <v>1</v>
      </c>
      <c r="CH2" s="3">
        <v>0</v>
      </c>
      <c r="CI2" s="1">
        <v>6</v>
      </c>
      <c r="CJ2" s="1">
        <v>6</v>
      </c>
      <c r="CK2" s="1">
        <v>6</v>
      </c>
      <c r="CL2" s="1">
        <v>6</v>
      </c>
      <c r="CM2" s="1">
        <v>6</v>
      </c>
      <c r="CN2" s="1">
        <v>6</v>
      </c>
      <c r="CO2" s="1">
        <v>6</v>
      </c>
      <c r="CP2" s="1">
        <v>2</v>
      </c>
      <c r="CQ2" s="1">
        <v>6</v>
      </c>
      <c r="CR2" s="1">
        <v>6</v>
      </c>
      <c r="CS2" s="1">
        <v>6</v>
      </c>
      <c r="CT2" s="1">
        <v>6</v>
      </c>
      <c r="CU2" s="1">
        <v>6</v>
      </c>
      <c r="CV2" s="1">
        <v>6</v>
      </c>
      <c r="CW2" s="1">
        <v>6</v>
      </c>
      <c r="CX2" s="1">
        <v>6</v>
      </c>
      <c r="CY2" s="1">
        <v>6</v>
      </c>
      <c r="CZ2" s="1">
        <v>7</v>
      </c>
      <c r="DA2" s="1">
        <v>7</v>
      </c>
      <c r="DB2" s="1">
        <v>7</v>
      </c>
      <c r="DC2" s="1">
        <v>5</v>
      </c>
      <c r="DD2" s="1">
        <v>6</v>
      </c>
      <c r="DE2" s="1">
        <v>6</v>
      </c>
      <c r="DF2" s="1">
        <v>7</v>
      </c>
      <c r="DG2" s="1">
        <v>4</v>
      </c>
      <c r="DH2" s="1">
        <v>5</v>
      </c>
      <c r="DI2" s="1">
        <v>5</v>
      </c>
      <c r="DJ2" s="1">
        <v>4</v>
      </c>
      <c r="DK2" s="1">
        <v>5</v>
      </c>
      <c r="DL2" s="1">
        <v>7</v>
      </c>
      <c r="DM2" s="19">
        <v>7</v>
      </c>
      <c r="DN2" s="19">
        <v>6</v>
      </c>
      <c r="DO2" s="1">
        <v>7</v>
      </c>
      <c r="DP2" s="1">
        <v>7</v>
      </c>
      <c r="DQ2" s="1">
        <v>7</v>
      </c>
      <c r="DR2" s="1">
        <v>7</v>
      </c>
      <c r="DS2" s="1">
        <v>6</v>
      </c>
      <c r="DT2" s="1">
        <v>6</v>
      </c>
      <c r="DU2" s="27">
        <v>6</v>
      </c>
      <c r="DV2" s="27">
        <v>6</v>
      </c>
      <c r="DW2" s="27">
        <v>6</v>
      </c>
      <c r="DX2" s="27">
        <v>4</v>
      </c>
      <c r="DY2" s="27">
        <v>2</v>
      </c>
      <c r="DZ2" s="27">
        <v>2</v>
      </c>
      <c r="EA2" s="27">
        <v>4</v>
      </c>
      <c r="EB2" s="27">
        <v>4</v>
      </c>
      <c r="EC2" s="27">
        <v>4</v>
      </c>
      <c r="ED2" s="27">
        <v>5</v>
      </c>
      <c r="EE2" s="27">
        <v>2</v>
      </c>
      <c r="EF2" s="27">
        <v>1</v>
      </c>
      <c r="EG2" s="27">
        <v>6</v>
      </c>
      <c r="EH2" s="27">
        <v>7</v>
      </c>
      <c r="EI2" s="27">
        <v>6</v>
      </c>
      <c r="EJ2" s="27">
        <v>4</v>
      </c>
      <c r="EK2" s="27">
        <v>4</v>
      </c>
      <c r="EL2" s="27">
        <v>4</v>
      </c>
      <c r="EM2" s="27">
        <v>4</v>
      </c>
      <c r="EN2" s="27">
        <v>4</v>
      </c>
      <c r="EO2" s="27">
        <v>7</v>
      </c>
      <c r="EP2" s="27">
        <v>7</v>
      </c>
      <c r="EQ2" s="27">
        <v>7</v>
      </c>
      <c r="ER2" s="27">
        <v>4</v>
      </c>
      <c r="ES2" s="27">
        <v>4</v>
      </c>
      <c r="ET2" s="27">
        <v>4</v>
      </c>
      <c r="EU2" s="27">
        <v>4</v>
      </c>
      <c r="EV2" s="27">
        <v>18</v>
      </c>
      <c r="EW2" s="27">
        <v>1</v>
      </c>
      <c r="EY2" s="27">
        <v>1</v>
      </c>
      <c r="FA2" s="27">
        <v>1</v>
      </c>
      <c r="FB2" s="28" t="s">
        <v>770</v>
      </c>
      <c r="FC2" s="27">
        <v>0</v>
      </c>
      <c r="FD2" s="1">
        <v>6</v>
      </c>
      <c r="FE2" s="4">
        <v>6.14</v>
      </c>
      <c r="FF2" s="4">
        <v>6</v>
      </c>
      <c r="FG2" s="4">
        <v>7.5</v>
      </c>
      <c r="FH2" s="4">
        <v>7</v>
      </c>
      <c r="FI2" s="4">
        <v>6.13</v>
      </c>
      <c r="FJ2" s="23">
        <v>6.5</v>
      </c>
      <c r="FK2" s="4">
        <v>4.5</v>
      </c>
      <c r="FL2" s="4">
        <v>5.88</v>
      </c>
      <c r="FM2" s="4">
        <v>6</v>
      </c>
      <c r="FN2" s="4">
        <v>6</v>
      </c>
      <c r="FO2" s="4">
        <v>5.08</v>
      </c>
      <c r="FP2" s="4">
        <v>6</v>
      </c>
      <c r="FQ2" s="4">
        <v>3.75</v>
      </c>
      <c r="FR2" s="4">
        <v>2.75</v>
      </c>
      <c r="FS2" s="4">
        <v>5.25</v>
      </c>
      <c r="FT2" s="4">
        <v>4.5</v>
      </c>
      <c r="FU2" s="4">
        <v>5</v>
      </c>
      <c r="FV2" s="4">
        <v>4.75</v>
      </c>
      <c r="FW2" s="4">
        <v>4.5</v>
      </c>
      <c r="FX2" s="4">
        <v>5</v>
      </c>
      <c r="FY2" s="4">
        <v>6.13</v>
      </c>
      <c r="FZ2" s="4">
        <v>4.75</v>
      </c>
      <c r="GA2" s="4">
        <v>3.63</v>
      </c>
      <c r="GB2" s="4">
        <v>6.17</v>
      </c>
      <c r="GC2" s="4">
        <v>4.75</v>
      </c>
      <c r="GD2" s="4">
        <v>4</v>
      </c>
      <c r="GE2" s="26"/>
      <c r="GF2" s="26"/>
      <c r="GG2" s="4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S2" s="3"/>
      <c r="HU2" s="3"/>
      <c r="HX2" s="3"/>
      <c r="IA2" s="3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I2" s="4"/>
      <c r="JJ2" s="4"/>
      <c r="JK2" s="4"/>
      <c r="JL2" s="4"/>
      <c r="JM2" s="4"/>
      <c r="JN2" s="4"/>
      <c r="JO2" s="3"/>
      <c r="JP2" s="3"/>
      <c r="JQ2" s="4"/>
      <c r="JR2" s="5"/>
      <c r="JS2" s="5"/>
      <c r="JT2" s="8"/>
      <c r="JU2" s="8"/>
      <c r="JV2" s="8"/>
      <c r="JW2" s="8"/>
      <c r="JX2" s="8"/>
      <c r="JY2" s="8"/>
      <c r="JZ2" s="8"/>
      <c r="KA2" s="8"/>
      <c r="KB2" s="8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1"/>
      <c r="NL2" s="1"/>
    </row>
    <row r="3" spans="1:376" x14ac:dyDescent="0.35">
      <c r="A3" s="2">
        <v>43349</v>
      </c>
      <c r="B3" s="15" t="s">
        <v>89</v>
      </c>
      <c r="C3" s="15" t="s">
        <v>164</v>
      </c>
      <c r="D3" s="1">
        <v>2</v>
      </c>
      <c r="E3" s="3">
        <v>1</v>
      </c>
      <c r="F3" s="3">
        <v>4</v>
      </c>
      <c r="G3" s="3"/>
      <c r="H3" s="3">
        <v>1</v>
      </c>
      <c r="I3" s="3">
        <v>2</v>
      </c>
      <c r="J3" s="3"/>
      <c r="K3" s="18">
        <v>1</v>
      </c>
      <c r="L3" s="18">
        <v>0</v>
      </c>
      <c r="M3" s="18">
        <v>0</v>
      </c>
      <c r="N3" s="18">
        <v>1</v>
      </c>
      <c r="O3" s="18">
        <v>0</v>
      </c>
      <c r="P3" s="4">
        <v>0.4</v>
      </c>
      <c r="Q3" s="3">
        <v>64</v>
      </c>
      <c r="R3" s="3">
        <v>68</v>
      </c>
      <c r="S3" s="3">
        <v>64</v>
      </c>
      <c r="T3" s="3">
        <v>42</v>
      </c>
      <c r="U3" s="3">
        <v>48</v>
      </c>
      <c r="V3" s="3">
        <v>96</v>
      </c>
      <c r="W3" s="3">
        <v>104</v>
      </c>
      <c r="X3" s="3">
        <v>70</v>
      </c>
      <c r="Y3" s="3">
        <v>67</v>
      </c>
      <c r="Z3" s="3"/>
      <c r="AA3" s="3"/>
      <c r="AB3" s="3"/>
      <c r="AC3" s="3"/>
      <c r="AD3" s="3"/>
      <c r="AE3" s="3"/>
      <c r="AF3" s="3"/>
      <c r="AG3" s="3"/>
      <c r="AH3" s="3"/>
      <c r="AI3" s="4"/>
      <c r="AJ3" s="4"/>
      <c r="AK3" s="4"/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9">
        <v>0</v>
      </c>
      <c r="AT3" s="19">
        <v>0</v>
      </c>
      <c r="AU3" s="19">
        <v>0</v>
      </c>
      <c r="AV3" s="19">
        <v>0</v>
      </c>
      <c r="AW3" s="19">
        <v>0</v>
      </c>
      <c r="AX3" s="19"/>
      <c r="AY3"/>
      <c r="AZ3"/>
      <c r="BA3"/>
      <c r="BB3"/>
      <c r="BC3"/>
      <c r="BP3" s="4"/>
      <c r="BQ3" s="4"/>
      <c r="BR3" s="4"/>
      <c r="BS3" s="4"/>
      <c r="BT3" s="4"/>
      <c r="BU3" s="4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1">
        <v>6</v>
      </c>
      <c r="CJ3" s="1">
        <v>7</v>
      </c>
      <c r="CK3" s="1">
        <v>6</v>
      </c>
      <c r="CL3" s="1">
        <v>5</v>
      </c>
      <c r="CM3" s="1">
        <v>6</v>
      </c>
      <c r="CN3" s="1">
        <v>6</v>
      </c>
      <c r="CO3" s="1">
        <v>5</v>
      </c>
      <c r="CP3" s="1">
        <v>3</v>
      </c>
      <c r="CQ3" s="1">
        <v>5</v>
      </c>
      <c r="CR3" s="1">
        <v>7</v>
      </c>
      <c r="CS3" s="1">
        <v>7</v>
      </c>
      <c r="CT3" s="1">
        <v>5</v>
      </c>
      <c r="CU3" s="1">
        <v>7</v>
      </c>
      <c r="CV3" s="1">
        <v>6</v>
      </c>
      <c r="CW3" s="1">
        <v>6</v>
      </c>
      <c r="CX3" s="1">
        <v>6</v>
      </c>
      <c r="CY3" s="1">
        <v>4</v>
      </c>
      <c r="CZ3" s="1">
        <v>7</v>
      </c>
      <c r="DA3" s="1">
        <v>7</v>
      </c>
      <c r="DB3" s="1">
        <v>7</v>
      </c>
      <c r="DC3" s="1">
        <v>6</v>
      </c>
      <c r="DD3" s="1">
        <v>7</v>
      </c>
      <c r="DE3" s="1">
        <v>6</v>
      </c>
      <c r="DF3" s="1">
        <v>1</v>
      </c>
      <c r="DG3" s="1">
        <v>1</v>
      </c>
      <c r="DH3" s="1">
        <v>2</v>
      </c>
      <c r="DI3" s="1">
        <v>2</v>
      </c>
      <c r="DJ3" s="1">
        <v>2</v>
      </c>
      <c r="DK3" s="1">
        <v>2</v>
      </c>
      <c r="DL3" s="1">
        <v>3</v>
      </c>
      <c r="DM3" s="19">
        <v>3</v>
      </c>
      <c r="DN3" s="19">
        <v>4</v>
      </c>
      <c r="DO3" s="1">
        <v>5</v>
      </c>
      <c r="DP3" s="1">
        <v>3</v>
      </c>
      <c r="DQ3" s="1">
        <v>7</v>
      </c>
      <c r="DR3" s="1">
        <v>4</v>
      </c>
      <c r="DS3" s="1">
        <v>5</v>
      </c>
      <c r="DT3" s="1">
        <v>5</v>
      </c>
      <c r="DU3" s="27">
        <v>4</v>
      </c>
      <c r="DV3" s="27">
        <v>7</v>
      </c>
      <c r="DW3" s="27">
        <v>4</v>
      </c>
      <c r="DX3" s="27">
        <v>4</v>
      </c>
      <c r="DY3" s="27">
        <v>4</v>
      </c>
      <c r="DZ3" s="27">
        <v>4</v>
      </c>
      <c r="EA3" s="27">
        <v>4</v>
      </c>
      <c r="EB3" s="27">
        <v>4</v>
      </c>
      <c r="EC3" s="27">
        <v>4</v>
      </c>
      <c r="ED3" s="27">
        <v>4</v>
      </c>
      <c r="EE3" s="27">
        <v>4</v>
      </c>
      <c r="EF3" s="27">
        <v>4</v>
      </c>
      <c r="EG3" s="27">
        <v>4</v>
      </c>
      <c r="EH3" s="27">
        <v>4</v>
      </c>
      <c r="EI3" s="27">
        <v>4</v>
      </c>
      <c r="EJ3" s="27">
        <v>4</v>
      </c>
      <c r="EK3" s="27">
        <v>4</v>
      </c>
      <c r="EL3" s="27">
        <v>4</v>
      </c>
      <c r="EM3" s="27">
        <v>4</v>
      </c>
      <c r="EN3" s="27">
        <v>4</v>
      </c>
      <c r="EO3" s="27">
        <v>7</v>
      </c>
      <c r="EP3" s="27">
        <v>3</v>
      </c>
      <c r="EQ3" s="27">
        <v>4</v>
      </c>
      <c r="ER3" s="27">
        <v>4</v>
      </c>
      <c r="ES3" s="27">
        <v>4</v>
      </c>
      <c r="ET3" s="27">
        <v>4</v>
      </c>
      <c r="EU3" s="27">
        <v>4</v>
      </c>
      <c r="EV3" s="27">
        <v>20</v>
      </c>
      <c r="EW3" s="27">
        <v>4</v>
      </c>
      <c r="EY3" s="27">
        <v>9</v>
      </c>
      <c r="FA3" s="27">
        <v>6</v>
      </c>
      <c r="FB3" s="28" t="s">
        <v>771</v>
      </c>
      <c r="FC3" s="27">
        <v>1</v>
      </c>
      <c r="FD3" s="1">
        <v>9</v>
      </c>
      <c r="FE3" s="4"/>
      <c r="FF3" s="4"/>
      <c r="FG3" s="4"/>
      <c r="FH3" s="4"/>
      <c r="FI3" s="4"/>
      <c r="FJ3" s="23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26"/>
      <c r="GF3" s="26"/>
      <c r="GG3" s="4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S3" s="3"/>
      <c r="HU3" s="3"/>
      <c r="HX3" s="3"/>
      <c r="IA3" s="3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I3" s="4"/>
      <c r="JJ3" s="4"/>
      <c r="JK3" s="4"/>
      <c r="JL3" s="4"/>
      <c r="JM3" s="4"/>
      <c r="JN3" s="4"/>
      <c r="JO3" s="6"/>
      <c r="JP3" s="6"/>
      <c r="JQ3" s="6"/>
      <c r="JR3" s="6"/>
      <c r="JS3" s="6"/>
      <c r="JT3" s="8"/>
      <c r="JU3" s="8"/>
      <c r="JV3" s="8"/>
      <c r="JW3" s="8"/>
      <c r="JX3" s="8"/>
      <c r="JY3" s="8"/>
      <c r="JZ3" s="8"/>
      <c r="KA3" s="8"/>
      <c r="KB3" s="8"/>
      <c r="KC3" s="6"/>
      <c r="KD3" s="6"/>
      <c r="KE3" s="6"/>
      <c r="KF3" s="6"/>
      <c r="KG3" s="6"/>
      <c r="KH3" s="6"/>
      <c r="KI3" s="6"/>
      <c r="KJ3" s="6"/>
      <c r="KK3" s="6"/>
      <c r="KL3" s="4"/>
      <c r="KM3" s="4"/>
      <c r="KN3" s="6"/>
      <c r="KO3" s="4"/>
      <c r="KP3" s="4"/>
      <c r="KQ3" s="6"/>
      <c r="KR3" s="6"/>
      <c r="KS3" s="4"/>
      <c r="KU3" s="4"/>
      <c r="KV3" s="4"/>
      <c r="KW3" s="4"/>
      <c r="KX3" s="6"/>
      <c r="KY3" s="6"/>
      <c r="KZ3" s="6"/>
      <c r="LA3" s="4"/>
      <c r="LB3" s="6"/>
      <c r="LC3" s="6"/>
      <c r="LD3" s="4"/>
      <c r="LE3" s="4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4"/>
      <c r="NK3" s="1"/>
      <c r="NL3" s="1"/>
    </row>
    <row r="4" spans="1:376" x14ac:dyDescent="0.35">
      <c r="A4" s="2">
        <v>43349</v>
      </c>
      <c r="B4" s="15" t="s">
        <v>89</v>
      </c>
      <c r="C4" s="15" t="s">
        <v>165</v>
      </c>
      <c r="D4" s="1">
        <v>3</v>
      </c>
      <c r="E4" s="3">
        <v>1</v>
      </c>
      <c r="F4" s="3">
        <v>4</v>
      </c>
      <c r="G4" s="3"/>
      <c r="H4" s="3">
        <v>1</v>
      </c>
      <c r="I4" s="3">
        <v>3</v>
      </c>
      <c r="J4" s="3"/>
      <c r="K4" s="18">
        <v>0</v>
      </c>
      <c r="L4" s="18">
        <v>1</v>
      </c>
      <c r="M4" s="18">
        <v>0</v>
      </c>
      <c r="N4" s="18">
        <v>1</v>
      </c>
      <c r="O4" s="18">
        <v>0</v>
      </c>
      <c r="P4" s="4">
        <v>0.4</v>
      </c>
      <c r="Q4" s="3">
        <v>47</v>
      </c>
      <c r="R4" s="3">
        <v>40</v>
      </c>
      <c r="S4" s="3">
        <v>56</v>
      </c>
      <c r="T4" s="3">
        <v>40</v>
      </c>
      <c r="U4" s="3">
        <v>61</v>
      </c>
      <c r="V4" s="3">
        <v>97</v>
      </c>
      <c r="W4" s="3">
        <v>101</v>
      </c>
      <c r="X4" s="3">
        <v>68</v>
      </c>
      <c r="Y4" s="3">
        <v>80</v>
      </c>
      <c r="Z4" s="3"/>
      <c r="AA4" s="3"/>
      <c r="AB4" s="3"/>
      <c r="AC4" s="3"/>
      <c r="AD4" s="3"/>
      <c r="AE4" s="3"/>
      <c r="AF4" s="3"/>
      <c r="AG4" s="3"/>
      <c r="AH4" s="3"/>
      <c r="AI4" s="4"/>
      <c r="AJ4" s="4"/>
      <c r="AK4" s="4"/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/>
      <c r="AY4"/>
      <c r="AZ4"/>
      <c r="BA4"/>
      <c r="BB4"/>
      <c r="BC4"/>
      <c r="BP4" s="4"/>
      <c r="BQ4" s="4"/>
      <c r="BR4" s="4"/>
      <c r="BS4" s="4"/>
      <c r="BT4" s="4"/>
      <c r="BU4" s="4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1</v>
      </c>
      <c r="CQ4" s="1">
        <v>6</v>
      </c>
      <c r="CR4" s="1">
        <v>6</v>
      </c>
      <c r="CS4" s="1">
        <v>6</v>
      </c>
      <c r="CT4" s="1">
        <v>7</v>
      </c>
      <c r="CU4" s="1">
        <v>6</v>
      </c>
      <c r="CV4" s="1">
        <v>6</v>
      </c>
      <c r="CW4" s="1">
        <v>6</v>
      </c>
      <c r="CX4" s="1">
        <v>6</v>
      </c>
      <c r="CY4" s="1">
        <v>6</v>
      </c>
      <c r="CZ4" s="1">
        <v>7</v>
      </c>
      <c r="DA4" s="1">
        <v>7</v>
      </c>
      <c r="DB4" s="1">
        <v>7</v>
      </c>
      <c r="DC4" s="1">
        <v>6</v>
      </c>
      <c r="DD4" s="1">
        <v>7</v>
      </c>
      <c r="DE4" s="1">
        <v>7</v>
      </c>
      <c r="DF4" s="1">
        <v>7</v>
      </c>
      <c r="DG4" s="1">
        <v>7</v>
      </c>
      <c r="DH4" s="1">
        <v>6</v>
      </c>
      <c r="DI4" s="1">
        <v>7</v>
      </c>
      <c r="DJ4" s="1">
        <v>7</v>
      </c>
      <c r="DK4" s="1">
        <v>6</v>
      </c>
      <c r="DL4" s="1">
        <v>7</v>
      </c>
      <c r="DM4" s="19">
        <v>6</v>
      </c>
      <c r="DN4" s="19">
        <v>7</v>
      </c>
      <c r="DO4" s="1">
        <v>7</v>
      </c>
      <c r="DP4" s="1">
        <v>7</v>
      </c>
      <c r="DQ4" s="1">
        <v>6</v>
      </c>
      <c r="DR4" s="1">
        <v>7</v>
      </c>
      <c r="DS4" s="1">
        <v>6</v>
      </c>
      <c r="DT4" s="1">
        <v>6</v>
      </c>
      <c r="DU4" s="27">
        <v>6</v>
      </c>
      <c r="DV4" s="27">
        <v>6</v>
      </c>
      <c r="DW4" s="27">
        <v>6</v>
      </c>
      <c r="DX4" s="27">
        <v>6</v>
      </c>
      <c r="DY4" s="27">
        <v>2</v>
      </c>
      <c r="DZ4" s="27">
        <v>4</v>
      </c>
      <c r="EA4" s="27">
        <v>2</v>
      </c>
      <c r="EB4" s="27">
        <v>6</v>
      </c>
      <c r="EC4" s="27">
        <v>6</v>
      </c>
      <c r="ED4" s="27">
        <v>4</v>
      </c>
      <c r="EE4" s="27">
        <v>6</v>
      </c>
      <c r="EF4" s="27">
        <v>6</v>
      </c>
      <c r="EG4" s="27">
        <v>6</v>
      </c>
      <c r="EH4" s="27">
        <v>7</v>
      </c>
      <c r="EI4" s="27">
        <v>7</v>
      </c>
      <c r="EJ4" s="27">
        <v>4</v>
      </c>
      <c r="EK4" s="27">
        <v>4</v>
      </c>
      <c r="EL4" s="27">
        <v>4</v>
      </c>
      <c r="EM4" s="27">
        <v>4</v>
      </c>
      <c r="EN4" s="27">
        <v>4</v>
      </c>
      <c r="EO4" s="27">
        <v>6</v>
      </c>
      <c r="EP4" s="27">
        <v>6</v>
      </c>
      <c r="EQ4" s="27">
        <v>6</v>
      </c>
      <c r="ER4" s="27">
        <v>4</v>
      </c>
      <c r="ES4" s="27">
        <v>4</v>
      </c>
      <c r="ET4" s="27">
        <v>4</v>
      </c>
      <c r="EU4" s="27">
        <v>4</v>
      </c>
      <c r="EV4" s="27">
        <v>18</v>
      </c>
      <c r="EW4" s="27">
        <v>2</v>
      </c>
      <c r="EY4" s="27">
        <v>1</v>
      </c>
      <c r="FA4" s="27">
        <v>1</v>
      </c>
      <c r="FB4" s="28" t="s">
        <v>772</v>
      </c>
      <c r="FC4" s="27">
        <v>1</v>
      </c>
      <c r="FD4" s="1">
        <v>2</v>
      </c>
      <c r="FE4" s="4"/>
      <c r="FF4" s="4"/>
      <c r="FG4" s="4"/>
      <c r="FH4" s="4"/>
      <c r="FI4" s="4"/>
      <c r="FJ4" s="23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26"/>
      <c r="GF4" s="26"/>
      <c r="GG4" s="4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6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S4" s="3"/>
      <c r="HU4" s="3"/>
      <c r="HX4" s="3"/>
      <c r="IA4" s="3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I4" s="4"/>
      <c r="JJ4" s="4"/>
      <c r="JK4" s="4"/>
      <c r="JL4" s="4"/>
      <c r="JM4" s="4"/>
      <c r="JN4" s="4"/>
      <c r="JO4" s="6"/>
      <c r="JP4" s="6"/>
      <c r="JQ4" s="6"/>
      <c r="JR4" s="6"/>
      <c r="JS4" s="6"/>
      <c r="JT4" s="8"/>
      <c r="JU4" s="8"/>
      <c r="JV4" s="8"/>
      <c r="JW4" s="8"/>
      <c r="JX4" s="8"/>
      <c r="JY4" s="8"/>
      <c r="JZ4" s="8"/>
      <c r="KA4" s="8"/>
      <c r="KB4" s="8"/>
      <c r="KC4" s="6"/>
      <c r="KD4" s="6"/>
      <c r="KE4" s="6"/>
      <c r="KF4" s="6"/>
      <c r="KG4" s="6"/>
      <c r="KH4" s="6"/>
      <c r="KI4" s="6"/>
      <c r="KJ4" s="6"/>
      <c r="KK4" s="6"/>
      <c r="KL4" s="4"/>
      <c r="KM4" s="4"/>
      <c r="KN4" s="6"/>
      <c r="KO4" s="4"/>
      <c r="KP4" s="4"/>
      <c r="KQ4" s="6"/>
      <c r="KR4" s="6"/>
      <c r="KS4" s="4"/>
      <c r="KU4" s="4"/>
      <c r="KV4" s="4"/>
      <c r="KW4" s="4"/>
      <c r="KX4" s="6"/>
      <c r="KY4" s="6"/>
      <c r="KZ4" s="6"/>
      <c r="LA4" s="4"/>
      <c r="LB4" s="6"/>
      <c r="LC4" s="6"/>
      <c r="LD4" s="4"/>
      <c r="LE4" s="4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4"/>
      <c r="NK4" s="1"/>
      <c r="NL4" s="1"/>
    </row>
    <row r="5" spans="1:376" x14ac:dyDescent="0.35">
      <c r="A5" s="2">
        <v>43349</v>
      </c>
      <c r="B5" s="15" t="s">
        <v>89</v>
      </c>
      <c r="C5" s="15" t="s">
        <v>166</v>
      </c>
      <c r="D5" s="1">
        <v>4</v>
      </c>
      <c r="E5" s="3">
        <v>1</v>
      </c>
      <c r="F5" s="3">
        <v>4</v>
      </c>
      <c r="G5" s="3"/>
      <c r="H5" s="3">
        <v>1</v>
      </c>
      <c r="I5" s="3">
        <v>4</v>
      </c>
      <c r="J5" s="3"/>
      <c r="K5" s="18">
        <v>1</v>
      </c>
      <c r="L5" s="18">
        <v>0</v>
      </c>
      <c r="M5" s="18">
        <v>1</v>
      </c>
      <c r="N5" s="18">
        <v>1</v>
      </c>
      <c r="O5" s="18">
        <v>0</v>
      </c>
      <c r="P5" s="4">
        <v>0.6</v>
      </c>
      <c r="Q5" s="3">
        <v>38</v>
      </c>
      <c r="R5" s="3">
        <v>45</v>
      </c>
      <c r="S5" s="3">
        <v>44</v>
      </c>
      <c r="T5" s="3">
        <v>66</v>
      </c>
      <c r="U5" s="3">
        <v>93</v>
      </c>
      <c r="V5" s="3">
        <v>89</v>
      </c>
      <c r="W5" s="3">
        <v>92</v>
      </c>
      <c r="X5" s="3">
        <v>101</v>
      </c>
      <c r="Y5" s="3">
        <v>97</v>
      </c>
      <c r="Z5" s="3"/>
      <c r="AA5" s="3"/>
      <c r="AB5" s="3"/>
      <c r="AC5" s="3"/>
      <c r="AD5" s="3"/>
      <c r="AE5" s="3"/>
      <c r="AF5" s="3"/>
      <c r="AG5" s="3"/>
      <c r="AH5" s="3"/>
      <c r="AI5" s="4"/>
      <c r="AJ5" s="4"/>
      <c r="AK5" s="4"/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/>
      <c r="AY5"/>
      <c r="AZ5"/>
      <c r="BA5"/>
      <c r="BB5"/>
      <c r="BC5"/>
      <c r="BP5" s="4"/>
      <c r="BQ5" s="4"/>
      <c r="BR5" s="4"/>
      <c r="BS5" s="4"/>
      <c r="BT5" s="4"/>
      <c r="BU5" s="4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1">
        <v>6</v>
      </c>
      <c r="CJ5" s="1">
        <v>7</v>
      </c>
      <c r="CK5" s="1">
        <v>6</v>
      </c>
      <c r="CL5" s="1">
        <v>7</v>
      </c>
      <c r="CM5" s="1">
        <v>7</v>
      </c>
      <c r="CN5" s="1">
        <v>7</v>
      </c>
      <c r="CO5" s="1">
        <v>7</v>
      </c>
      <c r="CP5" s="1">
        <v>2</v>
      </c>
      <c r="CQ5" s="1">
        <v>6</v>
      </c>
      <c r="CR5" s="1">
        <v>5</v>
      </c>
      <c r="CS5" s="1">
        <v>6</v>
      </c>
      <c r="CT5" s="1">
        <v>6</v>
      </c>
      <c r="CU5" s="1">
        <v>6</v>
      </c>
      <c r="CV5" s="1">
        <v>7</v>
      </c>
      <c r="CW5" s="1">
        <v>7</v>
      </c>
      <c r="CX5" s="1">
        <v>7</v>
      </c>
      <c r="CY5" s="1">
        <v>4</v>
      </c>
      <c r="CZ5" s="1">
        <v>7</v>
      </c>
      <c r="DA5" s="1">
        <v>7</v>
      </c>
      <c r="DB5" s="1">
        <v>7</v>
      </c>
      <c r="DC5" s="1">
        <v>6</v>
      </c>
      <c r="DD5" s="1">
        <v>6</v>
      </c>
      <c r="DE5" s="1">
        <v>7</v>
      </c>
      <c r="DF5" s="1">
        <v>5</v>
      </c>
      <c r="DG5" s="1">
        <v>2</v>
      </c>
      <c r="DH5" s="1">
        <v>6</v>
      </c>
      <c r="DI5" s="1">
        <v>4</v>
      </c>
      <c r="DJ5" s="1">
        <v>5</v>
      </c>
      <c r="DK5" s="1">
        <v>6</v>
      </c>
      <c r="DL5" s="1">
        <v>7</v>
      </c>
      <c r="DM5" s="19">
        <v>7</v>
      </c>
      <c r="DN5" s="19">
        <v>7</v>
      </c>
      <c r="DO5" s="1">
        <v>5</v>
      </c>
      <c r="DP5" s="1">
        <v>7</v>
      </c>
      <c r="DQ5" s="1">
        <v>4</v>
      </c>
      <c r="DR5" s="1">
        <v>3</v>
      </c>
      <c r="DS5" s="1">
        <v>4</v>
      </c>
      <c r="DT5" s="1">
        <v>2</v>
      </c>
      <c r="DU5" s="27">
        <v>7</v>
      </c>
      <c r="DV5" s="27">
        <v>7</v>
      </c>
      <c r="DW5" s="27">
        <v>7</v>
      </c>
      <c r="DX5" s="27">
        <v>4</v>
      </c>
      <c r="DY5" s="27">
        <v>4</v>
      </c>
      <c r="DZ5" s="27">
        <v>4</v>
      </c>
      <c r="EA5" s="27">
        <v>1</v>
      </c>
      <c r="EB5" s="27">
        <v>7</v>
      </c>
      <c r="EC5" s="27">
        <v>4</v>
      </c>
      <c r="ED5" s="27">
        <v>7</v>
      </c>
      <c r="EE5" s="27">
        <v>7</v>
      </c>
      <c r="EF5" s="27">
        <v>7</v>
      </c>
      <c r="EG5" s="27">
        <v>4</v>
      </c>
      <c r="EH5" s="27">
        <v>7</v>
      </c>
      <c r="EI5" s="27">
        <v>7</v>
      </c>
      <c r="EJ5" s="27">
        <v>7</v>
      </c>
      <c r="EK5" s="27">
        <v>7</v>
      </c>
      <c r="EL5" s="27">
        <v>7</v>
      </c>
      <c r="EM5" s="27">
        <v>1</v>
      </c>
      <c r="EN5" s="27">
        <v>4</v>
      </c>
      <c r="EO5" s="27">
        <v>7</v>
      </c>
      <c r="EP5" s="27">
        <v>7</v>
      </c>
      <c r="EQ5" s="27">
        <v>7</v>
      </c>
      <c r="ER5" s="27">
        <v>7</v>
      </c>
      <c r="ES5" s="27">
        <v>7</v>
      </c>
      <c r="ET5" s="27">
        <v>4</v>
      </c>
      <c r="EU5" s="27">
        <v>4</v>
      </c>
      <c r="EV5" s="27">
        <v>18</v>
      </c>
      <c r="EW5" s="27">
        <v>2</v>
      </c>
      <c r="EY5" s="27">
        <v>8</v>
      </c>
      <c r="EZ5" s="28" t="s">
        <v>755</v>
      </c>
      <c r="FA5" s="27">
        <v>1</v>
      </c>
      <c r="FB5" s="28" t="s">
        <v>773</v>
      </c>
      <c r="FC5" s="27">
        <v>1</v>
      </c>
      <c r="FD5" s="1">
        <v>2</v>
      </c>
      <c r="FE5" s="4"/>
      <c r="FF5" s="4"/>
      <c r="FG5" s="4"/>
      <c r="FH5" s="4"/>
      <c r="FI5" s="4"/>
      <c r="FJ5" s="23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26"/>
      <c r="GF5" s="26"/>
      <c r="GG5" s="4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S5" s="3"/>
      <c r="HU5" s="3"/>
      <c r="HX5" s="3"/>
      <c r="IA5" s="3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I5" s="4"/>
      <c r="JJ5" s="4"/>
      <c r="JK5" s="4"/>
      <c r="JL5" s="4"/>
      <c r="JM5" s="4"/>
      <c r="JN5" s="4"/>
      <c r="JO5" s="6"/>
      <c r="JP5" s="6"/>
      <c r="JQ5" s="6"/>
      <c r="JR5" s="6"/>
      <c r="JS5" s="6"/>
      <c r="JT5" s="8"/>
      <c r="JU5" s="8"/>
      <c r="JV5" s="8"/>
      <c r="JW5" s="8"/>
      <c r="JX5" s="8"/>
      <c r="JY5" s="8"/>
      <c r="JZ5" s="8"/>
      <c r="KA5" s="8"/>
      <c r="KB5" s="8"/>
      <c r="KC5" s="6"/>
      <c r="KD5" s="6"/>
      <c r="KE5" s="6"/>
      <c r="KF5" s="6"/>
      <c r="KG5" s="6"/>
      <c r="KH5" s="6"/>
      <c r="KI5" s="6"/>
      <c r="KJ5" s="6"/>
      <c r="KK5" s="6"/>
      <c r="KL5" s="4"/>
      <c r="KM5" s="4"/>
      <c r="KN5" s="6"/>
      <c r="KO5" s="4"/>
      <c r="KP5" s="4"/>
      <c r="KQ5" s="6"/>
      <c r="KR5" s="6"/>
      <c r="KS5" s="4"/>
      <c r="KU5" s="4"/>
      <c r="KV5" s="4"/>
      <c r="KW5" s="4"/>
      <c r="KX5" s="6"/>
      <c r="KY5" s="6"/>
      <c r="KZ5" s="6"/>
      <c r="LA5" s="4"/>
      <c r="LB5" s="6"/>
      <c r="LC5" s="6"/>
      <c r="LD5" s="4"/>
      <c r="LE5" s="4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4"/>
      <c r="NK5" s="1"/>
      <c r="NL5" s="1"/>
    </row>
    <row r="6" spans="1:376" x14ac:dyDescent="0.35">
      <c r="A6" s="2">
        <v>43349</v>
      </c>
      <c r="B6" s="15" t="s">
        <v>90</v>
      </c>
      <c r="C6" s="15" t="s">
        <v>167</v>
      </c>
      <c r="D6" s="1">
        <v>5</v>
      </c>
      <c r="E6" s="3">
        <v>1</v>
      </c>
      <c r="F6" s="3">
        <v>4</v>
      </c>
      <c r="G6" s="3">
        <v>1</v>
      </c>
      <c r="H6" s="3">
        <v>2</v>
      </c>
      <c r="I6" s="3">
        <v>1</v>
      </c>
      <c r="J6" s="3">
        <v>1</v>
      </c>
      <c r="K6" s="18">
        <v>1</v>
      </c>
      <c r="L6" s="18">
        <v>1</v>
      </c>
      <c r="M6" s="18">
        <v>1</v>
      </c>
      <c r="N6" s="18">
        <v>1</v>
      </c>
      <c r="O6" s="18">
        <v>1</v>
      </c>
      <c r="P6" s="4">
        <v>1</v>
      </c>
      <c r="Q6" s="3">
        <v>70</v>
      </c>
      <c r="R6" s="3">
        <v>72</v>
      </c>
      <c r="S6" s="3">
        <v>61</v>
      </c>
      <c r="T6" s="3">
        <v>85</v>
      </c>
      <c r="U6" s="3">
        <v>125</v>
      </c>
      <c r="V6" s="3">
        <v>127</v>
      </c>
      <c r="W6" s="3">
        <v>111</v>
      </c>
      <c r="X6" s="3">
        <v>116</v>
      </c>
      <c r="Y6" s="3">
        <v>117</v>
      </c>
      <c r="Z6" s="3">
        <v>219</v>
      </c>
      <c r="AA6" s="3">
        <v>254</v>
      </c>
      <c r="AB6" s="3">
        <v>193</v>
      </c>
      <c r="AC6" s="3">
        <v>319</v>
      </c>
      <c r="AD6" s="3">
        <v>436</v>
      </c>
      <c r="AE6" s="3">
        <v>450</v>
      </c>
      <c r="AF6" s="3">
        <v>395</v>
      </c>
      <c r="AG6" s="3">
        <v>420</v>
      </c>
      <c r="AH6" s="3">
        <v>438</v>
      </c>
      <c r="AI6" s="4">
        <v>222</v>
      </c>
      <c r="AJ6" s="4">
        <v>401.67</v>
      </c>
      <c r="AK6" s="4">
        <v>417.67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f t="shared" ref="AX6:BC6" si="2">AL6+AL7+AL8+AL9</f>
        <v>0</v>
      </c>
      <c r="AY6" s="19">
        <f t="shared" si="2"/>
        <v>0</v>
      </c>
      <c r="AZ6" s="19">
        <f t="shared" si="2"/>
        <v>0</v>
      </c>
      <c r="BA6" s="19">
        <f t="shared" si="2"/>
        <v>0</v>
      </c>
      <c r="BB6" s="19">
        <f t="shared" si="2"/>
        <v>0</v>
      </c>
      <c r="BC6" s="19">
        <f t="shared" si="2"/>
        <v>0</v>
      </c>
      <c r="BD6" s="1">
        <f>AX6*3</f>
        <v>0</v>
      </c>
      <c r="BE6" s="1">
        <f t="shared" ref="BE6:BI6" si="3">AY6*3</f>
        <v>0</v>
      </c>
      <c r="BF6" s="1">
        <f t="shared" si="3"/>
        <v>0</v>
      </c>
      <c r="BG6" s="1">
        <f t="shared" si="3"/>
        <v>0</v>
      </c>
      <c r="BH6" s="1">
        <f t="shared" si="3"/>
        <v>0</v>
      </c>
      <c r="BI6" s="1">
        <f t="shared" si="3"/>
        <v>0</v>
      </c>
      <c r="BJ6" s="1">
        <f>AX6+AY6+AZ6</f>
        <v>0</v>
      </c>
      <c r="BK6" s="1">
        <f>BA6+BB6+BC6</f>
        <v>0</v>
      </c>
      <c r="BL6" s="1">
        <f>BJ6*3</f>
        <v>0</v>
      </c>
      <c r="BM6" s="1">
        <f>BK6*3</f>
        <v>0</v>
      </c>
      <c r="BN6" s="1">
        <f>BL6/3</f>
        <v>0</v>
      </c>
      <c r="BO6" s="1">
        <f>BM6/3</f>
        <v>0</v>
      </c>
      <c r="BP6" s="4">
        <v>222</v>
      </c>
      <c r="BQ6" s="4">
        <v>401.66666666666669</v>
      </c>
      <c r="BR6" s="4">
        <v>417.66666666666669</v>
      </c>
      <c r="BS6" s="4">
        <v>401.67</v>
      </c>
      <c r="BT6" s="4">
        <v>417.67</v>
      </c>
      <c r="BU6" s="4">
        <v>3.8</v>
      </c>
      <c r="BV6" s="3">
        <v>4</v>
      </c>
      <c r="BW6" s="3">
        <v>4</v>
      </c>
      <c r="BX6" s="3">
        <v>4</v>
      </c>
      <c r="BY6" s="3">
        <v>4</v>
      </c>
      <c r="BZ6" s="3">
        <v>3</v>
      </c>
      <c r="CA6" s="3">
        <v>3</v>
      </c>
      <c r="CB6" s="3">
        <v>3</v>
      </c>
      <c r="CC6" s="3">
        <v>3</v>
      </c>
      <c r="CD6" s="3">
        <v>3</v>
      </c>
      <c r="CE6" s="3">
        <v>3</v>
      </c>
      <c r="CF6" s="3">
        <v>3</v>
      </c>
      <c r="CG6" s="3">
        <v>3</v>
      </c>
      <c r="CH6" s="3">
        <v>1</v>
      </c>
      <c r="CI6" s="1">
        <v>7</v>
      </c>
      <c r="CJ6" s="1">
        <v>7</v>
      </c>
      <c r="CK6" s="1">
        <v>7</v>
      </c>
      <c r="CL6" s="1">
        <v>7</v>
      </c>
      <c r="CM6" s="1">
        <v>7</v>
      </c>
      <c r="CN6" s="1">
        <v>7</v>
      </c>
      <c r="CO6" s="1">
        <v>7</v>
      </c>
      <c r="CP6" s="1">
        <v>1</v>
      </c>
      <c r="CQ6" s="1">
        <v>6</v>
      </c>
      <c r="CR6" s="1">
        <v>6</v>
      </c>
      <c r="CS6" s="1">
        <v>6</v>
      </c>
      <c r="CT6" s="1">
        <v>7</v>
      </c>
      <c r="CU6" s="1">
        <v>6</v>
      </c>
      <c r="CV6" s="1">
        <v>6</v>
      </c>
      <c r="CW6" s="1">
        <v>6</v>
      </c>
      <c r="CX6" s="1">
        <v>7</v>
      </c>
      <c r="CY6" s="1">
        <v>7</v>
      </c>
      <c r="CZ6" s="1">
        <v>7</v>
      </c>
      <c r="DA6" s="1">
        <v>6</v>
      </c>
      <c r="DB6" s="1">
        <v>6</v>
      </c>
      <c r="DC6" s="1">
        <v>7</v>
      </c>
      <c r="DD6" s="1">
        <v>7</v>
      </c>
      <c r="DE6" s="1">
        <v>7</v>
      </c>
      <c r="DF6" s="1">
        <v>5</v>
      </c>
      <c r="DG6" s="1">
        <v>5</v>
      </c>
      <c r="DH6" s="1">
        <v>6</v>
      </c>
      <c r="DI6" s="1">
        <v>7</v>
      </c>
      <c r="DJ6" s="1">
        <v>7</v>
      </c>
      <c r="DK6" s="1">
        <v>3</v>
      </c>
      <c r="DL6" s="1">
        <v>6</v>
      </c>
      <c r="DM6" s="19">
        <v>5</v>
      </c>
      <c r="DN6" s="19">
        <v>7</v>
      </c>
      <c r="DO6" s="1">
        <v>7</v>
      </c>
      <c r="DP6" s="1">
        <v>7</v>
      </c>
      <c r="DQ6" s="1">
        <v>7</v>
      </c>
      <c r="DR6" s="1">
        <v>7</v>
      </c>
      <c r="DS6" s="1">
        <v>7</v>
      </c>
      <c r="DT6" s="1">
        <v>7</v>
      </c>
      <c r="DU6" s="27">
        <v>7</v>
      </c>
      <c r="DV6" s="27">
        <v>7</v>
      </c>
      <c r="DW6" s="27">
        <v>6</v>
      </c>
      <c r="DX6" s="27">
        <v>6</v>
      </c>
      <c r="DY6" s="27">
        <v>6</v>
      </c>
      <c r="DZ6" s="27">
        <v>1</v>
      </c>
      <c r="EA6" s="27">
        <v>1</v>
      </c>
      <c r="EB6" s="27">
        <v>5</v>
      </c>
      <c r="EC6" s="27">
        <v>7</v>
      </c>
      <c r="ED6" s="27">
        <v>1</v>
      </c>
      <c r="EE6" s="27">
        <v>4</v>
      </c>
      <c r="EF6" s="27">
        <v>4</v>
      </c>
      <c r="EG6" s="27">
        <v>7</v>
      </c>
      <c r="EH6" s="27">
        <v>7</v>
      </c>
      <c r="EI6" s="27">
        <v>7</v>
      </c>
      <c r="EJ6" s="27">
        <v>7</v>
      </c>
      <c r="EK6" s="27">
        <v>7</v>
      </c>
      <c r="EL6" s="27">
        <v>7</v>
      </c>
      <c r="EM6" s="27">
        <v>1</v>
      </c>
      <c r="EN6" s="27">
        <v>1</v>
      </c>
      <c r="EO6" s="27">
        <v>7</v>
      </c>
      <c r="EP6" s="27">
        <v>7</v>
      </c>
      <c r="EQ6" s="27">
        <v>7</v>
      </c>
      <c r="ER6" s="27">
        <v>7</v>
      </c>
      <c r="ES6" s="27">
        <v>7</v>
      </c>
      <c r="ET6" s="27">
        <v>4</v>
      </c>
      <c r="EU6" s="27">
        <v>4</v>
      </c>
      <c r="EV6" s="27">
        <v>18</v>
      </c>
      <c r="EW6" s="27">
        <v>1</v>
      </c>
      <c r="EY6" s="27">
        <v>1</v>
      </c>
      <c r="FA6" s="27">
        <v>1</v>
      </c>
      <c r="FB6" s="28" t="s">
        <v>774</v>
      </c>
      <c r="FC6" s="27">
        <v>0</v>
      </c>
      <c r="FD6" s="1">
        <v>4</v>
      </c>
      <c r="FE6" s="4">
        <v>6.32</v>
      </c>
      <c r="FF6" s="4">
        <v>6.31</v>
      </c>
      <c r="FG6" s="4">
        <v>7.88</v>
      </c>
      <c r="FH6" s="4">
        <v>6.83</v>
      </c>
      <c r="FI6" s="4">
        <v>6.63</v>
      </c>
      <c r="FJ6" s="23">
        <v>6.75</v>
      </c>
      <c r="FK6" s="4">
        <v>5.79</v>
      </c>
      <c r="FL6" s="4">
        <v>6.63</v>
      </c>
      <c r="FM6" s="4">
        <v>5.88</v>
      </c>
      <c r="FN6" s="4">
        <v>6.75</v>
      </c>
      <c r="FO6" s="4">
        <v>6.83</v>
      </c>
      <c r="FP6" s="4">
        <v>6.08</v>
      </c>
      <c r="FQ6" s="4">
        <v>3.5</v>
      </c>
      <c r="FR6" s="4">
        <v>1.75</v>
      </c>
      <c r="FS6" s="4">
        <v>5.75</v>
      </c>
      <c r="FT6" s="4">
        <v>6.25</v>
      </c>
      <c r="FU6" s="4">
        <v>2.75</v>
      </c>
      <c r="FV6" s="4">
        <v>5.5</v>
      </c>
      <c r="FW6" s="4">
        <v>5.75</v>
      </c>
      <c r="FX6" s="4">
        <v>4.75</v>
      </c>
      <c r="FY6" s="4">
        <v>6.25</v>
      </c>
      <c r="FZ6" s="4">
        <v>6</v>
      </c>
      <c r="GA6" s="4">
        <v>1.75</v>
      </c>
      <c r="GB6" s="4">
        <v>6.17</v>
      </c>
      <c r="GC6" s="4">
        <v>6.25</v>
      </c>
      <c r="GD6" s="4">
        <v>4.75</v>
      </c>
      <c r="GE6" s="26"/>
      <c r="GF6" s="26"/>
      <c r="GG6" s="4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S6" s="3"/>
      <c r="HU6" s="3"/>
      <c r="HX6" s="3"/>
      <c r="IA6" s="3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I6" s="4"/>
      <c r="JJ6" s="4"/>
      <c r="JK6" s="4"/>
      <c r="JL6" s="4"/>
      <c r="JM6" s="4"/>
      <c r="JN6" s="4"/>
      <c r="JO6" s="3"/>
      <c r="JP6" s="3"/>
      <c r="JQ6" s="4"/>
      <c r="JR6" s="5"/>
      <c r="JS6" s="5"/>
      <c r="JT6" s="8"/>
      <c r="JU6" s="8"/>
      <c r="JV6" s="8"/>
      <c r="JW6" s="8"/>
      <c r="JX6" s="8"/>
      <c r="JY6" s="8"/>
      <c r="JZ6" s="8"/>
      <c r="KA6" s="8"/>
      <c r="KB6" s="8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1"/>
      <c r="NL6" s="1"/>
    </row>
    <row r="7" spans="1:376" x14ac:dyDescent="0.35">
      <c r="A7" s="2">
        <v>43349</v>
      </c>
      <c r="B7" s="15" t="s">
        <v>90</v>
      </c>
      <c r="C7" s="15" t="s">
        <v>168</v>
      </c>
      <c r="D7" s="1">
        <v>6</v>
      </c>
      <c r="E7" s="3">
        <v>1</v>
      </c>
      <c r="F7" s="3">
        <v>4</v>
      </c>
      <c r="G7" s="3"/>
      <c r="H7" s="3">
        <v>2</v>
      </c>
      <c r="I7" s="3">
        <v>2</v>
      </c>
      <c r="J7" s="3"/>
      <c r="K7" s="18">
        <v>0</v>
      </c>
      <c r="L7" s="18">
        <v>1</v>
      </c>
      <c r="M7" s="18">
        <v>1</v>
      </c>
      <c r="N7" s="18">
        <v>1</v>
      </c>
      <c r="O7" s="18">
        <v>1</v>
      </c>
      <c r="P7" s="4">
        <v>0.8</v>
      </c>
      <c r="Q7" s="3">
        <v>46</v>
      </c>
      <c r="R7" s="3">
        <v>38</v>
      </c>
      <c r="S7" s="3">
        <v>30</v>
      </c>
      <c r="T7" s="3">
        <v>55</v>
      </c>
      <c r="U7" s="3">
        <v>80</v>
      </c>
      <c r="V7" s="3">
        <v>94</v>
      </c>
      <c r="W7" s="3">
        <v>72</v>
      </c>
      <c r="X7" s="3">
        <v>77</v>
      </c>
      <c r="Y7" s="3">
        <v>88</v>
      </c>
      <c r="Z7" s="3"/>
      <c r="AA7" s="3"/>
      <c r="AB7" s="3"/>
      <c r="AC7" s="3"/>
      <c r="AD7" s="3"/>
      <c r="AE7" s="3"/>
      <c r="AF7" s="3"/>
      <c r="AG7" s="3"/>
      <c r="AH7" s="3"/>
      <c r="AI7" s="4"/>
      <c r="AJ7" s="4"/>
      <c r="AK7" s="4"/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/>
      <c r="AY7"/>
      <c r="AZ7"/>
      <c r="BA7"/>
      <c r="BB7"/>
      <c r="BC7"/>
      <c r="BP7" s="4"/>
      <c r="BQ7" s="4"/>
      <c r="BR7" s="4"/>
      <c r="BS7" s="4"/>
      <c r="BT7" s="4"/>
      <c r="BU7" s="4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1">
        <v>7</v>
      </c>
      <c r="CJ7" s="1">
        <v>7</v>
      </c>
      <c r="CK7" s="1">
        <v>7</v>
      </c>
      <c r="CL7" s="1">
        <v>6</v>
      </c>
      <c r="CM7" s="1">
        <v>6</v>
      </c>
      <c r="CN7" s="1">
        <v>7</v>
      </c>
      <c r="CO7" s="1">
        <v>6</v>
      </c>
      <c r="CP7" s="1">
        <v>2</v>
      </c>
      <c r="CQ7" s="1">
        <v>7</v>
      </c>
      <c r="CR7" s="1">
        <v>7</v>
      </c>
      <c r="CS7" s="1">
        <v>7</v>
      </c>
      <c r="CT7" s="1">
        <v>6</v>
      </c>
      <c r="CU7" s="1">
        <v>6</v>
      </c>
      <c r="CV7" s="1">
        <v>3</v>
      </c>
      <c r="CW7" s="1">
        <v>7</v>
      </c>
      <c r="CX7" s="1">
        <v>7</v>
      </c>
      <c r="CY7" s="1">
        <v>7</v>
      </c>
      <c r="CZ7" s="1">
        <v>7</v>
      </c>
      <c r="DA7" s="1">
        <v>7</v>
      </c>
      <c r="DB7" s="1">
        <v>7</v>
      </c>
      <c r="DC7" s="1">
        <v>7</v>
      </c>
      <c r="DD7" s="1">
        <v>7</v>
      </c>
      <c r="DE7" s="1">
        <v>6</v>
      </c>
      <c r="DF7" s="1">
        <v>5</v>
      </c>
      <c r="DG7" s="1">
        <v>1</v>
      </c>
      <c r="DH7" s="1">
        <v>4</v>
      </c>
      <c r="DI7" s="1">
        <v>7</v>
      </c>
      <c r="DJ7" s="1">
        <v>7</v>
      </c>
      <c r="DK7" s="1">
        <v>7</v>
      </c>
      <c r="DL7" s="1">
        <v>7</v>
      </c>
      <c r="DM7" s="19">
        <v>7</v>
      </c>
      <c r="DN7" s="19">
        <v>7</v>
      </c>
      <c r="DO7" s="1">
        <v>5</v>
      </c>
      <c r="DP7" s="1">
        <v>7</v>
      </c>
      <c r="DQ7" s="1">
        <v>7</v>
      </c>
      <c r="DR7" s="1">
        <v>7</v>
      </c>
      <c r="DS7" s="1">
        <v>7</v>
      </c>
      <c r="DT7" s="1">
        <v>7</v>
      </c>
      <c r="DU7" s="27">
        <v>7</v>
      </c>
      <c r="DV7" s="27">
        <v>7</v>
      </c>
      <c r="DW7" s="27">
        <v>7</v>
      </c>
      <c r="DX7" s="27">
        <v>1</v>
      </c>
      <c r="DY7" s="27">
        <v>1</v>
      </c>
      <c r="DZ7" s="27">
        <v>1</v>
      </c>
      <c r="EA7" s="27">
        <v>1</v>
      </c>
      <c r="EB7" s="27">
        <v>7</v>
      </c>
      <c r="EC7" s="27">
        <v>7</v>
      </c>
      <c r="ED7" s="27">
        <v>4</v>
      </c>
      <c r="EE7" s="27">
        <v>7</v>
      </c>
      <c r="EF7" s="27">
        <v>7</v>
      </c>
      <c r="EG7" s="27">
        <v>4</v>
      </c>
      <c r="EH7" s="27">
        <v>7</v>
      </c>
      <c r="EI7" s="27">
        <v>7</v>
      </c>
      <c r="EJ7" s="27">
        <v>7</v>
      </c>
      <c r="EK7" s="27">
        <v>7</v>
      </c>
      <c r="EL7" s="27">
        <v>7</v>
      </c>
      <c r="EM7" s="27">
        <v>1</v>
      </c>
      <c r="EN7" s="27">
        <v>1</v>
      </c>
      <c r="EO7" s="27">
        <v>7</v>
      </c>
      <c r="EP7" s="27">
        <v>7</v>
      </c>
      <c r="EQ7" s="27">
        <v>4</v>
      </c>
      <c r="ER7" s="27">
        <v>7</v>
      </c>
      <c r="ES7" s="27">
        <v>7</v>
      </c>
      <c r="ET7" s="27">
        <v>4</v>
      </c>
      <c r="EU7" s="27">
        <v>4</v>
      </c>
      <c r="EV7" s="27">
        <v>20</v>
      </c>
      <c r="EW7" s="27">
        <v>2</v>
      </c>
      <c r="EY7" s="27">
        <v>1</v>
      </c>
      <c r="FA7" s="27">
        <v>3</v>
      </c>
      <c r="FB7" s="28" t="s">
        <v>775</v>
      </c>
      <c r="FC7" s="27">
        <v>1</v>
      </c>
      <c r="FD7" s="1">
        <v>3</v>
      </c>
      <c r="FE7" s="4"/>
      <c r="FF7" s="4"/>
      <c r="FG7" s="4"/>
      <c r="FH7" s="4"/>
      <c r="FI7" s="4"/>
      <c r="FJ7" s="23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26"/>
      <c r="GF7" s="26"/>
      <c r="GG7" s="4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S7" s="3"/>
      <c r="HU7" s="3"/>
      <c r="HX7" s="3"/>
      <c r="IA7" s="3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I7" s="4"/>
      <c r="JJ7" s="4"/>
      <c r="JK7" s="4"/>
      <c r="JL7" s="4"/>
      <c r="JM7" s="4"/>
      <c r="JN7" s="4"/>
      <c r="JO7" s="6"/>
      <c r="JP7" s="6"/>
      <c r="JQ7" s="6"/>
      <c r="JR7" s="6"/>
      <c r="JS7" s="6"/>
      <c r="JT7" s="8"/>
      <c r="JU7" s="8"/>
      <c r="JV7" s="8"/>
      <c r="JW7" s="8"/>
      <c r="JX7" s="8"/>
      <c r="JY7" s="8"/>
      <c r="JZ7" s="8"/>
      <c r="KA7" s="8"/>
      <c r="KB7" s="8"/>
      <c r="KC7" s="6"/>
      <c r="KD7" s="6"/>
      <c r="KE7" s="6"/>
      <c r="KF7" s="6"/>
      <c r="KG7" s="6"/>
      <c r="KH7" s="6"/>
      <c r="KI7" s="6"/>
      <c r="KJ7" s="6"/>
      <c r="KK7" s="6"/>
      <c r="KL7" s="4"/>
      <c r="KM7" s="4"/>
      <c r="KN7" s="6"/>
      <c r="KO7" s="4"/>
      <c r="KP7" s="4"/>
      <c r="KQ7" s="6"/>
      <c r="KR7" s="6"/>
      <c r="KS7" s="4"/>
      <c r="KU7" s="4"/>
      <c r="KV7" s="4"/>
      <c r="KW7" s="4"/>
      <c r="KX7" s="6"/>
      <c r="KY7" s="6"/>
      <c r="KZ7" s="6"/>
      <c r="LA7" s="4"/>
      <c r="LB7" s="6"/>
      <c r="LC7" s="6"/>
      <c r="LD7" s="4"/>
      <c r="LE7" s="4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4"/>
      <c r="NK7" s="1"/>
      <c r="NL7" s="1"/>
    </row>
    <row r="8" spans="1:376" x14ac:dyDescent="0.35">
      <c r="A8" s="2">
        <v>43349</v>
      </c>
      <c r="B8" s="15" t="s">
        <v>90</v>
      </c>
      <c r="C8" s="15" t="s">
        <v>169</v>
      </c>
      <c r="D8" s="1">
        <v>7</v>
      </c>
      <c r="E8" s="3">
        <v>1</v>
      </c>
      <c r="F8" s="3">
        <v>4</v>
      </c>
      <c r="G8" s="3"/>
      <c r="H8" s="3">
        <v>2</v>
      </c>
      <c r="I8" s="3">
        <v>3</v>
      </c>
      <c r="J8" s="3"/>
      <c r="K8" s="18">
        <v>1</v>
      </c>
      <c r="L8" s="18">
        <v>1</v>
      </c>
      <c r="M8" s="18">
        <v>1</v>
      </c>
      <c r="N8" s="18">
        <v>0</v>
      </c>
      <c r="O8" s="18">
        <v>0</v>
      </c>
      <c r="P8" s="4">
        <v>0.6</v>
      </c>
      <c r="Q8" s="3">
        <v>60</v>
      </c>
      <c r="R8" s="3">
        <v>77</v>
      </c>
      <c r="S8" s="3">
        <v>51</v>
      </c>
      <c r="T8" s="3">
        <v>69</v>
      </c>
      <c r="U8" s="3">
        <v>78</v>
      </c>
      <c r="V8" s="3">
        <v>82</v>
      </c>
      <c r="W8" s="3">
        <v>88</v>
      </c>
      <c r="X8" s="3">
        <v>92</v>
      </c>
      <c r="Y8" s="3">
        <v>101</v>
      </c>
      <c r="Z8" s="3"/>
      <c r="AA8" s="3"/>
      <c r="AB8" s="3"/>
      <c r="AC8" s="3"/>
      <c r="AD8" s="3"/>
      <c r="AE8" s="3"/>
      <c r="AF8" s="3"/>
      <c r="AG8" s="3"/>
      <c r="AH8" s="3"/>
      <c r="AI8" s="4"/>
      <c r="AJ8" s="4"/>
      <c r="AK8" s="4"/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/>
      <c r="AY8"/>
      <c r="AZ8"/>
      <c r="BA8"/>
      <c r="BB8"/>
      <c r="BC8"/>
      <c r="BP8" s="4"/>
      <c r="BQ8" s="4"/>
      <c r="BR8" s="4"/>
      <c r="BS8" s="4"/>
      <c r="BT8" s="4"/>
      <c r="BU8" s="4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1">
        <v>7</v>
      </c>
      <c r="CJ8" s="1">
        <v>7</v>
      </c>
      <c r="CK8" s="1">
        <v>7</v>
      </c>
      <c r="CL8" s="1">
        <v>7</v>
      </c>
      <c r="CM8" s="1">
        <v>7</v>
      </c>
      <c r="CN8" s="1">
        <v>7</v>
      </c>
      <c r="CO8" s="1">
        <v>7</v>
      </c>
      <c r="CP8" s="1">
        <v>7</v>
      </c>
      <c r="CQ8" s="1">
        <v>7</v>
      </c>
      <c r="CR8" s="1">
        <v>7</v>
      </c>
      <c r="CS8" s="1">
        <v>7</v>
      </c>
      <c r="CT8" s="1">
        <v>1</v>
      </c>
      <c r="CU8" s="1">
        <v>7</v>
      </c>
      <c r="CV8" s="1">
        <v>7</v>
      </c>
      <c r="CW8" s="1">
        <v>7</v>
      </c>
      <c r="CX8" s="1">
        <v>7</v>
      </c>
      <c r="CY8" s="1">
        <v>7</v>
      </c>
      <c r="CZ8" s="1">
        <v>7</v>
      </c>
      <c r="DA8" s="1">
        <v>7</v>
      </c>
      <c r="DB8" s="1">
        <v>7</v>
      </c>
      <c r="DC8" s="1">
        <v>7</v>
      </c>
      <c r="DD8" s="1">
        <v>7</v>
      </c>
      <c r="DE8" s="1">
        <v>7</v>
      </c>
      <c r="DF8" s="1">
        <v>7</v>
      </c>
      <c r="DG8" s="1">
        <v>3</v>
      </c>
      <c r="DH8" s="1">
        <v>7</v>
      </c>
      <c r="DI8" s="1">
        <v>7</v>
      </c>
      <c r="DJ8" s="1">
        <v>6</v>
      </c>
      <c r="DK8" s="1">
        <v>4</v>
      </c>
      <c r="DL8" s="1">
        <v>7</v>
      </c>
      <c r="DM8" s="19">
        <v>7</v>
      </c>
      <c r="DN8" s="19">
        <v>7</v>
      </c>
      <c r="DO8" s="1">
        <v>6</v>
      </c>
      <c r="DP8" s="1">
        <v>7</v>
      </c>
      <c r="DQ8" s="1">
        <v>7</v>
      </c>
      <c r="DR8" s="1">
        <v>6</v>
      </c>
      <c r="DS8" s="1">
        <v>7</v>
      </c>
      <c r="DT8" s="1">
        <v>7</v>
      </c>
      <c r="DU8" s="27">
        <v>4</v>
      </c>
      <c r="DV8" s="27">
        <v>4</v>
      </c>
      <c r="DW8" s="27">
        <v>4</v>
      </c>
      <c r="DX8" s="27">
        <v>4</v>
      </c>
      <c r="DY8" s="27">
        <v>4</v>
      </c>
      <c r="DZ8" s="27">
        <v>4</v>
      </c>
      <c r="EA8" s="27">
        <v>4</v>
      </c>
      <c r="EB8" s="27">
        <v>4</v>
      </c>
      <c r="EC8" s="27">
        <v>4</v>
      </c>
      <c r="ED8" s="27">
        <v>4</v>
      </c>
      <c r="EE8" s="27">
        <v>4</v>
      </c>
      <c r="EF8" s="27">
        <v>6</v>
      </c>
      <c r="EG8" s="27">
        <v>4</v>
      </c>
      <c r="EH8" s="27">
        <v>4</v>
      </c>
      <c r="EI8" s="27">
        <v>4</v>
      </c>
      <c r="EJ8" s="27">
        <v>4</v>
      </c>
      <c r="EK8" s="27">
        <v>4</v>
      </c>
      <c r="EL8" s="27">
        <v>4</v>
      </c>
      <c r="EM8" s="27">
        <v>4</v>
      </c>
      <c r="EN8" s="27">
        <v>4</v>
      </c>
      <c r="EO8" s="27">
        <v>4</v>
      </c>
      <c r="EP8" s="27">
        <v>7</v>
      </c>
      <c r="EQ8" s="27">
        <v>7</v>
      </c>
      <c r="ER8" s="27">
        <v>4</v>
      </c>
      <c r="ES8" s="27">
        <v>4</v>
      </c>
      <c r="ET8" s="27">
        <v>7</v>
      </c>
      <c r="EU8" s="27">
        <v>7</v>
      </c>
      <c r="EV8" s="27">
        <v>19</v>
      </c>
      <c r="EW8" s="27">
        <v>2</v>
      </c>
      <c r="EY8" s="27">
        <v>2</v>
      </c>
      <c r="FA8" s="27">
        <v>2</v>
      </c>
      <c r="FB8" s="28" t="s">
        <v>776</v>
      </c>
      <c r="FC8" s="27">
        <v>1</v>
      </c>
      <c r="FD8" s="1">
        <v>6</v>
      </c>
      <c r="FE8" s="4"/>
      <c r="FF8" s="4"/>
      <c r="FG8" s="4"/>
      <c r="FH8" s="4"/>
      <c r="FI8" s="4"/>
      <c r="FJ8" s="23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26"/>
      <c r="GF8" s="26"/>
      <c r="GG8" s="4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S8" s="3"/>
      <c r="HU8" s="3"/>
      <c r="HX8" s="3"/>
      <c r="IA8" s="3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I8" s="4"/>
      <c r="JJ8" s="4"/>
      <c r="JK8" s="4"/>
      <c r="JL8" s="4"/>
      <c r="JM8" s="4"/>
      <c r="JN8" s="4"/>
      <c r="JO8" s="6"/>
      <c r="JP8" s="6"/>
      <c r="JQ8" s="6"/>
      <c r="JR8" s="6"/>
      <c r="JS8" s="6"/>
      <c r="JT8" s="8"/>
      <c r="JU8" s="8"/>
      <c r="JV8" s="8"/>
      <c r="JW8" s="8"/>
      <c r="JX8" s="8"/>
      <c r="JY8" s="8"/>
      <c r="JZ8" s="8"/>
      <c r="KA8" s="8"/>
      <c r="KB8" s="8"/>
      <c r="KC8" s="6"/>
      <c r="KD8" s="6"/>
      <c r="KE8" s="6"/>
      <c r="KF8" s="6"/>
      <c r="KG8" s="6"/>
      <c r="KH8" s="6"/>
      <c r="KI8" s="6"/>
      <c r="KJ8" s="6"/>
      <c r="KK8" s="6"/>
      <c r="KL8" s="4"/>
      <c r="KM8" s="4"/>
      <c r="KN8" s="6"/>
      <c r="KO8" s="4"/>
      <c r="KP8" s="4"/>
      <c r="KQ8" s="6"/>
      <c r="KR8" s="6"/>
      <c r="KS8" s="4"/>
      <c r="KU8" s="4"/>
      <c r="KV8" s="4"/>
      <c r="KW8" s="4"/>
      <c r="KX8" s="6"/>
      <c r="KY8" s="6"/>
      <c r="KZ8" s="6"/>
      <c r="LA8" s="4"/>
      <c r="LB8" s="6"/>
      <c r="LC8" s="6"/>
      <c r="LD8" s="4"/>
      <c r="LE8" s="4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4"/>
      <c r="NK8" s="1"/>
      <c r="NL8" s="1"/>
    </row>
    <row r="9" spans="1:376" x14ac:dyDescent="0.35">
      <c r="A9" s="2">
        <v>43349</v>
      </c>
      <c r="B9" s="15" t="s">
        <v>90</v>
      </c>
      <c r="C9" s="15" t="s">
        <v>170</v>
      </c>
      <c r="D9" s="1">
        <v>8</v>
      </c>
      <c r="E9" s="3">
        <v>1</v>
      </c>
      <c r="F9" s="3">
        <v>4</v>
      </c>
      <c r="G9" s="3"/>
      <c r="H9" s="3">
        <v>2</v>
      </c>
      <c r="I9" s="3">
        <v>4</v>
      </c>
      <c r="J9" s="3"/>
      <c r="K9" s="18">
        <v>1</v>
      </c>
      <c r="L9" s="18">
        <v>0</v>
      </c>
      <c r="M9" s="18">
        <v>1</v>
      </c>
      <c r="N9" s="18">
        <v>1</v>
      </c>
      <c r="O9" s="18">
        <v>0</v>
      </c>
      <c r="P9" s="4">
        <v>0.6</v>
      </c>
      <c r="Q9" s="3">
        <v>43</v>
      </c>
      <c r="R9" s="3">
        <v>67</v>
      </c>
      <c r="S9" s="3">
        <v>51</v>
      </c>
      <c r="T9" s="3">
        <v>110</v>
      </c>
      <c r="U9" s="3">
        <v>153</v>
      </c>
      <c r="V9" s="3">
        <v>147</v>
      </c>
      <c r="W9" s="3">
        <v>124</v>
      </c>
      <c r="X9" s="3">
        <v>135</v>
      </c>
      <c r="Y9" s="3">
        <v>132</v>
      </c>
      <c r="Z9" s="3"/>
      <c r="AA9" s="3"/>
      <c r="AB9" s="3"/>
      <c r="AC9" s="3"/>
      <c r="AD9" s="3"/>
      <c r="AE9" s="3"/>
      <c r="AF9" s="3"/>
      <c r="AG9" s="3"/>
      <c r="AH9" s="3"/>
      <c r="AI9" s="4"/>
      <c r="AJ9" s="4"/>
      <c r="AK9" s="4"/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/>
      <c r="AY9"/>
      <c r="AZ9"/>
      <c r="BA9"/>
      <c r="BB9"/>
      <c r="BC9"/>
      <c r="BP9" s="4"/>
      <c r="BQ9" s="4"/>
      <c r="BR9" s="4"/>
      <c r="BS9" s="4"/>
      <c r="BT9" s="4"/>
      <c r="BU9" s="4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1">
        <v>6</v>
      </c>
      <c r="CJ9" s="1">
        <v>7</v>
      </c>
      <c r="CK9" s="1">
        <v>7</v>
      </c>
      <c r="CL9" s="1">
        <v>6</v>
      </c>
      <c r="CM9" s="1">
        <v>2</v>
      </c>
      <c r="CN9" s="1">
        <v>3</v>
      </c>
      <c r="CO9" s="1">
        <v>2</v>
      </c>
      <c r="CP9" s="1">
        <v>1</v>
      </c>
      <c r="CQ9" s="1">
        <v>7</v>
      </c>
      <c r="CR9" s="1">
        <v>6</v>
      </c>
      <c r="CS9" s="1">
        <v>7</v>
      </c>
      <c r="CT9" s="1">
        <v>7</v>
      </c>
      <c r="CU9" s="1">
        <v>7</v>
      </c>
      <c r="CV9" s="1">
        <v>3</v>
      </c>
      <c r="CW9" s="1">
        <v>6</v>
      </c>
      <c r="CX9" s="1">
        <v>6</v>
      </c>
      <c r="CY9" s="1">
        <v>7</v>
      </c>
      <c r="CZ9" s="1">
        <v>7</v>
      </c>
      <c r="DA9" s="1">
        <v>7</v>
      </c>
      <c r="DB9" s="1">
        <v>7</v>
      </c>
      <c r="DC9" s="1">
        <v>6</v>
      </c>
      <c r="DD9" s="1">
        <v>5</v>
      </c>
      <c r="DE9" s="1">
        <v>7</v>
      </c>
      <c r="DF9" s="1">
        <v>7</v>
      </c>
      <c r="DG9" s="1">
        <v>6</v>
      </c>
      <c r="DH9" s="1">
        <v>7</v>
      </c>
      <c r="DI9" s="1">
        <v>7</v>
      </c>
      <c r="DJ9" s="1">
        <v>7</v>
      </c>
      <c r="DK9" s="1">
        <v>7</v>
      </c>
      <c r="DL9" s="1">
        <v>7</v>
      </c>
      <c r="DM9" s="19">
        <v>7</v>
      </c>
      <c r="DN9" s="19">
        <v>6</v>
      </c>
      <c r="DO9" s="1">
        <v>2</v>
      </c>
      <c r="DP9" s="1">
        <v>5</v>
      </c>
      <c r="DQ9" s="1">
        <v>7</v>
      </c>
      <c r="DR9" s="1">
        <v>6</v>
      </c>
      <c r="DS9" s="1">
        <v>7</v>
      </c>
      <c r="DT9" s="1">
        <v>7</v>
      </c>
      <c r="DU9" s="27">
        <v>7</v>
      </c>
      <c r="DV9" s="27">
        <v>7</v>
      </c>
      <c r="DW9" s="27">
        <v>6</v>
      </c>
      <c r="DX9" s="27">
        <v>4</v>
      </c>
      <c r="DY9" s="27">
        <v>2</v>
      </c>
      <c r="DZ9" s="27">
        <v>2</v>
      </c>
      <c r="EA9" s="27">
        <v>1</v>
      </c>
      <c r="EB9" s="27">
        <v>7</v>
      </c>
      <c r="EC9" s="27">
        <v>7</v>
      </c>
      <c r="ED9" s="27">
        <v>2</v>
      </c>
      <c r="EE9" s="27">
        <v>7</v>
      </c>
      <c r="EF9" s="27">
        <v>6</v>
      </c>
      <c r="EG9" s="27">
        <v>4</v>
      </c>
      <c r="EH9" s="27">
        <v>7</v>
      </c>
      <c r="EI9" s="27">
        <v>7</v>
      </c>
      <c r="EJ9" s="27">
        <v>7</v>
      </c>
      <c r="EK9" s="27">
        <v>4</v>
      </c>
      <c r="EL9" s="27">
        <v>7</v>
      </c>
      <c r="EM9" s="27">
        <v>1</v>
      </c>
      <c r="EN9" s="27">
        <v>1</v>
      </c>
      <c r="EO9" s="27">
        <v>6</v>
      </c>
      <c r="EP9" s="27">
        <v>6</v>
      </c>
      <c r="EQ9" s="27">
        <v>5</v>
      </c>
      <c r="ER9" s="27">
        <v>7</v>
      </c>
      <c r="ES9" s="27">
        <v>7</v>
      </c>
      <c r="ET9" s="27">
        <v>4</v>
      </c>
      <c r="EU9" s="27">
        <v>4</v>
      </c>
      <c r="EV9" s="27">
        <v>18</v>
      </c>
      <c r="EW9" s="27">
        <v>1</v>
      </c>
      <c r="EY9" s="27">
        <v>1</v>
      </c>
      <c r="FA9" s="27">
        <v>1</v>
      </c>
      <c r="FB9" s="28" t="s">
        <v>774</v>
      </c>
      <c r="FC9" s="27">
        <v>0</v>
      </c>
      <c r="FD9" s="1">
        <v>5</v>
      </c>
      <c r="FE9" s="4"/>
      <c r="FF9" s="4"/>
      <c r="FG9" s="4"/>
      <c r="FH9" s="4"/>
      <c r="FI9" s="4"/>
      <c r="FJ9" s="23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26"/>
      <c r="GF9" s="26"/>
      <c r="GG9" s="4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S9" s="3"/>
      <c r="HU9" s="3"/>
      <c r="HX9" s="3"/>
      <c r="IA9" s="3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I9" s="4"/>
      <c r="JJ9" s="4"/>
      <c r="JK9" s="4"/>
      <c r="JL9" s="4"/>
      <c r="JM9" s="4"/>
      <c r="JN9" s="4"/>
      <c r="JO9" s="6"/>
      <c r="JP9" s="6"/>
      <c r="JQ9" s="6"/>
      <c r="JR9" s="6"/>
      <c r="JS9" s="6"/>
      <c r="JT9" s="8"/>
      <c r="JU9" s="8"/>
      <c r="JV9" s="8"/>
      <c r="JW9" s="8"/>
      <c r="JX9" s="8"/>
      <c r="JY9" s="8"/>
      <c r="JZ9" s="8"/>
      <c r="KA9" s="8"/>
      <c r="KB9" s="8"/>
      <c r="KC9" s="6"/>
      <c r="KD9" s="6"/>
      <c r="KE9" s="6"/>
      <c r="KF9" s="6"/>
      <c r="KG9" s="6"/>
      <c r="KH9" s="6"/>
      <c r="KI9" s="6"/>
      <c r="KJ9" s="6"/>
      <c r="KK9" s="6"/>
      <c r="KL9" s="4"/>
      <c r="KM9" s="4"/>
      <c r="KN9" s="6"/>
      <c r="KO9" s="4"/>
      <c r="KP9" s="4"/>
      <c r="KQ9" s="6"/>
      <c r="KR9" s="6"/>
      <c r="KS9" s="4"/>
      <c r="KU9" s="4"/>
      <c r="KV9" s="4"/>
      <c r="KW9" s="4"/>
      <c r="KX9" s="6"/>
      <c r="KY9" s="6"/>
      <c r="KZ9" s="6"/>
      <c r="LA9" s="4"/>
      <c r="LB9" s="6"/>
      <c r="LC9" s="6"/>
      <c r="LD9" s="4"/>
      <c r="LE9" s="4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4"/>
      <c r="NK9" s="1"/>
      <c r="NL9" s="1"/>
    </row>
    <row r="10" spans="1:376" x14ac:dyDescent="0.35">
      <c r="A10" s="2">
        <v>43357</v>
      </c>
      <c r="B10" s="15" t="s">
        <v>91</v>
      </c>
      <c r="C10" s="15" t="s">
        <v>171</v>
      </c>
      <c r="D10" s="1">
        <v>9</v>
      </c>
      <c r="E10" s="3">
        <v>1</v>
      </c>
      <c r="F10" s="3">
        <v>4</v>
      </c>
      <c r="G10" s="3">
        <v>1</v>
      </c>
      <c r="H10" s="3">
        <v>3</v>
      </c>
      <c r="I10" s="3">
        <v>1</v>
      </c>
      <c r="J10" s="3">
        <v>1</v>
      </c>
      <c r="K10" s="18">
        <v>1</v>
      </c>
      <c r="L10" s="18">
        <v>1</v>
      </c>
      <c r="M10" s="18">
        <v>1</v>
      </c>
      <c r="N10" s="18">
        <v>1</v>
      </c>
      <c r="O10" s="18">
        <v>1</v>
      </c>
      <c r="P10" s="4">
        <v>1</v>
      </c>
      <c r="Q10" s="3">
        <v>67</v>
      </c>
      <c r="R10" s="3">
        <v>81</v>
      </c>
      <c r="S10" s="3">
        <v>111</v>
      </c>
      <c r="T10" s="3">
        <v>129</v>
      </c>
      <c r="U10" s="3">
        <v>136</v>
      </c>
      <c r="V10" s="3">
        <v>108</v>
      </c>
      <c r="W10" s="3">
        <v>114</v>
      </c>
      <c r="X10" s="3">
        <v>112</v>
      </c>
      <c r="Y10" s="3">
        <v>116</v>
      </c>
      <c r="Z10" s="3">
        <v>208</v>
      </c>
      <c r="AA10" s="3">
        <v>246</v>
      </c>
      <c r="AB10" s="3">
        <v>296</v>
      </c>
      <c r="AC10" s="3">
        <v>328</v>
      </c>
      <c r="AD10" s="3">
        <v>433</v>
      </c>
      <c r="AE10" s="3">
        <v>447</v>
      </c>
      <c r="AF10" s="3">
        <v>414</v>
      </c>
      <c r="AG10" s="3">
        <v>432</v>
      </c>
      <c r="AH10" s="3">
        <v>442</v>
      </c>
      <c r="AI10" s="4">
        <v>250</v>
      </c>
      <c r="AJ10" s="4">
        <v>402.67</v>
      </c>
      <c r="AK10" s="4">
        <v>429.33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f t="shared" ref="AX10:BC10" si="4">AL10+AL11+AL12+AL13</f>
        <v>0</v>
      </c>
      <c r="AY10" s="19">
        <f t="shared" si="4"/>
        <v>0</v>
      </c>
      <c r="AZ10" s="19">
        <f t="shared" si="4"/>
        <v>0</v>
      </c>
      <c r="BA10" s="19">
        <f t="shared" si="4"/>
        <v>0</v>
      </c>
      <c r="BB10" s="19">
        <f t="shared" si="4"/>
        <v>0</v>
      </c>
      <c r="BC10" s="19">
        <f t="shared" si="4"/>
        <v>0</v>
      </c>
      <c r="BD10" s="1">
        <f>AX10*3</f>
        <v>0</v>
      </c>
      <c r="BE10" s="1">
        <f t="shared" ref="BE10:BI10" si="5">AY10*3</f>
        <v>0</v>
      </c>
      <c r="BF10" s="1">
        <f t="shared" si="5"/>
        <v>0</v>
      </c>
      <c r="BG10" s="1">
        <f t="shared" si="5"/>
        <v>0</v>
      </c>
      <c r="BH10" s="1">
        <f t="shared" si="5"/>
        <v>0</v>
      </c>
      <c r="BI10" s="1">
        <f t="shared" si="5"/>
        <v>0</v>
      </c>
      <c r="BJ10" s="1">
        <f>AX10+AY10+AZ10</f>
        <v>0</v>
      </c>
      <c r="BK10" s="1">
        <f>BA10+BB10+BC10</f>
        <v>0</v>
      </c>
      <c r="BL10" s="1">
        <f>BJ10*3</f>
        <v>0</v>
      </c>
      <c r="BM10" s="1">
        <f>BK10*3</f>
        <v>0</v>
      </c>
      <c r="BN10" s="1">
        <f>BL10/3</f>
        <v>0</v>
      </c>
      <c r="BO10" s="1">
        <f>BM10/3</f>
        <v>0</v>
      </c>
      <c r="BP10" s="4">
        <v>250</v>
      </c>
      <c r="BQ10" s="4">
        <v>402.66666666666669</v>
      </c>
      <c r="BR10" s="4">
        <v>429.33333333333331</v>
      </c>
      <c r="BS10" s="4">
        <v>402.67</v>
      </c>
      <c r="BT10" s="4">
        <v>429.33</v>
      </c>
      <c r="BU10" s="4">
        <v>3.5</v>
      </c>
      <c r="BV10" s="3">
        <v>4</v>
      </c>
      <c r="BW10" s="3">
        <v>4</v>
      </c>
      <c r="BX10" s="3">
        <v>4</v>
      </c>
      <c r="BY10" s="3">
        <v>4</v>
      </c>
      <c r="BZ10" s="3">
        <v>2</v>
      </c>
      <c r="CA10" s="3">
        <v>2</v>
      </c>
      <c r="CB10" s="3">
        <v>2</v>
      </c>
      <c r="CC10" s="3">
        <v>2</v>
      </c>
      <c r="CD10" s="3">
        <v>2</v>
      </c>
      <c r="CE10" s="3">
        <v>2</v>
      </c>
      <c r="CF10" s="3">
        <v>2</v>
      </c>
      <c r="CG10" s="3">
        <v>2</v>
      </c>
      <c r="CH10" s="3">
        <v>1</v>
      </c>
      <c r="CI10" s="1">
        <v>7</v>
      </c>
      <c r="CJ10" s="1">
        <v>7</v>
      </c>
      <c r="CK10" s="1">
        <v>7</v>
      </c>
      <c r="CL10" s="1">
        <v>6</v>
      </c>
      <c r="CM10" s="1">
        <v>3</v>
      </c>
      <c r="CN10" s="1">
        <v>5</v>
      </c>
      <c r="CO10" s="1">
        <v>6</v>
      </c>
      <c r="CP10" s="1">
        <v>1</v>
      </c>
      <c r="CQ10" s="1">
        <v>7</v>
      </c>
      <c r="CR10" s="1">
        <v>7</v>
      </c>
      <c r="CS10" s="1">
        <v>7</v>
      </c>
      <c r="CT10" s="1">
        <v>7</v>
      </c>
      <c r="CU10" s="1">
        <v>7</v>
      </c>
      <c r="CV10" s="1">
        <v>6</v>
      </c>
      <c r="CW10" s="1">
        <v>7</v>
      </c>
      <c r="CX10" s="1">
        <v>6</v>
      </c>
      <c r="CY10" s="1">
        <v>7</v>
      </c>
      <c r="CZ10" s="1">
        <v>7</v>
      </c>
      <c r="DA10" s="1">
        <v>6</v>
      </c>
      <c r="DB10" s="1">
        <v>6</v>
      </c>
      <c r="DC10" s="1">
        <v>6</v>
      </c>
      <c r="DD10" s="1">
        <v>6</v>
      </c>
      <c r="DE10" s="1">
        <v>6</v>
      </c>
      <c r="DF10" s="1">
        <v>5</v>
      </c>
      <c r="DG10" s="1">
        <v>2</v>
      </c>
      <c r="DH10" s="1">
        <v>6</v>
      </c>
      <c r="DI10" s="1">
        <v>6</v>
      </c>
      <c r="DJ10" s="1">
        <v>6</v>
      </c>
      <c r="DK10" s="1">
        <v>6</v>
      </c>
      <c r="DL10" s="1">
        <v>5</v>
      </c>
      <c r="DM10" s="19">
        <v>5</v>
      </c>
      <c r="DN10" s="19">
        <v>4</v>
      </c>
      <c r="DO10" s="1">
        <v>3</v>
      </c>
      <c r="DP10" s="1">
        <v>7</v>
      </c>
      <c r="DQ10" s="1">
        <v>5</v>
      </c>
      <c r="DR10" s="1">
        <v>6</v>
      </c>
      <c r="DS10" s="1">
        <v>7</v>
      </c>
      <c r="DT10" s="1">
        <v>7</v>
      </c>
      <c r="DU10" s="27">
        <v>7</v>
      </c>
      <c r="DV10" s="27">
        <v>7</v>
      </c>
      <c r="DW10" s="27">
        <v>6</v>
      </c>
      <c r="DX10" s="27">
        <v>6</v>
      </c>
      <c r="DY10" s="27">
        <v>2</v>
      </c>
      <c r="DZ10" s="27">
        <v>3</v>
      </c>
      <c r="EA10" s="27">
        <v>1</v>
      </c>
      <c r="EB10" s="27">
        <v>5</v>
      </c>
      <c r="EC10" s="27">
        <v>5</v>
      </c>
      <c r="ED10" s="27">
        <v>2</v>
      </c>
      <c r="EE10" s="27">
        <v>6</v>
      </c>
      <c r="EF10" s="27">
        <v>3</v>
      </c>
      <c r="EG10" s="27">
        <v>5</v>
      </c>
      <c r="EH10" s="27">
        <v>7</v>
      </c>
      <c r="EI10" s="27">
        <v>7</v>
      </c>
      <c r="EJ10" s="27">
        <v>4</v>
      </c>
      <c r="EK10" s="27">
        <v>4</v>
      </c>
      <c r="EL10" s="27">
        <v>7</v>
      </c>
      <c r="EM10" s="27">
        <v>1</v>
      </c>
      <c r="EN10" s="27">
        <v>1</v>
      </c>
      <c r="EO10" s="27">
        <v>6</v>
      </c>
      <c r="EP10" s="27">
        <v>6</v>
      </c>
      <c r="EQ10" s="27">
        <v>4</v>
      </c>
      <c r="ER10" s="27">
        <v>7</v>
      </c>
      <c r="ES10" s="27">
        <v>6</v>
      </c>
      <c r="ET10" s="27">
        <v>4</v>
      </c>
      <c r="EU10" s="27">
        <v>4</v>
      </c>
      <c r="EV10" s="27">
        <v>19</v>
      </c>
      <c r="EW10" s="27">
        <v>1</v>
      </c>
      <c r="EY10" s="27">
        <v>1</v>
      </c>
      <c r="FA10" s="27">
        <v>1</v>
      </c>
      <c r="FB10" s="28" t="s">
        <v>777</v>
      </c>
      <c r="FC10" s="27">
        <v>0</v>
      </c>
      <c r="FD10" s="1">
        <v>5</v>
      </c>
      <c r="FE10" s="4">
        <v>6.11</v>
      </c>
      <c r="FF10" s="4">
        <v>6.94</v>
      </c>
      <c r="FG10" s="4">
        <v>7.88</v>
      </c>
      <c r="FH10" s="4">
        <v>6.67</v>
      </c>
      <c r="FI10" s="4">
        <v>6.63</v>
      </c>
      <c r="FJ10" s="23">
        <v>6.75</v>
      </c>
      <c r="FK10" s="4">
        <v>3.88</v>
      </c>
      <c r="FL10" s="4">
        <v>6.5</v>
      </c>
      <c r="FM10" s="4">
        <v>4.88</v>
      </c>
      <c r="FN10" s="4">
        <v>5.38</v>
      </c>
      <c r="FO10" s="4">
        <v>6.25</v>
      </c>
      <c r="FP10" s="4">
        <v>5.17</v>
      </c>
      <c r="FQ10" s="4">
        <v>5</v>
      </c>
      <c r="FR10" s="4">
        <v>1</v>
      </c>
      <c r="FS10" s="4">
        <v>2.75</v>
      </c>
      <c r="FT10" s="4">
        <v>6.25</v>
      </c>
      <c r="FU10" s="4">
        <v>1.5</v>
      </c>
      <c r="FV10" s="4">
        <v>4.75</v>
      </c>
      <c r="FW10" s="4">
        <v>3.25</v>
      </c>
      <c r="FX10" s="4">
        <v>5.5</v>
      </c>
      <c r="FY10" s="4">
        <v>6.88</v>
      </c>
      <c r="FZ10" s="4">
        <v>5.92</v>
      </c>
      <c r="GA10" s="4">
        <v>1.1299999999999999</v>
      </c>
      <c r="GB10" s="4">
        <v>5.75</v>
      </c>
      <c r="GC10" s="4">
        <v>6.5</v>
      </c>
      <c r="GD10" s="4">
        <v>4</v>
      </c>
      <c r="GE10" s="26"/>
      <c r="GF10" s="26"/>
      <c r="GG10" s="4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S10" s="3"/>
      <c r="HU10" s="3"/>
      <c r="HX10" s="3"/>
      <c r="IA10" s="3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I10" s="4"/>
      <c r="JJ10" s="4"/>
      <c r="JK10" s="4"/>
      <c r="JL10" s="4"/>
      <c r="JM10" s="4"/>
      <c r="JN10" s="4"/>
      <c r="JO10" s="3"/>
      <c r="JP10" s="3"/>
      <c r="JQ10" s="4"/>
      <c r="JR10" s="5"/>
      <c r="JS10" s="5"/>
      <c r="JT10" s="8"/>
      <c r="JU10" s="8"/>
      <c r="JV10" s="8"/>
      <c r="JW10" s="8"/>
      <c r="JX10" s="8"/>
      <c r="JY10" s="8"/>
      <c r="JZ10" s="8"/>
      <c r="KA10" s="8"/>
      <c r="KB10" s="8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1"/>
      <c r="NL10" s="1"/>
    </row>
    <row r="11" spans="1:376" x14ac:dyDescent="0.35">
      <c r="A11" s="2">
        <v>43357</v>
      </c>
      <c r="B11" s="15" t="s">
        <v>91</v>
      </c>
      <c r="C11" s="15" t="s">
        <v>172</v>
      </c>
      <c r="D11" s="1">
        <v>10</v>
      </c>
      <c r="E11" s="3">
        <v>1</v>
      </c>
      <c r="F11" s="3">
        <v>4</v>
      </c>
      <c r="G11" s="3"/>
      <c r="H11" s="3">
        <v>3</v>
      </c>
      <c r="I11" s="3">
        <v>2</v>
      </c>
      <c r="J11" s="3"/>
      <c r="K11" s="18">
        <v>1</v>
      </c>
      <c r="L11" s="18">
        <v>1</v>
      </c>
      <c r="M11" s="18">
        <v>1</v>
      </c>
      <c r="N11" s="18">
        <v>1</v>
      </c>
      <c r="O11" s="18">
        <v>0</v>
      </c>
      <c r="P11" s="4">
        <v>0.8</v>
      </c>
      <c r="Q11" s="3">
        <v>40</v>
      </c>
      <c r="R11" s="3">
        <v>41</v>
      </c>
      <c r="S11" s="3">
        <v>46</v>
      </c>
      <c r="T11" s="3">
        <v>105</v>
      </c>
      <c r="U11" s="3">
        <v>132</v>
      </c>
      <c r="V11" s="3">
        <v>123</v>
      </c>
      <c r="W11" s="3">
        <v>113</v>
      </c>
      <c r="X11" s="3">
        <v>107</v>
      </c>
      <c r="Y11" s="3">
        <v>115</v>
      </c>
      <c r="Z11" s="3"/>
      <c r="AA11" s="3"/>
      <c r="AB11" s="3"/>
      <c r="AC11" s="3"/>
      <c r="AD11" s="3"/>
      <c r="AE11" s="3"/>
      <c r="AF11" s="3"/>
      <c r="AG11" s="3"/>
      <c r="AH11" s="3"/>
      <c r="AI11" s="4"/>
      <c r="AJ11" s="4"/>
      <c r="AK11" s="4"/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/>
      <c r="AY11"/>
      <c r="AZ11"/>
      <c r="BA11"/>
      <c r="BB11"/>
      <c r="BC11"/>
      <c r="BP11" s="4"/>
      <c r="BQ11" s="4"/>
      <c r="BR11" s="4"/>
      <c r="BS11" s="4"/>
      <c r="BT11" s="4"/>
      <c r="BU11" s="4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1">
        <v>7</v>
      </c>
      <c r="CJ11" s="1">
        <v>7</v>
      </c>
      <c r="CK11" s="1">
        <v>6</v>
      </c>
      <c r="CL11" s="1">
        <v>6</v>
      </c>
      <c r="CM11" s="1">
        <v>6</v>
      </c>
      <c r="CN11" s="1">
        <v>7</v>
      </c>
      <c r="CO11" s="1">
        <v>7</v>
      </c>
      <c r="CP11" s="1">
        <v>1</v>
      </c>
      <c r="CQ11" s="1">
        <v>7</v>
      </c>
      <c r="CR11" s="1">
        <v>7</v>
      </c>
      <c r="CS11" s="1">
        <v>7</v>
      </c>
      <c r="CT11" s="1">
        <v>7</v>
      </c>
      <c r="CU11" s="1">
        <v>2</v>
      </c>
      <c r="CV11" s="1">
        <v>6</v>
      </c>
      <c r="CW11" s="1">
        <v>6</v>
      </c>
      <c r="CX11" s="1">
        <v>7</v>
      </c>
      <c r="CY11" s="1">
        <v>7</v>
      </c>
      <c r="CZ11" s="1">
        <v>7</v>
      </c>
      <c r="DA11" s="1">
        <v>7</v>
      </c>
      <c r="DB11" s="1">
        <v>7</v>
      </c>
      <c r="DC11" s="1">
        <v>7</v>
      </c>
      <c r="DD11" s="1">
        <v>7</v>
      </c>
      <c r="DE11" s="1">
        <v>7</v>
      </c>
      <c r="DF11" s="1">
        <v>4</v>
      </c>
      <c r="DG11" s="1">
        <v>2</v>
      </c>
      <c r="DH11" s="1">
        <v>1</v>
      </c>
      <c r="DI11" s="1">
        <v>6</v>
      </c>
      <c r="DJ11" s="1">
        <v>1</v>
      </c>
      <c r="DK11" s="1">
        <v>2</v>
      </c>
      <c r="DL11" s="1">
        <v>7</v>
      </c>
      <c r="DM11" s="19">
        <v>7</v>
      </c>
      <c r="DN11" s="19">
        <v>5</v>
      </c>
      <c r="DO11" s="1">
        <v>2</v>
      </c>
      <c r="DP11" s="1">
        <v>1</v>
      </c>
      <c r="DQ11" s="1">
        <v>6</v>
      </c>
      <c r="DR11" s="1">
        <v>7</v>
      </c>
      <c r="DS11" s="1">
        <v>7</v>
      </c>
      <c r="DT11" s="1">
        <v>7</v>
      </c>
      <c r="DU11" s="27">
        <v>7</v>
      </c>
      <c r="DV11" s="27">
        <v>7</v>
      </c>
      <c r="DW11" s="27">
        <v>2</v>
      </c>
      <c r="DX11" s="27">
        <v>6</v>
      </c>
      <c r="DY11" s="27">
        <v>5</v>
      </c>
      <c r="DZ11" s="27">
        <v>4</v>
      </c>
      <c r="EA11" s="27">
        <v>1</v>
      </c>
      <c r="EB11" s="27">
        <v>1</v>
      </c>
      <c r="EC11" s="27">
        <v>6</v>
      </c>
      <c r="ED11" s="27">
        <v>1</v>
      </c>
      <c r="EE11" s="27">
        <v>5</v>
      </c>
      <c r="EF11" s="27">
        <v>2</v>
      </c>
      <c r="EG11" s="27">
        <v>6</v>
      </c>
      <c r="EH11" s="27">
        <v>7</v>
      </c>
      <c r="EI11" s="27">
        <v>7</v>
      </c>
      <c r="EJ11" s="27">
        <v>5</v>
      </c>
      <c r="EK11" s="27">
        <v>5</v>
      </c>
      <c r="EL11" s="27">
        <v>6</v>
      </c>
      <c r="EM11" s="27">
        <v>1</v>
      </c>
      <c r="EN11" s="27">
        <v>1</v>
      </c>
      <c r="EO11" s="27">
        <v>6</v>
      </c>
      <c r="EP11" s="27">
        <v>6</v>
      </c>
      <c r="EQ11" s="27">
        <v>5</v>
      </c>
      <c r="ER11" s="27">
        <v>6</v>
      </c>
      <c r="ES11" s="27">
        <v>6</v>
      </c>
      <c r="ET11" s="27">
        <v>4</v>
      </c>
      <c r="EU11" s="27">
        <v>4</v>
      </c>
      <c r="EV11" s="27">
        <v>19</v>
      </c>
      <c r="EW11" s="27">
        <v>2</v>
      </c>
      <c r="EY11" s="27">
        <v>1</v>
      </c>
      <c r="FA11" s="27">
        <v>2</v>
      </c>
      <c r="FB11" s="28" t="s">
        <v>778</v>
      </c>
      <c r="FC11" s="27">
        <v>1</v>
      </c>
      <c r="FD11" s="1">
        <v>9</v>
      </c>
      <c r="FE11" s="4"/>
      <c r="FF11" s="4"/>
      <c r="FG11" s="4"/>
      <c r="FH11" s="4"/>
      <c r="FI11" s="4"/>
      <c r="FJ11" s="23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26"/>
      <c r="GF11" s="26"/>
      <c r="GG11" s="4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S11" s="3"/>
      <c r="HU11" s="3"/>
      <c r="HX11" s="3"/>
      <c r="IA11" s="3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I11" s="4"/>
      <c r="JJ11" s="4"/>
      <c r="JK11" s="4"/>
      <c r="JL11" s="4"/>
      <c r="JM11" s="4"/>
      <c r="JN11" s="4"/>
      <c r="JO11" s="6"/>
      <c r="JP11" s="6"/>
      <c r="JQ11" s="6"/>
      <c r="JR11" s="6"/>
      <c r="JS11" s="6"/>
      <c r="JT11" s="8"/>
      <c r="JU11" s="8"/>
      <c r="JV11" s="8"/>
      <c r="JW11" s="8"/>
      <c r="JX11" s="8"/>
      <c r="JY11" s="8"/>
      <c r="JZ11" s="8"/>
      <c r="KA11" s="8"/>
      <c r="KB11" s="8"/>
      <c r="KC11" s="6"/>
      <c r="KD11" s="6"/>
      <c r="KE11" s="6"/>
      <c r="KF11" s="6"/>
      <c r="KG11" s="6"/>
      <c r="KH11" s="6"/>
      <c r="KI11" s="6"/>
      <c r="KJ11" s="6"/>
      <c r="KK11" s="6"/>
      <c r="KL11" s="4"/>
      <c r="KM11" s="4"/>
      <c r="KN11" s="6"/>
      <c r="KO11" s="4"/>
      <c r="KP11" s="4"/>
      <c r="KQ11" s="6"/>
      <c r="KR11" s="6"/>
      <c r="KS11" s="4"/>
      <c r="KU11" s="4"/>
      <c r="KV11" s="4"/>
      <c r="KW11" s="4"/>
      <c r="KX11" s="6"/>
      <c r="KY11" s="6"/>
      <c r="KZ11" s="6"/>
      <c r="LA11" s="4"/>
      <c r="LB11" s="6"/>
      <c r="LC11" s="6"/>
      <c r="LD11" s="4"/>
      <c r="LE11" s="4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4"/>
      <c r="NK11" s="1"/>
      <c r="NL11" s="1"/>
    </row>
    <row r="12" spans="1:376" x14ac:dyDescent="0.35">
      <c r="A12" s="2">
        <v>43357</v>
      </c>
      <c r="B12" s="15" t="s">
        <v>91</v>
      </c>
      <c r="C12" s="15" t="s">
        <v>173</v>
      </c>
      <c r="D12" s="1">
        <v>11</v>
      </c>
      <c r="E12" s="3">
        <v>1</v>
      </c>
      <c r="F12" s="3">
        <v>4</v>
      </c>
      <c r="G12" s="3"/>
      <c r="H12" s="3">
        <v>3</v>
      </c>
      <c r="I12" s="3">
        <v>3</v>
      </c>
      <c r="J12" s="3"/>
      <c r="K12" s="18">
        <v>0</v>
      </c>
      <c r="L12" s="18">
        <v>1</v>
      </c>
      <c r="M12" s="18">
        <v>1</v>
      </c>
      <c r="N12" s="18">
        <v>1</v>
      </c>
      <c r="O12" s="18">
        <v>0</v>
      </c>
      <c r="P12" s="4">
        <v>0.6</v>
      </c>
      <c r="Q12" s="3">
        <v>70</v>
      </c>
      <c r="R12" s="3">
        <v>81</v>
      </c>
      <c r="S12" s="3">
        <v>90</v>
      </c>
      <c r="T12" s="3">
        <v>52</v>
      </c>
      <c r="U12" s="3">
        <v>91</v>
      </c>
      <c r="V12" s="3">
        <v>122</v>
      </c>
      <c r="W12" s="3">
        <v>108</v>
      </c>
      <c r="X12" s="3">
        <v>118</v>
      </c>
      <c r="Y12" s="3">
        <v>106</v>
      </c>
      <c r="Z12" s="3"/>
      <c r="AA12" s="3"/>
      <c r="AB12" s="3"/>
      <c r="AC12" s="3"/>
      <c r="AD12" s="3"/>
      <c r="AE12" s="3"/>
      <c r="AF12" s="3"/>
      <c r="AG12" s="3"/>
      <c r="AH12" s="3"/>
      <c r="AI12" s="4"/>
      <c r="AJ12" s="4"/>
      <c r="AK12" s="4"/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/>
      <c r="AY12"/>
      <c r="AZ12"/>
      <c r="BA12"/>
      <c r="BB12"/>
      <c r="BC12"/>
      <c r="BP12" s="4"/>
      <c r="BQ12" s="4"/>
      <c r="BR12" s="4"/>
      <c r="BS12" s="4"/>
      <c r="BT12" s="4"/>
      <c r="BU12" s="4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1">
        <v>6</v>
      </c>
      <c r="CJ12" s="1">
        <v>6</v>
      </c>
      <c r="CK12" s="1">
        <v>6</v>
      </c>
      <c r="CL12" s="1">
        <v>5</v>
      </c>
      <c r="CM12" s="1">
        <v>5</v>
      </c>
      <c r="CN12" s="1">
        <v>5</v>
      </c>
      <c r="CO12" s="1">
        <v>4</v>
      </c>
      <c r="CP12" s="1">
        <v>1</v>
      </c>
      <c r="CQ12" s="1">
        <v>7</v>
      </c>
      <c r="CR12" s="1">
        <v>7</v>
      </c>
      <c r="CS12" s="1">
        <v>7</v>
      </c>
      <c r="CT12" s="1">
        <v>7</v>
      </c>
      <c r="CU12" s="1">
        <v>7</v>
      </c>
      <c r="CV12" s="1">
        <v>7</v>
      </c>
      <c r="CW12" s="1">
        <v>7</v>
      </c>
      <c r="CX12" s="1">
        <v>7</v>
      </c>
      <c r="CY12" s="1">
        <v>6</v>
      </c>
      <c r="CZ12" s="1">
        <v>7</v>
      </c>
      <c r="DA12" s="1">
        <v>7</v>
      </c>
      <c r="DB12" s="1">
        <v>7</v>
      </c>
      <c r="DC12" s="1">
        <v>6</v>
      </c>
      <c r="DD12" s="1">
        <v>7</v>
      </c>
      <c r="DE12" s="1">
        <v>7</v>
      </c>
      <c r="DF12" s="1">
        <v>6</v>
      </c>
      <c r="DG12" s="1">
        <v>3</v>
      </c>
      <c r="DH12" s="1">
        <v>7</v>
      </c>
      <c r="DI12" s="1">
        <v>6</v>
      </c>
      <c r="DJ12" s="1">
        <v>6</v>
      </c>
      <c r="DK12" s="1">
        <v>6</v>
      </c>
      <c r="DL12" s="1">
        <v>7</v>
      </c>
      <c r="DM12" s="19">
        <v>7</v>
      </c>
      <c r="DN12" s="19">
        <v>6</v>
      </c>
      <c r="DO12" s="1">
        <v>7</v>
      </c>
      <c r="DP12" s="1">
        <v>6</v>
      </c>
      <c r="DQ12" s="1">
        <v>6</v>
      </c>
      <c r="DR12" s="1">
        <v>5</v>
      </c>
      <c r="DS12" s="1">
        <v>6</v>
      </c>
      <c r="DT12" s="1">
        <v>6</v>
      </c>
      <c r="DU12" s="27">
        <v>4</v>
      </c>
      <c r="DV12" s="27">
        <v>6</v>
      </c>
      <c r="DW12" s="27">
        <v>2</v>
      </c>
      <c r="DX12" s="27">
        <v>3</v>
      </c>
      <c r="DY12" s="27">
        <v>7</v>
      </c>
      <c r="DZ12" s="27">
        <v>2</v>
      </c>
      <c r="EA12" s="27">
        <v>1</v>
      </c>
      <c r="EB12" s="27">
        <v>3</v>
      </c>
      <c r="EC12" s="27">
        <v>7</v>
      </c>
      <c r="ED12" s="27">
        <v>1</v>
      </c>
      <c r="EE12" s="27">
        <v>5</v>
      </c>
      <c r="EF12" s="27">
        <v>1</v>
      </c>
      <c r="EG12" s="27">
        <v>7</v>
      </c>
      <c r="EH12" s="27">
        <v>6</v>
      </c>
      <c r="EI12" s="27">
        <v>7</v>
      </c>
      <c r="EJ12" s="27">
        <v>7</v>
      </c>
      <c r="EK12" s="27">
        <v>7</v>
      </c>
      <c r="EL12" s="27">
        <v>6</v>
      </c>
      <c r="EM12" s="27">
        <v>1</v>
      </c>
      <c r="EN12" s="27">
        <v>1</v>
      </c>
      <c r="EO12" s="27">
        <v>7</v>
      </c>
      <c r="EP12" s="27">
        <v>7</v>
      </c>
      <c r="EQ12" s="27">
        <v>7</v>
      </c>
      <c r="ER12" s="27">
        <v>6</v>
      </c>
      <c r="ES12" s="27">
        <v>7</v>
      </c>
      <c r="ET12" s="27">
        <v>4</v>
      </c>
      <c r="EU12" s="27">
        <v>4</v>
      </c>
      <c r="EV12" s="27">
        <v>19</v>
      </c>
      <c r="EW12" s="27">
        <v>2</v>
      </c>
      <c r="EY12" s="27">
        <v>2</v>
      </c>
      <c r="FA12" s="27">
        <v>2</v>
      </c>
      <c r="FB12" s="28" t="s">
        <v>779</v>
      </c>
      <c r="FC12" s="27">
        <v>1</v>
      </c>
      <c r="FD12" s="1">
        <v>3</v>
      </c>
      <c r="FE12" s="4"/>
      <c r="FF12" s="4"/>
      <c r="FG12" s="4"/>
      <c r="FH12" s="4"/>
      <c r="FI12" s="4"/>
      <c r="FJ12" s="23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26"/>
      <c r="GF12" s="26"/>
      <c r="GG12" s="4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S12" s="3"/>
      <c r="HU12" s="3"/>
      <c r="HX12" s="3"/>
      <c r="IA12" s="3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I12" s="4"/>
      <c r="JJ12" s="4"/>
      <c r="JK12" s="4"/>
      <c r="JL12" s="4"/>
      <c r="JM12" s="4"/>
      <c r="JN12" s="4"/>
      <c r="JO12" s="6"/>
      <c r="JP12" s="6"/>
      <c r="JQ12" s="6"/>
      <c r="JR12" s="6"/>
      <c r="JS12" s="6"/>
      <c r="JT12" s="8"/>
      <c r="JU12" s="8"/>
      <c r="JV12" s="8"/>
      <c r="JW12" s="8"/>
      <c r="JX12" s="8"/>
      <c r="JY12" s="8"/>
      <c r="JZ12" s="8"/>
      <c r="KA12" s="8"/>
      <c r="KB12" s="8"/>
      <c r="KC12" s="6"/>
      <c r="KD12" s="6"/>
      <c r="KE12" s="6"/>
      <c r="KF12" s="6"/>
      <c r="KG12" s="6"/>
      <c r="KH12" s="6"/>
      <c r="KI12" s="6"/>
      <c r="KJ12" s="6"/>
      <c r="KK12" s="6"/>
      <c r="KL12" s="4"/>
      <c r="KM12" s="4"/>
      <c r="KN12" s="6"/>
      <c r="KO12" s="4"/>
      <c r="KP12" s="4"/>
      <c r="KQ12" s="6"/>
      <c r="KR12" s="6"/>
      <c r="KS12" s="4"/>
      <c r="KU12" s="4"/>
      <c r="KV12" s="4"/>
      <c r="KW12" s="4"/>
      <c r="KX12" s="6"/>
      <c r="KY12" s="6"/>
      <c r="KZ12" s="6"/>
      <c r="LA12" s="4"/>
      <c r="LB12" s="6"/>
      <c r="LC12" s="6"/>
      <c r="LD12" s="4"/>
      <c r="LE12" s="4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4"/>
      <c r="NK12" s="1"/>
      <c r="NL12" s="1"/>
    </row>
    <row r="13" spans="1:376" x14ac:dyDescent="0.35">
      <c r="A13" s="2">
        <v>43357</v>
      </c>
      <c r="B13" s="15" t="s">
        <v>91</v>
      </c>
      <c r="C13" s="15" t="s">
        <v>174</v>
      </c>
      <c r="D13" s="1">
        <v>12</v>
      </c>
      <c r="E13" s="3">
        <v>1</v>
      </c>
      <c r="F13" s="3">
        <v>4</v>
      </c>
      <c r="G13" s="3"/>
      <c r="H13" s="3">
        <v>3</v>
      </c>
      <c r="I13" s="3">
        <v>4</v>
      </c>
      <c r="J13" s="3"/>
      <c r="K13" s="18">
        <v>0</v>
      </c>
      <c r="L13" s="18">
        <v>1</v>
      </c>
      <c r="M13" s="18">
        <v>1</v>
      </c>
      <c r="N13" s="18">
        <v>1</v>
      </c>
      <c r="O13" s="18">
        <v>0</v>
      </c>
      <c r="P13" s="4">
        <v>0.6</v>
      </c>
      <c r="Q13" s="3">
        <v>31</v>
      </c>
      <c r="R13" s="3">
        <v>43</v>
      </c>
      <c r="S13" s="3">
        <v>49</v>
      </c>
      <c r="T13" s="3">
        <v>42</v>
      </c>
      <c r="U13" s="3">
        <v>74</v>
      </c>
      <c r="V13" s="3">
        <v>94</v>
      </c>
      <c r="W13" s="3">
        <v>79</v>
      </c>
      <c r="X13" s="3">
        <v>95</v>
      </c>
      <c r="Y13" s="3">
        <v>105</v>
      </c>
      <c r="Z13" s="3"/>
      <c r="AA13" s="3"/>
      <c r="AB13" s="3"/>
      <c r="AC13" s="3"/>
      <c r="AD13" s="3"/>
      <c r="AE13" s="3"/>
      <c r="AF13" s="3"/>
      <c r="AG13" s="3"/>
      <c r="AH13" s="3"/>
      <c r="AI13" s="4"/>
      <c r="AJ13" s="4"/>
      <c r="AK13" s="4"/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/>
      <c r="AY13"/>
      <c r="AZ13"/>
      <c r="BA13"/>
      <c r="BB13"/>
      <c r="BC13"/>
      <c r="BP13" s="4"/>
      <c r="BQ13" s="4"/>
      <c r="BR13" s="4"/>
      <c r="BS13" s="4"/>
      <c r="BT13" s="4"/>
      <c r="BU13" s="4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1">
        <v>6</v>
      </c>
      <c r="CJ13" s="1">
        <v>7</v>
      </c>
      <c r="CK13" s="1">
        <v>7</v>
      </c>
      <c r="CL13" s="1">
        <v>7</v>
      </c>
      <c r="CM13" s="1">
        <v>7</v>
      </c>
      <c r="CN13" s="1">
        <v>7</v>
      </c>
      <c r="CO13" s="1">
        <v>6</v>
      </c>
      <c r="CP13" s="1">
        <v>1</v>
      </c>
      <c r="CQ13" s="1">
        <v>7</v>
      </c>
      <c r="CR13" s="1">
        <v>7</v>
      </c>
      <c r="CS13" s="1">
        <v>6</v>
      </c>
      <c r="CT13" s="1">
        <v>7</v>
      </c>
      <c r="CU13" s="1">
        <v>6</v>
      </c>
      <c r="CV13" s="1">
        <v>7</v>
      </c>
      <c r="CW13" s="1">
        <v>6</v>
      </c>
      <c r="CX13" s="1">
        <v>7</v>
      </c>
      <c r="CY13" s="1">
        <v>5</v>
      </c>
      <c r="CZ13" s="1">
        <v>7</v>
      </c>
      <c r="DA13" s="1">
        <v>6</v>
      </c>
      <c r="DB13" s="1">
        <v>6</v>
      </c>
      <c r="DC13" s="1">
        <v>7</v>
      </c>
      <c r="DD13" s="1">
        <v>7</v>
      </c>
      <c r="DE13" s="1">
        <v>7</v>
      </c>
      <c r="DF13" s="1">
        <v>2</v>
      </c>
      <c r="DG13" s="1">
        <v>1</v>
      </c>
      <c r="DH13" s="1">
        <v>1</v>
      </c>
      <c r="DI13" s="1">
        <v>1</v>
      </c>
      <c r="DJ13" s="1">
        <v>2</v>
      </c>
      <c r="DK13" s="1">
        <v>5</v>
      </c>
      <c r="DL13" s="1">
        <v>7</v>
      </c>
      <c r="DM13" s="19">
        <v>7</v>
      </c>
      <c r="DN13" s="19">
        <v>6</v>
      </c>
      <c r="DO13" s="1">
        <v>6</v>
      </c>
      <c r="DP13" s="1">
        <v>6</v>
      </c>
      <c r="DQ13" s="1">
        <v>6</v>
      </c>
      <c r="DR13" s="1">
        <v>7</v>
      </c>
      <c r="DS13" s="1">
        <v>5</v>
      </c>
      <c r="DT13" s="1">
        <v>5</v>
      </c>
      <c r="DU13" s="27">
        <v>7</v>
      </c>
      <c r="DV13" s="27">
        <v>6</v>
      </c>
      <c r="DW13" s="27">
        <v>1</v>
      </c>
      <c r="DX13" s="27">
        <v>5</v>
      </c>
      <c r="DY13" s="27">
        <v>6</v>
      </c>
      <c r="DZ13" s="27">
        <v>4</v>
      </c>
      <c r="EA13" s="27">
        <v>1</v>
      </c>
      <c r="EB13" s="27">
        <v>2</v>
      </c>
      <c r="EC13" s="27">
        <v>7</v>
      </c>
      <c r="ED13" s="27">
        <v>2</v>
      </c>
      <c r="EE13" s="27">
        <v>3</v>
      </c>
      <c r="EF13" s="27">
        <v>7</v>
      </c>
      <c r="EG13" s="27">
        <v>4</v>
      </c>
      <c r="EH13" s="27">
        <v>7</v>
      </c>
      <c r="EI13" s="27">
        <v>7</v>
      </c>
      <c r="EJ13" s="27">
        <v>6</v>
      </c>
      <c r="EK13" s="27">
        <v>7</v>
      </c>
      <c r="EL13" s="27">
        <v>7</v>
      </c>
      <c r="EM13" s="27">
        <v>2</v>
      </c>
      <c r="EN13" s="27">
        <v>1</v>
      </c>
      <c r="EO13" s="27">
        <v>5</v>
      </c>
      <c r="EP13" s="27">
        <v>6</v>
      </c>
      <c r="EQ13" s="27">
        <v>4</v>
      </c>
      <c r="ER13" s="27">
        <v>7</v>
      </c>
      <c r="ES13" s="27">
        <v>7</v>
      </c>
      <c r="ET13" s="27">
        <v>4</v>
      </c>
      <c r="EU13" s="27">
        <v>4</v>
      </c>
      <c r="EV13" s="27">
        <v>19</v>
      </c>
      <c r="EW13" s="27">
        <v>2</v>
      </c>
      <c r="EY13" s="27">
        <v>2</v>
      </c>
      <c r="FA13" s="27">
        <v>1</v>
      </c>
      <c r="FB13" s="28" t="s">
        <v>780</v>
      </c>
      <c r="FC13" s="27">
        <v>1</v>
      </c>
      <c r="FD13" s="1">
        <v>1</v>
      </c>
      <c r="FE13" s="4"/>
      <c r="FF13" s="4"/>
      <c r="FG13" s="4"/>
      <c r="FH13" s="4"/>
      <c r="FI13" s="4"/>
      <c r="FJ13" s="23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26"/>
      <c r="GF13" s="26"/>
      <c r="GG13" s="4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S13" s="3"/>
      <c r="HU13" s="3"/>
      <c r="HX13" s="3"/>
      <c r="IA13" s="3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I13" s="4"/>
      <c r="JJ13" s="4"/>
      <c r="JK13" s="4"/>
      <c r="JL13" s="4"/>
      <c r="JM13" s="4"/>
      <c r="JN13" s="4"/>
      <c r="JO13" s="6"/>
      <c r="JP13" s="6"/>
      <c r="JQ13" s="6"/>
      <c r="JR13" s="6"/>
      <c r="JS13" s="6"/>
      <c r="JT13" s="8"/>
      <c r="JU13" s="8"/>
      <c r="JV13" s="8"/>
      <c r="JW13" s="8"/>
      <c r="JX13" s="8"/>
      <c r="JY13" s="8"/>
      <c r="JZ13" s="8"/>
      <c r="KA13" s="8"/>
      <c r="KB13" s="8"/>
      <c r="KC13" s="6"/>
      <c r="KD13" s="6"/>
      <c r="KE13" s="6"/>
      <c r="KF13" s="6"/>
      <c r="KG13" s="6"/>
      <c r="KH13" s="6"/>
      <c r="KI13" s="6"/>
      <c r="KJ13" s="6"/>
      <c r="KK13" s="6"/>
      <c r="KL13" s="4"/>
      <c r="KM13" s="4"/>
      <c r="KN13" s="6"/>
      <c r="KO13" s="4"/>
      <c r="KP13" s="4"/>
      <c r="KQ13" s="6"/>
      <c r="KR13" s="6"/>
      <c r="KS13" s="4"/>
      <c r="KU13" s="4"/>
      <c r="KV13" s="4"/>
      <c r="KW13" s="4"/>
      <c r="KX13" s="6"/>
      <c r="KY13" s="6"/>
      <c r="KZ13" s="6"/>
      <c r="LA13" s="4"/>
      <c r="LB13" s="6"/>
      <c r="LC13" s="6"/>
      <c r="LD13" s="4"/>
      <c r="LE13" s="4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4"/>
      <c r="NK13" s="1"/>
      <c r="NL13" s="1"/>
    </row>
    <row r="14" spans="1:376" x14ac:dyDescent="0.35">
      <c r="A14" s="2">
        <v>43357</v>
      </c>
      <c r="B14" s="15" t="s">
        <v>92</v>
      </c>
      <c r="C14" s="15" t="s">
        <v>175</v>
      </c>
      <c r="D14" s="1">
        <v>13</v>
      </c>
      <c r="E14" s="3">
        <v>1</v>
      </c>
      <c r="F14" s="3">
        <v>4</v>
      </c>
      <c r="G14" s="3">
        <v>1</v>
      </c>
      <c r="H14" s="3">
        <v>4</v>
      </c>
      <c r="I14" s="3">
        <v>1</v>
      </c>
      <c r="J14" s="3">
        <v>1</v>
      </c>
      <c r="K14" s="18">
        <v>0</v>
      </c>
      <c r="L14" s="18">
        <v>1</v>
      </c>
      <c r="M14" s="18">
        <v>0</v>
      </c>
      <c r="N14" s="18">
        <v>1</v>
      </c>
      <c r="O14" s="18">
        <v>0</v>
      </c>
      <c r="P14" s="4">
        <v>0.4</v>
      </c>
      <c r="Q14" s="3">
        <v>92</v>
      </c>
      <c r="R14" s="3">
        <v>63</v>
      </c>
      <c r="S14" s="3">
        <v>59</v>
      </c>
      <c r="T14" s="3">
        <v>102</v>
      </c>
      <c r="U14" s="3">
        <v>118</v>
      </c>
      <c r="V14" s="3">
        <v>89</v>
      </c>
      <c r="W14" s="3">
        <v>96</v>
      </c>
      <c r="X14" s="3">
        <v>66</v>
      </c>
      <c r="Y14" s="3">
        <v>71</v>
      </c>
      <c r="Z14" s="3">
        <v>253</v>
      </c>
      <c r="AA14" s="3">
        <v>220</v>
      </c>
      <c r="AB14" s="3">
        <v>227</v>
      </c>
      <c r="AC14" s="3">
        <v>363</v>
      </c>
      <c r="AD14" s="3">
        <v>387</v>
      </c>
      <c r="AE14" s="3">
        <v>376</v>
      </c>
      <c r="AF14" s="3">
        <v>340</v>
      </c>
      <c r="AG14" s="3">
        <v>288</v>
      </c>
      <c r="AH14" s="3">
        <v>300</v>
      </c>
      <c r="AI14" s="4">
        <v>233.33</v>
      </c>
      <c r="AJ14" s="4">
        <v>375.33</v>
      </c>
      <c r="AK14" s="4">
        <v>309.33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f t="shared" ref="AX14:BC14" si="6">AL14+AL15+AL16+AL17</f>
        <v>0</v>
      </c>
      <c r="AY14" s="19">
        <f t="shared" si="6"/>
        <v>0</v>
      </c>
      <c r="AZ14" s="19">
        <f t="shared" si="6"/>
        <v>0</v>
      </c>
      <c r="BA14" s="19">
        <f t="shared" si="6"/>
        <v>0</v>
      </c>
      <c r="BB14" s="19">
        <f t="shared" si="6"/>
        <v>0</v>
      </c>
      <c r="BC14" s="19">
        <f t="shared" si="6"/>
        <v>0</v>
      </c>
      <c r="BD14" s="1">
        <f>AX14*3</f>
        <v>0</v>
      </c>
      <c r="BE14" s="1">
        <f t="shared" ref="BE14:BI14" si="7">AY14*3</f>
        <v>0</v>
      </c>
      <c r="BF14" s="1">
        <f t="shared" si="7"/>
        <v>0</v>
      </c>
      <c r="BG14" s="1">
        <f t="shared" si="7"/>
        <v>0</v>
      </c>
      <c r="BH14" s="1">
        <f t="shared" si="7"/>
        <v>0</v>
      </c>
      <c r="BI14" s="1">
        <f t="shared" si="7"/>
        <v>0</v>
      </c>
      <c r="BJ14" s="1">
        <f>AX14+AY14+AZ14</f>
        <v>0</v>
      </c>
      <c r="BK14" s="1">
        <f>BA14+BB14+BC14</f>
        <v>0</v>
      </c>
      <c r="BL14" s="1">
        <f>BJ14*3</f>
        <v>0</v>
      </c>
      <c r="BM14" s="1">
        <f>BK14*3</f>
        <v>0</v>
      </c>
      <c r="BN14" s="1">
        <f>BL14/3</f>
        <v>0</v>
      </c>
      <c r="BO14" s="1">
        <f>BM14/3</f>
        <v>0</v>
      </c>
      <c r="BP14" s="4">
        <v>233.33333333333334</v>
      </c>
      <c r="BQ14" s="4">
        <v>375.33333333333331</v>
      </c>
      <c r="BR14" s="4">
        <v>309.33333333333331</v>
      </c>
      <c r="BS14" s="4">
        <v>375.33</v>
      </c>
      <c r="BT14" s="4">
        <v>309.33</v>
      </c>
      <c r="BU14" s="4">
        <v>4</v>
      </c>
      <c r="BV14" s="3">
        <v>1</v>
      </c>
      <c r="BW14" s="3">
        <v>1</v>
      </c>
      <c r="BX14" s="3">
        <v>1</v>
      </c>
      <c r="BY14" s="3">
        <v>1</v>
      </c>
      <c r="BZ14" s="3">
        <v>0</v>
      </c>
      <c r="CA14" s="3">
        <v>0</v>
      </c>
      <c r="CB14" s="3">
        <v>0</v>
      </c>
      <c r="CC14" s="3">
        <v>0</v>
      </c>
      <c r="CD14" s="3">
        <v>1</v>
      </c>
      <c r="CE14" s="3">
        <v>1</v>
      </c>
      <c r="CF14" s="3">
        <v>1</v>
      </c>
      <c r="CG14" s="3">
        <v>1</v>
      </c>
      <c r="CH14" s="3">
        <v>0</v>
      </c>
      <c r="CI14" s="1">
        <v>7</v>
      </c>
      <c r="CJ14" s="1">
        <v>7</v>
      </c>
      <c r="CK14" s="1">
        <v>7</v>
      </c>
      <c r="CL14" s="1">
        <v>6</v>
      </c>
      <c r="CM14" s="1">
        <v>7</v>
      </c>
      <c r="CN14" s="1">
        <v>7</v>
      </c>
      <c r="CO14" s="1">
        <v>6</v>
      </c>
      <c r="CP14" s="1">
        <v>1</v>
      </c>
      <c r="CQ14" s="1">
        <v>7</v>
      </c>
      <c r="CR14" s="1">
        <v>7</v>
      </c>
      <c r="CS14" s="1">
        <v>7</v>
      </c>
      <c r="CT14" s="1">
        <v>7</v>
      </c>
      <c r="CU14" s="1">
        <v>6</v>
      </c>
      <c r="CV14" s="1">
        <v>7</v>
      </c>
      <c r="CW14" s="1">
        <v>6</v>
      </c>
      <c r="CX14" s="1">
        <v>6</v>
      </c>
      <c r="CY14" s="1">
        <v>7</v>
      </c>
      <c r="CZ14" s="1">
        <v>7</v>
      </c>
      <c r="DA14" s="1">
        <v>7</v>
      </c>
      <c r="DB14" s="1">
        <v>7</v>
      </c>
      <c r="DC14" s="1">
        <v>7</v>
      </c>
      <c r="DD14" s="1">
        <v>7</v>
      </c>
      <c r="DE14" s="1">
        <v>7</v>
      </c>
      <c r="DF14" s="1">
        <v>4</v>
      </c>
      <c r="DG14" s="1">
        <v>1</v>
      </c>
      <c r="DH14" s="1">
        <v>1</v>
      </c>
      <c r="DI14" s="1">
        <v>1</v>
      </c>
      <c r="DJ14" s="1">
        <v>7</v>
      </c>
      <c r="DK14" s="1">
        <v>2</v>
      </c>
      <c r="DL14" s="1">
        <v>6</v>
      </c>
      <c r="DM14" s="19">
        <v>7</v>
      </c>
      <c r="DN14" s="19">
        <v>1</v>
      </c>
      <c r="DO14" s="1">
        <v>6</v>
      </c>
      <c r="DP14" s="1">
        <v>7</v>
      </c>
      <c r="DQ14" s="1">
        <v>7</v>
      </c>
      <c r="DR14" s="1">
        <v>7</v>
      </c>
      <c r="DS14" s="1">
        <v>7</v>
      </c>
      <c r="DT14" s="1">
        <v>7</v>
      </c>
      <c r="DU14" s="27">
        <v>7</v>
      </c>
      <c r="DV14" s="27">
        <v>7</v>
      </c>
      <c r="DW14" s="27">
        <v>7</v>
      </c>
      <c r="DX14" s="27">
        <v>7</v>
      </c>
      <c r="DY14" s="27">
        <v>1</v>
      </c>
      <c r="DZ14" s="27">
        <v>1</v>
      </c>
      <c r="EA14" s="27">
        <v>1</v>
      </c>
      <c r="EB14" s="27">
        <v>1</v>
      </c>
      <c r="EC14" s="27">
        <v>7</v>
      </c>
      <c r="ED14" s="27">
        <v>7</v>
      </c>
      <c r="EE14" s="27">
        <v>7</v>
      </c>
      <c r="EF14" s="27">
        <v>7</v>
      </c>
      <c r="EG14" s="27">
        <v>7</v>
      </c>
      <c r="EH14" s="27">
        <v>7</v>
      </c>
      <c r="EI14" s="27">
        <v>7</v>
      </c>
      <c r="EJ14" s="27">
        <v>7</v>
      </c>
      <c r="EK14" s="27">
        <v>7</v>
      </c>
      <c r="EL14" s="27">
        <v>7</v>
      </c>
      <c r="EM14" s="27">
        <v>7</v>
      </c>
      <c r="EN14" s="27">
        <v>1</v>
      </c>
      <c r="EO14" s="27">
        <v>7</v>
      </c>
      <c r="EP14" s="27">
        <v>7</v>
      </c>
      <c r="EQ14" s="27">
        <v>7</v>
      </c>
      <c r="ER14" s="27">
        <v>7</v>
      </c>
      <c r="ES14" s="27">
        <v>7</v>
      </c>
      <c r="ET14" s="27">
        <v>7</v>
      </c>
      <c r="EU14" s="27">
        <v>7</v>
      </c>
      <c r="EV14" s="27">
        <v>19</v>
      </c>
      <c r="EW14" s="27">
        <v>2</v>
      </c>
      <c r="EY14" s="27">
        <v>9</v>
      </c>
      <c r="FA14" s="27">
        <v>2</v>
      </c>
      <c r="FB14" s="28" t="s">
        <v>781</v>
      </c>
      <c r="FC14" s="27">
        <v>1</v>
      </c>
      <c r="FD14" s="1">
        <v>5</v>
      </c>
      <c r="FE14" s="4">
        <v>6.29</v>
      </c>
      <c r="FF14" s="4">
        <v>6.69</v>
      </c>
      <c r="FG14" s="4">
        <v>7.69</v>
      </c>
      <c r="FH14" s="4">
        <v>7</v>
      </c>
      <c r="FI14" s="4">
        <v>6.5</v>
      </c>
      <c r="FJ14" s="23">
        <v>7</v>
      </c>
      <c r="FK14" s="4">
        <v>3.96</v>
      </c>
      <c r="FL14" s="4">
        <v>6.38</v>
      </c>
      <c r="FM14" s="4">
        <v>4.5</v>
      </c>
      <c r="FN14" s="4">
        <v>5.38</v>
      </c>
      <c r="FO14" s="4">
        <v>6.58</v>
      </c>
      <c r="FP14" s="4">
        <v>6</v>
      </c>
      <c r="FQ14" s="4">
        <v>3.13</v>
      </c>
      <c r="FR14" s="4">
        <v>1.25</v>
      </c>
      <c r="FS14" s="4">
        <v>3.25</v>
      </c>
      <c r="FT14" s="4">
        <v>5</v>
      </c>
      <c r="FU14" s="4">
        <v>5.25</v>
      </c>
      <c r="FV14" s="4">
        <v>4.5</v>
      </c>
      <c r="FW14" s="4">
        <v>4.25</v>
      </c>
      <c r="FX14" s="4">
        <v>3.75</v>
      </c>
      <c r="FY14" s="4">
        <v>6.75</v>
      </c>
      <c r="FZ14" s="4">
        <v>6</v>
      </c>
      <c r="GA14" s="4">
        <v>2.38</v>
      </c>
      <c r="GB14" s="4">
        <v>6.75</v>
      </c>
      <c r="GC14" s="4">
        <v>5.88</v>
      </c>
      <c r="GD14" s="4">
        <v>5.5</v>
      </c>
      <c r="GE14" s="26"/>
      <c r="GF14" s="26"/>
      <c r="GG14" s="4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S14" s="3"/>
      <c r="HU14" s="3"/>
      <c r="HX14" s="3"/>
      <c r="IA14" s="3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I14" s="4"/>
      <c r="JJ14" s="4"/>
      <c r="JK14" s="4"/>
      <c r="JL14" s="4"/>
      <c r="JM14" s="4"/>
      <c r="JN14" s="4"/>
      <c r="JO14" s="3"/>
      <c r="JP14" s="3"/>
      <c r="JQ14" s="4"/>
      <c r="JR14" s="5"/>
      <c r="JS14" s="5"/>
      <c r="JT14" s="8"/>
      <c r="JU14" s="8"/>
      <c r="JV14" s="8"/>
      <c r="JW14" s="8"/>
      <c r="JX14" s="8"/>
      <c r="JY14" s="8"/>
      <c r="JZ14" s="8"/>
      <c r="KA14" s="8"/>
      <c r="KB14" s="8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1"/>
      <c r="NL14" s="1"/>
    </row>
    <row r="15" spans="1:376" x14ac:dyDescent="0.35">
      <c r="A15" s="2">
        <v>43357</v>
      </c>
      <c r="B15" s="15" t="s">
        <v>92</v>
      </c>
      <c r="C15" s="15" t="s">
        <v>176</v>
      </c>
      <c r="D15" s="1">
        <v>14</v>
      </c>
      <c r="E15" s="3">
        <v>1</v>
      </c>
      <c r="F15" s="3">
        <v>4</v>
      </c>
      <c r="G15" s="3"/>
      <c r="H15" s="3">
        <v>4</v>
      </c>
      <c r="I15" s="3">
        <v>2</v>
      </c>
      <c r="J15" s="3"/>
      <c r="K15" s="18">
        <v>1</v>
      </c>
      <c r="L15" s="18">
        <v>1</v>
      </c>
      <c r="M15" s="18">
        <v>1</v>
      </c>
      <c r="N15" s="18">
        <v>1</v>
      </c>
      <c r="O15" s="18">
        <v>0</v>
      </c>
      <c r="P15" s="4">
        <v>0.8</v>
      </c>
      <c r="Q15" s="3">
        <v>83</v>
      </c>
      <c r="R15" s="3">
        <v>55</v>
      </c>
      <c r="S15" s="3">
        <v>59</v>
      </c>
      <c r="T15" s="3">
        <v>99</v>
      </c>
      <c r="U15" s="3">
        <v>113</v>
      </c>
      <c r="V15" s="3">
        <v>124</v>
      </c>
      <c r="W15" s="3">
        <v>110</v>
      </c>
      <c r="X15" s="3">
        <v>87</v>
      </c>
      <c r="Y15" s="3">
        <v>89</v>
      </c>
      <c r="Z15" s="3"/>
      <c r="AA15" s="3"/>
      <c r="AB15" s="3"/>
      <c r="AC15" s="3"/>
      <c r="AD15" s="3"/>
      <c r="AE15" s="3"/>
      <c r="AF15" s="3"/>
      <c r="AG15" s="3"/>
      <c r="AH15" s="3"/>
      <c r="AI15" s="4"/>
      <c r="AJ15" s="4"/>
      <c r="AK15" s="4"/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/>
      <c r="AY15"/>
      <c r="AZ15"/>
      <c r="BA15"/>
      <c r="BB15"/>
      <c r="BC15"/>
      <c r="BP15" s="4"/>
      <c r="BQ15" s="4"/>
      <c r="BR15" s="4"/>
      <c r="BS15" s="4"/>
      <c r="BT15" s="4"/>
      <c r="BU15" s="4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1">
        <v>7</v>
      </c>
      <c r="CJ15" s="1">
        <v>7</v>
      </c>
      <c r="CK15" s="1">
        <v>6</v>
      </c>
      <c r="CL15" s="1">
        <v>7</v>
      </c>
      <c r="CM15" s="1">
        <v>6</v>
      </c>
      <c r="CN15" s="1">
        <v>7</v>
      </c>
      <c r="CO15" s="1">
        <v>6</v>
      </c>
      <c r="CP15" s="1">
        <v>1</v>
      </c>
      <c r="CQ15" s="1">
        <v>7</v>
      </c>
      <c r="CR15" s="1">
        <v>7</v>
      </c>
      <c r="CS15" s="1">
        <v>7</v>
      </c>
      <c r="CT15" s="1">
        <v>7</v>
      </c>
      <c r="CU15" s="1">
        <v>7</v>
      </c>
      <c r="CV15" s="1">
        <v>5</v>
      </c>
      <c r="CW15" s="1">
        <v>7</v>
      </c>
      <c r="CX15" s="1">
        <v>7</v>
      </c>
      <c r="CY15" s="1">
        <v>7</v>
      </c>
      <c r="CZ15" s="1">
        <v>7</v>
      </c>
      <c r="DA15" s="1">
        <v>7</v>
      </c>
      <c r="DB15" s="1">
        <v>7</v>
      </c>
      <c r="DC15" s="1">
        <v>7</v>
      </c>
      <c r="DD15" s="1">
        <v>7</v>
      </c>
      <c r="DE15" s="1">
        <v>7</v>
      </c>
      <c r="DF15" s="1">
        <v>6</v>
      </c>
      <c r="DG15" s="1">
        <v>6</v>
      </c>
      <c r="DH15" s="1">
        <v>5</v>
      </c>
      <c r="DI15" s="1">
        <v>7</v>
      </c>
      <c r="DJ15" s="1">
        <v>6</v>
      </c>
      <c r="DK15" s="1">
        <v>6</v>
      </c>
      <c r="DL15" s="1">
        <v>7</v>
      </c>
      <c r="DM15" s="19">
        <v>7</v>
      </c>
      <c r="DN15" s="19">
        <v>7</v>
      </c>
      <c r="DO15" s="1">
        <v>6</v>
      </c>
      <c r="DP15" s="1">
        <v>7</v>
      </c>
      <c r="DQ15" s="1">
        <v>5</v>
      </c>
      <c r="DR15" s="1">
        <v>5</v>
      </c>
      <c r="DS15" s="1">
        <v>7</v>
      </c>
      <c r="DT15" s="1">
        <v>7</v>
      </c>
      <c r="DU15" s="27">
        <v>7</v>
      </c>
      <c r="DV15" s="27">
        <v>4</v>
      </c>
      <c r="DW15" s="27">
        <v>7</v>
      </c>
      <c r="DX15" s="27">
        <v>4</v>
      </c>
      <c r="DY15" s="27">
        <v>4</v>
      </c>
      <c r="DZ15" s="27">
        <v>2</v>
      </c>
      <c r="EA15" s="27">
        <v>2</v>
      </c>
      <c r="EB15" s="27">
        <v>4</v>
      </c>
      <c r="EC15" s="27">
        <v>4</v>
      </c>
      <c r="ED15" s="27">
        <v>4</v>
      </c>
      <c r="EE15" s="27">
        <v>7</v>
      </c>
      <c r="EF15" s="27">
        <v>4</v>
      </c>
      <c r="EG15" s="27">
        <v>4</v>
      </c>
      <c r="EH15" s="27">
        <v>7</v>
      </c>
      <c r="EI15" s="27">
        <v>7</v>
      </c>
      <c r="EJ15" s="27">
        <v>4</v>
      </c>
      <c r="EK15" s="27">
        <v>4</v>
      </c>
      <c r="EL15" s="27">
        <v>4</v>
      </c>
      <c r="EM15" s="27">
        <v>1</v>
      </c>
      <c r="EN15" s="27">
        <v>4</v>
      </c>
      <c r="EO15" s="27">
        <v>7</v>
      </c>
      <c r="EP15" s="27">
        <v>7</v>
      </c>
      <c r="EQ15" s="27">
        <v>7</v>
      </c>
      <c r="ER15" s="27">
        <v>4</v>
      </c>
      <c r="ES15" s="27">
        <v>4</v>
      </c>
      <c r="ET15" s="27">
        <v>7</v>
      </c>
      <c r="EU15" s="27">
        <v>7</v>
      </c>
      <c r="EV15" s="27">
        <v>19</v>
      </c>
      <c r="EW15" s="27">
        <v>1</v>
      </c>
      <c r="EY15" s="27">
        <v>1</v>
      </c>
      <c r="FA15" s="27">
        <v>1</v>
      </c>
      <c r="FB15" s="28" t="s">
        <v>782</v>
      </c>
      <c r="FC15" s="27">
        <v>1</v>
      </c>
      <c r="FD15" s="1">
        <v>3</v>
      </c>
      <c r="FE15" s="4"/>
      <c r="FF15" s="4"/>
      <c r="FG15" s="4"/>
      <c r="FH15" s="4"/>
      <c r="FI15" s="4"/>
      <c r="FJ15" s="23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26"/>
      <c r="GF15" s="26"/>
      <c r="GG15" s="4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S15" s="3"/>
      <c r="HU15" s="3"/>
      <c r="HX15" s="3"/>
      <c r="IA15" s="3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I15" s="4"/>
      <c r="JJ15" s="4"/>
      <c r="JK15" s="4"/>
      <c r="JL15" s="4"/>
      <c r="JM15" s="4"/>
      <c r="JN15" s="4"/>
      <c r="JO15" s="6"/>
      <c r="JP15" s="6"/>
      <c r="JQ15" s="6"/>
      <c r="JR15" s="6"/>
      <c r="JS15" s="6"/>
      <c r="JT15" s="8"/>
      <c r="JU15" s="8"/>
      <c r="JV15" s="8"/>
      <c r="JW15" s="8"/>
      <c r="JX15" s="8"/>
      <c r="JY15" s="8"/>
      <c r="JZ15" s="8"/>
      <c r="KA15" s="8"/>
      <c r="KB15" s="8"/>
      <c r="KC15" s="6"/>
      <c r="KD15" s="6"/>
      <c r="KE15" s="6"/>
      <c r="KF15" s="6"/>
      <c r="KG15" s="6"/>
      <c r="KH15" s="6"/>
      <c r="KI15" s="6"/>
      <c r="KJ15" s="6"/>
      <c r="KK15" s="6"/>
      <c r="KL15" s="4"/>
      <c r="KM15" s="4"/>
      <c r="KN15" s="6"/>
      <c r="KO15" s="4"/>
      <c r="KP15" s="4"/>
      <c r="KQ15" s="6"/>
      <c r="KR15" s="6"/>
      <c r="KS15" s="4"/>
      <c r="KU15" s="4"/>
      <c r="KV15" s="4"/>
      <c r="KW15" s="4"/>
      <c r="KX15" s="6"/>
      <c r="KY15" s="6"/>
      <c r="KZ15" s="6"/>
      <c r="LA15" s="4"/>
      <c r="LB15" s="6"/>
      <c r="LC15" s="6"/>
      <c r="LD15" s="4"/>
      <c r="LE15" s="4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4"/>
      <c r="NK15" s="1"/>
      <c r="NL15" s="1"/>
    </row>
    <row r="16" spans="1:376" x14ac:dyDescent="0.35">
      <c r="A16" s="2">
        <v>43357</v>
      </c>
      <c r="B16" s="15" t="s">
        <v>92</v>
      </c>
      <c r="C16" s="15" t="s">
        <v>177</v>
      </c>
      <c r="D16" s="1">
        <v>15</v>
      </c>
      <c r="E16" s="3">
        <v>1</v>
      </c>
      <c r="F16" s="3">
        <v>4</v>
      </c>
      <c r="G16" s="3"/>
      <c r="H16" s="3">
        <v>4</v>
      </c>
      <c r="I16" s="3">
        <v>3</v>
      </c>
      <c r="J16" s="3"/>
      <c r="K16" s="18">
        <v>1</v>
      </c>
      <c r="L16" s="18">
        <v>1</v>
      </c>
      <c r="M16" s="18">
        <v>1</v>
      </c>
      <c r="N16" s="18">
        <v>1</v>
      </c>
      <c r="O16" s="18">
        <v>0</v>
      </c>
      <c r="P16" s="4">
        <v>0.8</v>
      </c>
      <c r="Q16" s="3">
        <v>50</v>
      </c>
      <c r="R16" s="3">
        <v>54</v>
      </c>
      <c r="S16" s="3">
        <v>58</v>
      </c>
      <c r="T16" s="3">
        <v>74</v>
      </c>
      <c r="U16" s="3">
        <v>76</v>
      </c>
      <c r="V16" s="3">
        <v>86</v>
      </c>
      <c r="W16" s="3">
        <v>70</v>
      </c>
      <c r="X16" s="3">
        <v>81</v>
      </c>
      <c r="Y16" s="3">
        <v>74</v>
      </c>
      <c r="Z16" s="3"/>
      <c r="AA16" s="3"/>
      <c r="AB16" s="3"/>
      <c r="AC16" s="3"/>
      <c r="AD16" s="3"/>
      <c r="AE16" s="3"/>
      <c r="AF16" s="3"/>
      <c r="AG16" s="3"/>
      <c r="AH16" s="3"/>
      <c r="AI16" s="4"/>
      <c r="AJ16" s="4"/>
      <c r="AK16" s="4"/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/>
      <c r="AY16"/>
      <c r="AZ16"/>
      <c r="BA16"/>
      <c r="BB16"/>
      <c r="BC16"/>
      <c r="BP16" s="4"/>
      <c r="BQ16" s="4"/>
      <c r="BR16" s="4"/>
      <c r="BS16" s="4"/>
      <c r="BT16" s="4"/>
      <c r="BU16" s="4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1">
        <v>6</v>
      </c>
      <c r="CJ16" s="1">
        <v>6</v>
      </c>
      <c r="CK16" s="1">
        <v>6</v>
      </c>
      <c r="CL16" s="1">
        <v>6</v>
      </c>
      <c r="CM16" s="1">
        <v>4</v>
      </c>
      <c r="CN16" s="1">
        <v>5</v>
      </c>
      <c r="CO16" s="1">
        <v>4</v>
      </c>
      <c r="CP16" s="1">
        <v>2</v>
      </c>
      <c r="CQ16" s="1">
        <v>6</v>
      </c>
      <c r="CR16" s="1">
        <v>6</v>
      </c>
      <c r="CS16" s="1">
        <v>6</v>
      </c>
      <c r="CT16" s="1">
        <v>6</v>
      </c>
      <c r="CU16" s="1">
        <v>6</v>
      </c>
      <c r="CV16" s="1">
        <v>6</v>
      </c>
      <c r="CW16" s="1">
        <v>6</v>
      </c>
      <c r="CX16" s="1">
        <v>2</v>
      </c>
      <c r="CY16" s="1">
        <v>6</v>
      </c>
      <c r="CZ16" s="1">
        <v>7</v>
      </c>
      <c r="DA16" s="1">
        <v>7</v>
      </c>
      <c r="DB16" s="1">
        <v>7</v>
      </c>
      <c r="DC16" s="1">
        <v>6</v>
      </c>
      <c r="DD16" s="1">
        <v>6</v>
      </c>
      <c r="DE16" s="1">
        <v>7</v>
      </c>
      <c r="DF16" s="1">
        <v>1</v>
      </c>
      <c r="DG16" s="1">
        <v>2</v>
      </c>
      <c r="DH16" s="1">
        <v>1</v>
      </c>
      <c r="DI16" s="1">
        <v>2</v>
      </c>
      <c r="DJ16" s="1">
        <v>1</v>
      </c>
      <c r="DK16" s="1">
        <v>2</v>
      </c>
      <c r="DL16" s="1">
        <v>6</v>
      </c>
      <c r="DM16" s="19">
        <v>6</v>
      </c>
      <c r="DN16" s="19">
        <v>2</v>
      </c>
      <c r="DO16" s="1">
        <v>2</v>
      </c>
      <c r="DP16" s="1">
        <v>2</v>
      </c>
      <c r="DQ16" s="1">
        <v>5</v>
      </c>
      <c r="DR16" s="1">
        <v>7</v>
      </c>
      <c r="DS16" s="1">
        <v>6</v>
      </c>
      <c r="DT16" s="1">
        <v>6</v>
      </c>
      <c r="DU16" s="27">
        <v>6</v>
      </c>
      <c r="DV16" s="27">
        <v>6</v>
      </c>
      <c r="DW16" s="27">
        <v>4</v>
      </c>
      <c r="DX16" s="27">
        <v>2</v>
      </c>
      <c r="DY16" s="27">
        <v>2</v>
      </c>
      <c r="DZ16" s="27">
        <v>2</v>
      </c>
      <c r="EA16" s="27">
        <v>1</v>
      </c>
      <c r="EB16" s="27">
        <v>2</v>
      </c>
      <c r="EC16" s="27">
        <v>2</v>
      </c>
      <c r="ED16" s="27">
        <v>6</v>
      </c>
      <c r="EE16" s="27">
        <v>2</v>
      </c>
      <c r="EF16" s="27">
        <v>2</v>
      </c>
      <c r="EG16" s="27">
        <v>2</v>
      </c>
      <c r="EH16" s="27">
        <v>6</v>
      </c>
      <c r="EI16" s="27">
        <v>6</v>
      </c>
      <c r="EJ16" s="27">
        <v>6</v>
      </c>
      <c r="EK16" s="27">
        <v>6</v>
      </c>
      <c r="EL16" s="27">
        <v>6</v>
      </c>
      <c r="EM16" s="27">
        <v>2</v>
      </c>
      <c r="EN16" s="27">
        <v>2</v>
      </c>
      <c r="EO16" s="27">
        <v>6</v>
      </c>
      <c r="EP16" s="27">
        <v>6</v>
      </c>
      <c r="EQ16" s="27">
        <v>6</v>
      </c>
      <c r="ER16" s="27">
        <v>6</v>
      </c>
      <c r="ES16" s="27">
        <v>6</v>
      </c>
      <c r="ET16" s="27">
        <v>4</v>
      </c>
      <c r="EU16" s="27">
        <v>4</v>
      </c>
      <c r="EV16" s="27">
        <v>18</v>
      </c>
      <c r="EW16" s="27">
        <v>2</v>
      </c>
      <c r="EY16" s="27">
        <v>2</v>
      </c>
      <c r="FA16" s="27">
        <v>1</v>
      </c>
      <c r="FB16" s="28" t="s">
        <v>783</v>
      </c>
      <c r="FC16" s="27">
        <v>0</v>
      </c>
      <c r="FD16" s="1">
        <v>9</v>
      </c>
      <c r="FE16" s="4"/>
      <c r="FF16" s="4"/>
      <c r="FG16" s="4"/>
      <c r="FH16" s="4"/>
      <c r="FI16" s="4"/>
      <c r="FJ16" s="23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26"/>
      <c r="GF16" s="26"/>
      <c r="GG16" s="4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S16" s="3"/>
      <c r="HU16" s="3"/>
      <c r="HX16" s="3"/>
      <c r="IA16" s="3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I16" s="4"/>
      <c r="JJ16" s="4"/>
      <c r="JK16" s="4"/>
      <c r="JL16" s="4"/>
      <c r="JM16" s="4"/>
      <c r="JN16" s="4"/>
      <c r="JO16" s="6"/>
      <c r="JP16" s="6"/>
      <c r="JQ16" s="6"/>
      <c r="JR16" s="6"/>
      <c r="JS16" s="6"/>
      <c r="JT16" s="8"/>
      <c r="JU16" s="8"/>
      <c r="JV16" s="8"/>
      <c r="JW16" s="8"/>
      <c r="JX16" s="8"/>
      <c r="JY16" s="8"/>
      <c r="JZ16" s="8"/>
      <c r="KA16" s="8"/>
      <c r="KB16" s="8"/>
      <c r="KC16" s="6"/>
      <c r="KD16" s="6"/>
      <c r="KE16" s="6"/>
      <c r="KF16" s="6"/>
      <c r="KG16" s="6"/>
      <c r="KH16" s="6"/>
      <c r="KI16" s="6"/>
      <c r="KJ16" s="6"/>
      <c r="KK16" s="6"/>
      <c r="KL16" s="4"/>
      <c r="KM16" s="4"/>
      <c r="KN16" s="6"/>
      <c r="KO16" s="4"/>
      <c r="KP16" s="4"/>
      <c r="KQ16" s="6"/>
      <c r="KR16" s="6"/>
      <c r="KS16" s="4"/>
      <c r="KU16" s="4"/>
      <c r="KV16" s="4"/>
      <c r="KW16" s="4"/>
      <c r="KX16" s="6"/>
      <c r="KY16" s="6"/>
      <c r="KZ16" s="6"/>
      <c r="LA16" s="4"/>
      <c r="LB16" s="6"/>
      <c r="LC16" s="6"/>
      <c r="LD16" s="4"/>
      <c r="LE16" s="4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4"/>
      <c r="NK16" s="1"/>
      <c r="NL16" s="1"/>
    </row>
    <row r="17" spans="1:374" s="1" customFormat="1" x14ac:dyDescent="0.35">
      <c r="A17" s="2">
        <v>43357</v>
      </c>
      <c r="B17" s="15" t="s">
        <v>92</v>
      </c>
      <c r="C17" s="15" t="s">
        <v>178</v>
      </c>
      <c r="D17" s="1">
        <v>16</v>
      </c>
      <c r="E17" s="3">
        <v>1</v>
      </c>
      <c r="F17" s="3">
        <v>4</v>
      </c>
      <c r="G17" s="3"/>
      <c r="H17" s="3">
        <v>4</v>
      </c>
      <c r="I17" s="3">
        <v>4</v>
      </c>
      <c r="J17" s="3"/>
      <c r="K17" s="18">
        <v>1</v>
      </c>
      <c r="L17" s="18">
        <v>1</v>
      </c>
      <c r="M17" s="18">
        <v>1</v>
      </c>
      <c r="N17" s="18">
        <v>1</v>
      </c>
      <c r="O17" s="18">
        <v>0</v>
      </c>
      <c r="P17" s="4">
        <v>0.8</v>
      </c>
      <c r="Q17" s="3">
        <v>28</v>
      </c>
      <c r="R17" s="3">
        <v>48</v>
      </c>
      <c r="S17" s="3">
        <v>51</v>
      </c>
      <c r="T17" s="3">
        <v>88</v>
      </c>
      <c r="U17" s="3">
        <v>80</v>
      </c>
      <c r="V17" s="3">
        <v>77</v>
      </c>
      <c r="W17" s="3">
        <v>64</v>
      </c>
      <c r="X17" s="3">
        <v>54</v>
      </c>
      <c r="Y17" s="3">
        <v>66</v>
      </c>
      <c r="Z17" s="3"/>
      <c r="AA17" s="3"/>
      <c r="AB17" s="3"/>
      <c r="AC17" s="3"/>
      <c r="AD17" s="3"/>
      <c r="AE17" s="3"/>
      <c r="AF17" s="3"/>
      <c r="AG17" s="3"/>
      <c r="AH17" s="3"/>
      <c r="AI17" s="4"/>
      <c r="AJ17" s="4"/>
      <c r="AK17" s="4"/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/>
      <c r="AY17"/>
      <c r="AZ17"/>
      <c r="BA17"/>
      <c r="BB17"/>
      <c r="BC17"/>
      <c r="BP17" s="4"/>
      <c r="BQ17" s="4"/>
      <c r="BR17" s="4"/>
      <c r="BS17" s="4"/>
      <c r="BT17" s="4"/>
      <c r="BU17" s="4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1">
        <v>7</v>
      </c>
      <c r="CJ17" s="1">
        <v>7</v>
      </c>
      <c r="CK17" s="1">
        <v>6</v>
      </c>
      <c r="CL17" s="1">
        <v>7</v>
      </c>
      <c r="CM17" s="1">
        <v>6</v>
      </c>
      <c r="CN17" s="1">
        <v>6</v>
      </c>
      <c r="CO17" s="1">
        <v>7</v>
      </c>
      <c r="CP17" s="1">
        <v>1</v>
      </c>
      <c r="CQ17" s="1">
        <v>6</v>
      </c>
      <c r="CR17" s="1">
        <v>7</v>
      </c>
      <c r="CS17" s="1">
        <v>7</v>
      </c>
      <c r="CT17" s="1">
        <v>7</v>
      </c>
      <c r="CU17" s="1">
        <v>6</v>
      </c>
      <c r="CV17" s="1">
        <v>7</v>
      </c>
      <c r="CW17" s="1">
        <v>7</v>
      </c>
      <c r="CX17" s="1">
        <v>7</v>
      </c>
      <c r="CY17" s="1">
        <v>5</v>
      </c>
      <c r="CZ17" s="1">
        <v>7</v>
      </c>
      <c r="DA17" s="1">
        <v>7</v>
      </c>
      <c r="DB17" s="1">
        <v>7</v>
      </c>
      <c r="DC17" s="1">
        <v>6</v>
      </c>
      <c r="DD17" s="1">
        <v>6</v>
      </c>
      <c r="DE17" s="1">
        <v>7</v>
      </c>
      <c r="DF17" s="1">
        <v>6</v>
      </c>
      <c r="DG17" s="1">
        <v>6</v>
      </c>
      <c r="DH17" s="1">
        <v>6</v>
      </c>
      <c r="DI17" s="1">
        <v>6</v>
      </c>
      <c r="DJ17" s="1">
        <v>4</v>
      </c>
      <c r="DK17" s="1">
        <v>6</v>
      </c>
      <c r="DL17" s="1">
        <v>6</v>
      </c>
      <c r="DM17" s="19">
        <v>6</v>
      </c>
      <c r="DN17" s="19">
        <v>6</v>
      </c>
      <c r="DO17" s="1">
        <v>6</v>
      </c>
      <c r="DP17" s="1">
        <v>4</v>
      </c>
      <c r="DQ17" s="1">
        <v>6</v>
      </c>
      <c r="DR17" s="1">
        <v>6</v>
      </c>
      <c r="DS17" s="1">
        <v>7</v>
      </c>
      <c r="DT17" s="1">
        <v>7</v>
      </c>
      <c r="DU17" s="27">
        <v>6</v>
      </c>
      <c r="DV17" s="27">
        <v>7</v>
      </c>
      <c r="DW17" s="27">
        <v>4</v>
      </c>
      <c r="DX17" s="27">
        <v>4</v>
      </c>
      <c r="DY17" s="27">
        <v>1</v>
      </c>
      <c r="DZ17" s="27">
        <v>4</v>
      </c>
      <c r="EA17" s="27">
        <v>1</v>
      </c>
      <c r="EB17" s="27">
        <v>6</v>
      </c>
      <c r="EC17" s="27">
        <v>7</v>
      </c>
      <c r="ED17" s="27">
        <v>4</v>
      </c>
      <c r="EE17" s="27">
        <v>2</v>
      </c>
      <c r="EF17" s="27">
        <v>4</v>
      </c>
      <c r="EG17" s="27">
        <v>2</v>
      </c>
      <c r="EH17" s="27">
        <v>7</v>
      </c>
      <c r="EI17" s="27">
        <v>7</v>
      </c>
      <c r="EJ17" s="27">
        <v>7</v>
      </c>
      <c r="EK17" s="27">
        <v>7</v>
      </c>
      <c r="EL17" s="27">
        <v>7</v>
      </c>
      <c r="EM17" s="27">
        <v>1</v>
      </c>
      <c r="EN17" s="27">
        <v>1</v>
      </c>
      <c r="EO17" s="27">
        <v>7</v>
      </c>
      <c r="EP17" s="27">
        <v>7</v>
      </c>
      <c r="EQ17" s="27">
        <v>7</v>
      </c>
      <c r="ER17" s="27">
        <v>6</v>
      </c>
      <c r="ES17" s="27">
        <v>7</v>
      </c>
      <c r="ET17" s="27">
        <v>4</v>
      </c>
      <c r="EU17" s="27">
        <v>4</v>
      </c>
      <c r="EV17" s="1">
        <v>18</v>
      </c>
      <c r="EW17" s="1">
        <v>2</v>
      </c>
      <c r="EY17" s="1">
        <v>2</v>
      </c>
      <c r="EZ17" s="9"/>
      <c r="FA17" s="1">
        <v>1</v>
      </c>
      <c r="FB17" s="9" t="s">
        <v>784</v>
      </c>
      <c r="FC17" s="1">
        <v>1</v>
      </c>
      <c r="FD17" s="1">
        <v>4</v>
      </c>
      <c r="FE17" s="4"/>
      <c r="FF17" s="4"/>
      <c r="FG17" s="4"/>
      <c r="FH17" s="4"/>
      <c r="FI17" s="4"/>
      <c r="FJ17" s="23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26"/>
      <c r="GF17" s="26"/>
      <c r="GG17" s="4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S17" s="3"/>
      <c r="HU17" s="3"/>
      <c r="HX17" s="3"/>
      <c r="IA17" s="3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6"/>
      <c r="JP17" s="6"/>
      <c r="JQ17" s="6"/>
      <c r="JR17" s="6"/>
      <c r="JS17" s="6"/>
      <c r="JT17" s="8"/>
      <c r="JU17" s="8"/>
      <c r="JV17" s="8"/>
      <c r="JW17" s="8"/>
      <c r="JX17" s="8"/>
      <c r="JY17" s="8"/>
      <c r="JZ17" s="8"/>
      <c r="KA17" s="8"/>
      <c r="KB17" s="8"/>
      <c r="KC17" s="6"/>
      <c r="KD17" s="6"/>
      <c r="KE17" s="6"/>
      <c r="KF17" s="6"/>
      <c r="KG17" s="6"/>
      <c r="KH17" s="6"/>
      <c r="KI17" s="6"/>
      <c r="KJ17" s="6"/>
      <c r="KK17" s="6"/>
      <c r="KL17" s="4"/>
      <c r="KM17" s="4"/>
      <c r="KN17" s="6"/>
      <c r="KO17" s="4"/>
      <c r="KP17" s="4"/>
      <c r="KQ17" s="6"/>
      <c r="KR17" s="6"/>
      <c r="KS17" s="4"/>
      <c r="KU17" s="4"/>
      <c r="KV17" s="4"/>
      <c r="KW17" s="4"/>
      <c r="KX17" s="6"/>
      <c r="KY17" s="6"/>
      <c r="KZ17" s="6"/>
      <c r="LA17" s="4"/>
      <c r="LB17" s="6"/>
      <c r="LC17" s="6"/>
      <c r="LD17" s="4"/>
      <c r="LE17" s="4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4"/>
    </row>
    <row r="18" spans="1:374" s="1" customFormat="1" x14ac:dyDescent="0.35">
      <c r="A18" s="2">
        <v>43361</v>
      </c>
      <c r="B18" s="15" t="s">
        <v>93</v>
      </c>
      <c r="C18" s="15" t="s">
        <v>179</v>
      </c>
      <c r="D18" s="1">
        <v>17</v>
      </c>
      <c r="E18" s="3">
        <v>1</v>
      </c>
      <c r="F18" s="3">
        <v>4</v>
      </c>
      <c r="G18" s="3">
        <v>1</v>
      </c>
      <c r="H18" s="3">
        <v>5</v>
      </c>
      <c r="I18" s="3">
        <v>1</v>
      </c>
      <c r="J18" s="3">
        <v>1</v>
      </c>
      <c r="K18" s="18">
        <v>0</v>
      </c>
      <c r="L18" s="18">
        <v>1</v>
      </c>
      <c r="M18" s="18">
        <v>0</v>
      </c>
      <c r="N18" s="18">
        <v>1</v>
      </c>
      <c r="O18" s="18">
        <v>0</v>
      </c>
      <c r="P18" s="4">
        <v>0.4</v>
      </c>
      <c r="Q18" s="3">
        <v>41</v>
      </c>
      <c r="R18" s="3">
        <v>28</v>
      </c>
      <c r="S18" s="3">
        <v>42</v>
      </c>
      <c r="T18" s="3">
        <v>107</v>
      </c>
      <c r="U18" s="3">
        <v>128</v>
      </c>
      <c r="V18" s="3">
        <v>122</v>
      </c>
      <c r="W18" s="3">
        <v>108</v>
      </c>
      <c r="X18" s="3">
        <v>117</v>
      </c>
      <c r="Y18" s="3">
        <v>120</v>
      </c>
      <c r="Z18" s="3">
        <v>214</v>
      </c>
      <c r="AA18" s="3">
        <v>216</v>
      </c>
      <c r="AB18" s="3">
        <v>198</v>
      </c>
      <c r="AC18" s="3">
        <v>383</v>
      </c>
      <c r="AD18" s="3">
        <v>436</v>
      </c>
      <c r="AE18" s="3">
        <v>451</v>
      </c>
      <c r="AF18" s="3">
        <v>392</v>
      </c>
      <c r="AG18" s="3">
        <v>425</v>
      </c>
      <c r="AH18" s="3">
        <v>427</v>
      </c>
      <c r="AI18" s="4">
        <v>209.33</v>
      </c>
      <c r="AJ18" s="4">
        <v>423.33</v>
      </c>
      <c r="AK18" s="4">
        <v>414.67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f t="shared" ref="AX18:BC18" si="8">AL18+AL19+AL20+AL21</f>
        <v>0</v>
      </c>
      <c r="AY18" s="19">
        <f t="shared" si="8"/>
        <v>0</v>
      </c>
      <c r="AZ18" s="19">
        <f t="shared" si="8"/>
        <v>0</v>
      </c>
      <c r="BA18" s="19">
        <f t="shared" si="8"/>
        <v>0</v>
      </c>
      <c r="BB18" s="19">
        <f t="shared" si="8"/>
        <v>0</v>
      </c>
      <c r="BC18" s="19">
        <f t="shared" si="8"/>
        <v>0</v>
      </c>
      <c r="BD18" s="1">
        <f>AX18*3</f>
        <v>0</v>
      </c>
      <c r="BE18" s="1">
        <f t="shared" ref="BE18:BI18" si="9">AY18*3</f>
        <v>0</v>
      </c>
      <c r="BF18" s="1">
        <f t="shared" si="9"/>
        <v>0</v>
      </c>
      <c r="BG18" s="1">
        <f t="shared" si="9"/>
        <v>0</v>
      </c>
      <c r="BH18" s="1">
        <f t="shared" si="9"/>
        <v>0</v>
      </c>
      <c r="BI18" s="1">
        <f t="shared" si="9"/>
        <v>0</v>
      </c>
      <c r="BJ18" s="1">
        <f>AX18+AY18+AZ18</f>
        <v>0</v>
      </c>
      <c r="BK18" s="1">
        <f>BA18+BB18+BC18</f>
        <v>0</v>
      </c>
      <c r="BL18" s="1">
        <f>BJ18*3</f>
        <v>0</v>
      </c>
      <c r="BM18" s="1">
        <f>BK18*3</f>
        <v>0</v>
      </c>
      <c r="BN18" s="1">
        <f>BL18/3</f>
        <v>0</v>
      </c>
      <c r="BO18" s="1">
        <f>BM18/3</f>
        <v>0</v>
      </c>
      <c r="BP18" s="4">
        <v>209.33333333333334</v>
      </c>
      <c r="BQ18" s="4">
        <v>423.33333333333331</v>
      </c>
      <c r="BR18" s="4">
        <v>414.66666666666669</v>
      </c>
      <c r="BS18" s="4">
        <v>423.33</v>
      </c>
      <c r="BT18" s="4">
        <v>414.67</v>
      </c>
      <c r="BU18" s="4">
        <v>3.67</v>
      </c>
      <c r="BV18" s="3">
        <v>2</v>
      </c>
      <c r="BW18" s="3">
        <v>2</v>
      </c>
      <c r="BX18" s="3">
        <v>2</v>
      </c>
      <c r="BY18" s="3">
        <v>2</v>
      </c>
      <c r="BZ18" s="3">
        <v>2</v>
      </c>
      <c r="CA18" s="3">
        <v>2</v>
      </c>
      <c r="CB18" s="3">
        <v>2</v>
      </c>
      <c r="CC18" s="3">
        <v>2</v>
      </c>
      <c r="CD18" s="3">
        <v>2</v>
      </c>
      <c r="CE18" s="3">
        <v>2</v>
      </c>
      <c r="CF18" s="3">
        <v>2</v>
      </c>
      <c r="CG18" s="3">
        <v>2</v>
      </c>
      <c r="CH18" s="3">
        <v>1</v>
      </c>
      <c r="CI18" s="1">
        <v>7</v>
      </c>
      <c r="CJ18" s="1">
        <v>7</v>
      </c>
      <c r="CK18" s="1">
        <v>7</v>
      </c>
      <c r="CL18" s="1">
        <v>6</v>
      </c>
      <c r="CM18" s="1">
        <v>7</v>
      </c>
      <c r="CN18" s="1">
        <v>6</v>
      </c>
      <c r="CO18" s="1">
        <v>5</v>
      </c>
      <c r="CP18" s="1">
        <v>1</v>
      </c>
      <c r="CQ18" s="1">
        <v>7</v>
      </c>
      <c r="CR18" s="1">
        <v>7</v>
      </c>
      <c r="CS18" s="1">
        <v>7</v>
      </c>
      <c r="CT18" s="1">
        <v>7</v>
      </c>
      <c r="CU18" s="1">
        <v>7</v>
      </c>
      <c r="CV18" s="1">
        <v>7</v>
      </c>
      <c r="CW18" s="1">
        <v>7</v>
      </c>
      <c r="CX18" s="1">
        <v>7</v>
      </c>
      <c r="CY18" s="1">
        <v>7</v>
      </c>
      <c r="CZ18" s="1">
        <v>7</v>
      </c>
      <c r="DA18" s="1">
        <v>7</v>
      </c>
      <c r="DB18" s="1">
        <v>7</v>
      </c>
      <c r="DC18" s="1">
        <v>7</v>
      </c>
      <c r="DD18" s="1">
        <v>7</v>
      </c>
      <c r="DE18" s="1">
        <v>7</v>
      </c>
      <c r="DF18" s="1">
        <v>5</v>
      </c>
      <c r="DG18" s="1">
        <v>1</v>
      </c>
      <c r="DH18" s="1">
        <v>6</v>
      </c>
      <c r="DI18" s="1">
        <v>5</v>
      </c>
      <c r="DJ18" s="1">
        <v>7</v>
      </c>
      <c r="DK18" s="1">
        <v>7</v>
      </c>
      <c r="DL18" s="1">
        <v>7</v>
      </c>
      <c r="DM18" s="19">
        <v>7</v>
      </c>
      <c r="DN18" s="19">
        <v>7</v>
      </c>
      <c r="DO18" s="1">
        <v>6</v>
      </c>
      <c r="DP18" s="1">
        <v>4</v>
      </c>
      <c r="DQ18" s="1">
        <v>5</v>
      </c>
      <c r="DR18" s="1">
        <v>3</v>
      </c>
      <c r="DS18" s="1">
        <v>7</v>
      </c>
      <c r="DT18" s="1">
        <v>6</v>
      </c>
      <c r="DU18" s="27">
        <v>7</v>
      </c>
      <c r="DV18" s="27">
        <v>7</v>
      </c>
      <c r="DW18" s="27">
        <v>4</v>
      </c>
      <c r="DX18" s="27">
        <v>6</v>
      </c>
      <c r="DY18" s="27">
        <v>2</v>
      </c>
      <c r="DZ18" s="27">
        <v>4</v>
      </c>
      <c r="EA18" s="27">
        <v>1</v>
      </c>
      <c r="EB18" s="27">
        <v>5</v>
      </c>
      <c r="EC18" s="27">
        <v>6</v>
      </c>
      <c r="ED18" s="27">
        <v>4</v>
      </c>
      <c r="EE18" s="27">
        <v>5</v>
      </c>
      <c r="EF18" s="27">
        <v>4</v>
      </c>
      <c r="EG18" s="27">
        <v>6</v>
      </c>
      <c r="EH18" s="27">
        <v>7</v>
      </c>
      <c r="EI18" s="27">
        <v>7</v>
      </c>
      <c r="EJ18" s="27">
        <v>4</v>
      </c>
      <c r="EK18" s="27">
        <v>6</v>
      </c>
      <c r="EL18" s="27">
        <v>6</v>
      </c>
      <c r="EM18" s="27">
        <v>4</v>
      </c>
      <c r="EN18" s="27">
        <v>5</v>
      </c>
      <c r="EO18" s="27">
        <v>7</v>
      </c>
      <c r="EP18" s="27">
        <v>7</v>
      </c>
      <c r="EQ18" s="27">
        <v>7</v>
      </c>
      <c r="ER18" s="27">
        <v>6</v>
      </c>
      <c r="ES18" s="27">
        <v>6</v>
      </c>
      <c r="ET18" s="27">
        <v>7</v>
      </c>
      <c r="EU18" s="27">
        <v>4</v>
      </c>
      <c r="EV18" s="1">
        <v>18</v>
      </c>
      <c r="EW18" s="1">
        <v>2</v>
      </c>
      <c r="EY18" s="1">
        <v>1</v>
      </c>
      <c r="EZ18" s="9"/>
      <c r="FA18" s="1">
        <v>1</v>
      </c>
      <c r="FB18" s="9" t="s">
        <v>785</v>
      </c>
      <c r="FC18" s="1">
        <v>1</v>
      </c>
      <c r="FD18" s="1">
        <v>2</v>
      </c>
      <c r="FE18" s="4">
        <v>6.43</v>
      </c>
      <c r="FF18" s="4">
        <v>6.81</v>
      </c>
      <c r="FG18" s="4">
        <v>8.1300000000000008</v>
      </c>
      <c r="FH18" s="4">
        <v>6.67</v>
      </c>
      <c r="FI18" s="4">
        <v>6.75</v>
      </c>
      <c r="FJ18" s="23">
        <v>6.75</v>
      </c>
      <c r="FK18" s="4">
        <v>5.92</v>
      </c>
      <c r="FL18" s="4">
        <v>6</v>
      </c>
      <c r="FM18" s="4">
        <v>6.5</v>
      </c>
      <c r="FN18" s="4">
        <v>5.75</v>
      </c>
      <c r="FO18" s="4">
        <v>6</v>
      </c>
      <c r="FP18" s="4">
        <v>5.83</v>
      </c>
      <c r="FQ18" s="4">
        <v>4.75</v>
      </c>
      <c r="FR18" s="4">
        <v>2</v>
      </c>
      <c r="FS18" s="4">
        <v>5.75</v>
      </c>
      <c r="FT18" s="4">
        <v>5.25</v>
      </c>
      <c r="FU18" s="4">
        <v>4.25</v>
      </c>
      <c r="FV18" s="4">
        <v>4</v>
      </c>
      <c r="FW18" s="4">
        <v>4.5</v>
      </c>
      <c r="FX18" s="4">
        <v>6.25</v>
      </c>
      <c r="FY18" s="4">
        <v>7</v>
      </c>
      <c r="FZ18" s="4">
        <v>6.08</v>
      </c>
      <c r="GA18" s="4">
        <v>1.88</v>
      </c>
      <c r="GB18" s="4">
        <v>6.83</v>
      </c>
      <c r="GC18" s="4">
        <v>6.25</v>
      </c>
      <c r="GD18" s="4">
        <v>5.13</v>
      </c>
      <c r="GE18" s="26"/>
      <c r="GF18" s="26"/>
      <c r="GG18" s="4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S18" s="3"/>
      <c r="HU18" s="3"/>
      <c r="HX18" s="3"/>
      <c r="IA18" s="3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3"/>
      <c r="JP18" s="3"/>
      <c r="JQ18" s="4"/>
      <c r="JR18" s="5"/>
      <c r="JS18" s="5"/>
      <c r="JT18" s="8"/>
      <c r="JU18" s="8"/>
      <c r="JV18" s="8"/>
      <c r="JW18" s="8"/>
      <c r="JX18" s="8"/>
      <c r="JY18" s="8"/>
      <c r="JZ18" s="8"/>
      <c r="KA18" s="8"/>
      <c r="KB18" s="8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</row>
    <row r="19" spans="1:374" s="1" customFormat="1" x14ac:dyDescent="0.35">
      <c r="A19" s="2">
        <v>43361</v>
      </c>
      <c r="B19" s="15" t="s">
        <v>93</v>
      </c>
      <c r="C19" s="15" t="s">
        <v>180</v>
      </c>
      <c r="D19" s="1">
        <v>18</v>
      </c>
      <c r="E19" s="3">
        <v>1</v>
      </c>
      <c r="F19" s="3">
        <v>4</v>
      </c>
      <c r="G19" s="3"/>
      <c r="H19" s="3">
        <v>5</v>
      </c>
      <c r="I19" s="3">
        <v>2</v>
      </c>
      <c r="J19" s="3"/>
      <c r="K19" s="18">
        <v>1</v>
      </c>
      <c r="L19" s="18">
        <v>1</v>
      </c>
      <c r="M19" s="18">
        <v>1</v>
      </c>
      <c r="N19" s="18">
        <v>1</v>
      </c>
      <c r="O19" s="18">
        <v>1</v>
      </c>
      <c r="P19" s="4">
        <v>1</v>
      </c>
      <c r="Q19" s="3">
        <v>36</v>
      </c>
      <c r="R19" s="3">
        <v>52</v>
      </c>
      <c r="S19" s="3">
        <v>44</v>
      </c>
      <c r="T19" s="3">
        <v>107</v>
      </c>
      <c r="U19" s="3">
        <v>96</v>
      </c>
      <c r="V19" s="3">
        <v>118</v>
      </c>
      <c r="W19" s="3">
        <v>105</v>
      </c>
      <c r="X19" s="3">
        <v>110</v>
      </c>
      <c r="Y19" s="3">
        <v>96</v>
      </c>
      <c r="Z19" s="3"/>
      <c r="AA19" s="3"/>
      <c r="AB19" s="3"/>
      <c r="AC19" s="3"/>
      <c r="AD19" s="3"/>
      <c r="AE19" s="3"/>
      <c r="AF19" s="3"/>
      <c r="AG19" s="3"/>
      <c r="AH19" s="3"/>
      <c r="AI19" s="4"/>
      <c r="AJ19" s="4"/>
      <c r="AK19" s="4"/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/>
      <c r="AY19"/>
      <c r="AZ19"/>
      <c r="BA19"/>
      <c r="BB19"/>
      <c r="BC19"/>
      <c r="BP19" s="4"/>
      <c r="BQ19" s="4"/>
      <c r="BR19" s="4"/>
      <c r="BS19" s="4"/>
      <c r="BT19" s="4"/>
      <c r="BU19" s="4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1">
        <v>6</v>
      </c>
      <c r="CJ19" s="1">
        <v>7</v>
      </c>
      <c r="CK19" s="1">
        <v>7</v>
      </c>
      <c r="CL19" s="1">
        <v>7</v>
      </c>
      <c r="CM19" s="1">
        <v>5</v>
      </c>
      <c r="CN19" s="1">
        <v>7</v>
      </c>
      <c r="CO19" s="1">
        <v>6</v>
      </c>
      <c r="CP19" s="1">
        <v>1</v>
      </c>
      <c r="CQ19" s="1">
        <v>6</v>
      </c>
      <c r="CR19" s="1">
        <v>7</v>
      </c>
      <c r="CS19" s="1">
        <v>7</v>
      </c>
      <c r="CT19" s="1">
        <v>7</v>
      </c>
      <c r="CU19" s="1">
        <v>7</v>
      </c>
      <c r="CV19" s="1">
        <v>7</v>
      </c>
      <c r="CW19" s="1">
        <v>6</v>
      </c>
      <c r="CX19" s="1">
        <v>6</v>
      </c>
      <c r="CY19" s="1">
        <v>6</v>
      </c>
      <c r="CZ19" s="1">
        <v>6</v>
      </c>
      <c r="DA19" s="1">
        <v>6</v>
      </c>
      <c r="DB19" s="1">
        <v>6</v>
      </c>
      <c r="DC19" s="1">
        <v>5</v>
      </c>
      <c r="DD19" s="1">
        <v>7</v>
      </c>
      <c r="DE19" s="1">
        <v>6</v>
      </c>
      <c r="DF19" s="1">
        <v>7</v>
      </c>
      <c r="DG19" s="1">
        <v>7</v>
      </c>
      <c r="DH19" s="1">
        <v>7</v>
      </c>
      <c r="DI19" s="1">
        <v>7</v>
      </c>
      <c r="DJ19" s="1">
        <v>7</v>
      </c>
      <c r="DK19" s="1">
        <v>7</v>
      </c>
      <c r="DL19" s="1">
        <v>7</v>
      </c>
      <c r="DM19" s="19">
        <v>7</v>
      </c>
      <c r="DN19" s="19">
        <v>7</v>
      </c>
      <c r="DO19" s="1">
        <v>7</v>
      </c>
      <c r="DP19" s="1">
        <v>5</v>
      </c>
      <c r="DQ19" s="1">
        <v>5</v>
      </c>
      <c r="DR19" s="1">
        <v>5</v>
      </c>
      <c r="DS19" s="1">
        <v>6</v>
      </c>
      <c r="DT19" s="1">
        <v>6</v>
      </c>
      <c r="DU19" s="27">
        <v>6</v>
      </c>
      <c r="DV19" s="27">
        <v>4</v>
      </c>
      <c r="DW19" s="27">
        <v>4</v>
      </c>
      <c r="DX19" s="27">
        <v>7</v>
      </c>
      <c r="DY19" s="27">
        <v>4</v>
      </c>
      <c r="DZ19" s="27">
        <v>4</v>
      </c>
      <c r="EA19" s="27">
        <v>4</v>
      </c>
      <c r="EB19" s="27">
        <v>4</v>
      </c>
      <c r="EC19" s="27">
        <v>4</v>
      </c>
      <c r="ED19" s="27">
        <v>2</v>
      </c>
      <c r="EE19" s="27">
        <v>4</v>
      </c>
      <c r="EF19" s="27">
        <v>4</v>
      </c>
      <c r="EG19" s="27">
        <v>6</v>
      </c>
      <c r="EH19" s="27">
        <v>7</v>
      </c>
      <c r="EI19" s="27">
        <v>7</v>
      </c>
      <c r="EJ19" s="27">
        <v>4</v>
      </c>
      <c r="EK19" s="27">
        <v>7</v>
      </c>
      <c r="EL19" s="27">
        <v>7</v>
      </c>
      <c r="EM19" s="27">
        <v>1</v>
      </c>
      <c r="EN19" s="27">
        <v>1</v>
      </c>
      <c r="EO19" s="27">
        <v>7</v>
      </c>
      <c r="EP19" s="27">
        <v>7</v>
      </c>
      <c r="EQ19" s="27">
        <v>7</v>
      </c>
      <c r="ER19" s="27">
        <v>4</v>
      </c>
      <c r="ES19" s="27">
        <v>6</v>
      </c>
      <c r="ET19" s="27">
        <v>4</v>
      </c>
      <c r="EU19" s="27">
        <v>4</v>
      </c>
      <c r="EV19" s="1">
        <v>19</v>
      </c>
      <c r="EW19" s="1">
        <v>2</v>
      </c>
      <c r="EY19" s="1">
        <v>1</v>
      </c>
      <c r="EZ19" s="9"/>
      <c r="FA19" s="1">
        <v>2</v>
      </c>
      <c r="FB19" s="9" t="s">
        <v>786</v>
      </c>
      <c r="FC19" s="1">
        <v>1</v>
      </c>
      <c r="FD19" s="1">
        <v>4</v>
      </c>
      <c r="FE19" s="4"/>
      <c r="FF19" s="4"/>
      <c r="FG19" s="4"/>
      <c r="FH19" s="4"/>
      <c r="FI19" s="4"/>
      <c r="FJ19" s="23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26"/>
      <c r="GF19" s="26"/>
      <c r="GG19" s="4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S19" s="3"/>
      <c r="HU19" s="3"/>
      <c r="HX19" s="3"/>
      <c r="IA19" s="3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6"/>
      <c r="JP19" s="6"/>
      <c r="JQ19" s="6"/>
      <c r="JR19" s="6"/>
      <c r="JS19" s="6"/>
      <c r="JT19" s="8"/>
      <c r="JU19" s="8"/>
      <c r="JV19" s="8"/>
      <c r="JW19" s="8"/>
      <c r="JX19" s="8"/>
      <c r="JY19" s="8"/>
      <c r="JZ19" s="8"/>
      <c r="KA19" s="8"/>
      <c r="KB19" s="8"/>
      <c r="KC19" s="6"/>
      <c r="KD19" s="6"/>
      <c r="KE19" s="6"/>
      <c r="KF19" s="6"/>
      <c r="KG19" s="6"/>
      <c r="KH19" s="6"/>
      <c r="KI19" s="6"/>
      <c r="KJ19" s="6"/>
      <c r="KK19" s="6"/>
      <c r="KL19" s="4"/>
      <c r="KM19" s="4"/>
      <c r="KN19" s="6"/>
      <c r="KO19" s="4"/>
      <c r="KP19" s="4"/>
      <c r="KQ19" s="6"/>
      <c r="KR19" s="6"/>
      <c r="KS19" s="4"/>
      <c r="KU19" s="4"/>
      <c r="KV19" s="4"/>
      <c r="KW19" s="4"/>
      <c r="KX19" s="6"/>
      <c r="KY19" s="6"/>
      <c r="KZ19" s="6"/>
      <c r="LA19" s="4"/>
      <c r="LB19" s="6"/>
      <c r="LC19" s="6"/>
      <c r="LD19" s="4"/>
      <c r="LE19" s="4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4"/>
    </row>
    <row r="20" spans="1:374" s="1" customFormat="1" x14ac:dyDescent="0.35">
      <c r="A20" s="2">
        <v>43361</v>
      </c>
      <c r="B20" s="15" t="s">
        <v>93</v>
      </c>
      <c r="C20" s="15" t="s">
        <v>181</v>
      </c>
      <c r="D20" s="1">
        <v>19</v>
      </c>
      <c r="E20" s="3">
        <v>1</v>
      </c>
      <c r="F20" s="3">
        <v>4</v>
      </c>
      <c r="G20" s="3"/>
      <c r="H20" s="3">
        <v>5</v>
      </c>
      <c r="I20" s="3">
        <v>3</v>
      </c>
      <c r="J20" s="3"/>
      <c r="K20" s="18">
        <v>1</v>
      </c>
      <c r="L20" s="18">
        <v>0</v>
      </c>
      <c r="M20" s="18">
        <v>1</v>
      </c>
      <c r="N20" s="18">
        <v>1</v>
      </c>
      <c r="O20" s="18">
        <v>1</v>
      </c>
      <c r="P20" s="4">
        <v>0.8</v>
      </c>
      <c r="Q20" s="3">
        <v>54</v>
      </c>
      <c r="R20" s="3">
        <v>60</v>
      </c>
      <c r="S20" s="3">
        <v>49</v>
      </c>
      <c r="T20" s="3">
        <v>105</v>
      </c>
      <c r="U20" s="3">
        <v>140</v>
      </c>
      <c r="V20" s="3">
        <v>116</v>
      </c>
      <c r="W20" s="3">
        <v>90</v>
      </c>
      <c r="X20" s="3">
        <v>114</v>
      </c>
      <c r="Y20" s="3">
        <v>93</v>
      </c>
      <c r="Z20" s="3"/>
      <c r="AA20" s="3"/>
      <c r="AB20" s="3"/>
      <c r="AC20" s="3"/>
      <c r="AD20" s="3"/>
      <c r="AE20" s="3"/>
      <c r="AF20" s="3"/>
      <c r="AG20" s="3"/>
      <c r="AH20" s="3"/>
      <c r="AI20" s="4"/>
      <c r="AJ20" s="4"/>
      <c r="AK20" s="4"/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/>
      <c r="AY20"/>
      <c r="AZ20"/>
      <c r="BA20"/>
      <c r="BB20"/>
      <c r="BC20"/>
      <c r="BP20" s="4"/>
      <c r="BQ20" s="4"/>
      <c r="BR20" s="4"/>
      <c r="BS20" s="4"/>
      <c r="BT20" s="4"/>
      <c r="BU20" s="4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1">
        <v>6</v>
      </c>
      <c r="CJ20" s="1">
        <v>7</v>
      </c>
      <c r="CK20" s="1">
        <v>7</v>
      </c>
      <c r="CL20" s="1">
        <v>6</v>
      </c>
      <c r="CM20" s="1">
        <v>6</v>
      </c>
      <c r="CN20" s="1">
        <v>7</v>
      </c>
      <c r="CO20" s="1">
        <v>6</v>
      </c>
      <c r="CP20" s="1">
        <v>1</v>
      </c>
      <c r="CQ20" s="1">
        <v>7</v>
      </c>
      <c r="CR20" s="1">
        <v>6</v>
      </c>
      <c r="CS20" s="1">
        <v>6</v>
      </c>
      <c r="CT20" s="1">
        <v>7</v>
      </c>
      <c r="CU20" s="1">
        <v>6</v>
      </c>
      <c r="CV20" s="1">
        <v>6</v>
      </c>
      <c r="CW20" s="1">
        <v>6</v>
      </c>
      <c r="CX20" s="1">
        <v>6</v>
      </c>
      <c r="CY20" s="1">
        <v>7</v>
      </c>
      <c r="CZ20" s="1">
        <v>7</v>
      </c>
      <c r="DA20" s="1">
        <v>6</v>
      </c>
      <c r="DB20" s="1">
        <v>7</v>
      </c>
      <c r="DC20" s="1">
        <v>7</v>
      </c>
      <c r="DD20" s="1">
        <v>7</v>
      </c>
      <c r="DE20" s="1">
        <v>7</v>
      </c>
      <c r="DF20" s="1">
        <v>6</v>
      </c>
      <c r="DG20" s="1">
        <v>7</v>
      </c>
      <c r="DH20" s="1">
        <v>6</v>
      </c>
      <c r="DI20" s="1">
        <v>6</v>
      </c>
      <c r="DJ20" s="1">
        <v>7</v>
      </c>
      <c r="DK20" s="1">
        <v>7</v>
      </c>
      <c r="DL20" s="1">
        <v>7</v>
      </c>
      <c r="DM20" s="19">
        <v>7</v>
      </c>
      <c r="DN20" s="19">
        <v>7</v>
      </c>
      <c r="DO20" s="1">
        <v>7</v>
      </c>
      <c r="DP20" s="1">
        <v>7</v>
      </c>
      <c r="DQ20" s="1">
        <v>7</v>
      </c>
      <c r="DR20" s="1">
        <v>6</v>
      </c>
      <c r="DS20" s="1">
        <v>7</v>
      </c>
      <c r="DT20" s="1">
        <v>7</v>
      </c>
      <c r="DU20" s="27">
        <v>7</v>
      </c>
      <c r="DV20" s="27">
        <v>7</v>
      </c>
      <c r="DW20" s="27">
        <v>3</v>
      </c>
      <c r="DX20" s="27">
        <v>5</v>
      </c>
      <c r="DY20" s="27">
        <v>4</v>
      </c>
      <c r="DZ20" s="27">
        <v>2</v>
      </c>
      <c r="EA20" s="27">
        <v>2</v>
      </c>
      <c r="EB20" s="27">
        <v>7</v>
      </c>
      <c r="EC20" s="27">
        <v>7</v>
      </c>
      <c r="ED20" s="27">
        <v>4</v>
      </c>
      <c r="EE20" s="27">
        <v>6</v>
      </c>
      <c r="EF20" s="27">
        <v>6</v>
      </c>
      <c r="EG20" s="27">
        <v>6</v>
      </c>
      <c r="EH20" s="27">
        <v>7</v>
      </c>
      <c r="EI20" s="27">
        <v>7</v>
      </c>
      <c r="EJ20" s="27">
        <v>7</v>
      </c>
      <c r="EK20" s="27">
        <v>6</v>
      </c>
      <c r="EL20" s="27">
        <v>7</v>
      </c>
      <c r="EM20" s="27">
        <v>1</v>
      </c>
      <c r="EN20" s="27">
        <v>1</v>
      </c>
      <c r="EO20" s="27">
        <v>7</v>
      </c>
      <c r="EP20" s="27">
        <v>6</v>
      </c>
      <c r="EQ20" s="27">
        <v>6</v>
      </c>
      <c r="ER20" s="27">
        <v>7</v>
      </c>
      <c r="ES20" s="27">
        <v>7</v>
      </c>
      <c r="ET20" s="27">
        <v>4</v>
      </c>
      <c r="EU20" s="27">
        <v>4</v>
      </c>
      <c r="EV20" s="1">
        <v>18</v>
      </c>
      <c r="EW20" s="1">
        <v>2</v>
      </c>
      <c r="EY20" s="1">
        <v>2</v>
      </c>
      <c r="EZ20" s="9"/>
      <c r="FA20" s="1">
        <v>1</v>
      </c>
      <c r="FB20" s="9" t="s">
        <v>787</v>
      </c>
      <c r="FC20" s="1">
        <v>1</v>
      </c>
      <c r="FD20" s="1">
        <v>4</v>
      </c>
      <c r="FE20" s="4"/>
      <c r="FF20" s="4"/>
      <c r="FG20" s="4"/>
      <c r="FH20" s="4"/>
      <c r="FI20" s="4"/>
      <c r="FJ20" s="23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26"/>
      <c r="GF20" s="26"/>
      <c r="GG20" s="4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S20" s="3"/>
      <c r="HU20" s="3"/>
      <c r="HX20" s="3"/>
      <c r="IA20" s="3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6"/>
      <c r="JP20" s="6"/>
      <c r="JQ20" s="6"/>
      <c r="JR20" s="6"/>
      <c r="JS20" s="6"/>
      <c r="JT20" s="8"/>
      <c r="JU20" s="8"/>
      <c r="JV20" s="8"/>
      <c r="JW20" s="8"/>
      <c r="JX20" s="8"/>
      <c r="JY20" s="8"/>
      <c r="JZ20" s="8"/>
      <c r="KA20" s="8"/>
      <c r="KB20" s="8"/>
      <c r="KC20" s="6"/>
      <c r="KD20" s="6"/>
      <c r="KE20" s="6"/>
      <c r="KF20" s="6"/>
      <c r="KG20" s="6"/>
      <c r="KH20" s="6"/>
      <c r="KI20" s="6"/>
      <c r="KJ20" s="6"/>
      <c r="KK20" s="6"/>
      <c r="KL20" s="4"/>
      <c r="KM20" s="4"/>
      <c r="KN20" s="6"/>
      <c r="KO20" s="4"/>
      <c r="KP20" s="4"/>
      <c r="KQ20" s="6"/>
      <c r="KR20" s="6"/>
      <c r="KS20" s="4"/>
      <c r="KU20" s="4"/>
      <c r="KV20" s="4"/>
      <c r="KW20" s="4"/>
      <c r="KX20" s="6"/>
      <c r="KY20" s="6"/>
      <c r="KZ20" s="6"/>
      <c r="LA20" s="4"/>
      <c r="LB20" s="6"/>
      <c r="LC20" s="6"/>
      <c r="LD20" s="4"/>
      <c r="LE20" s="4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4"/>
    </row>
    <row r="21" spans="1:374" s="1" customFormat="1" x14ac:dyDescent="0.35">
      <c r="A21" s="2">
        <v>43361</v>
      </c>
      <c r="B21" s="15" t="s">
        <v>93</v>
      </c>
      <c r="C21" s="15" t="s">
        <v>182</v>
      </c>
      <c r="D21" s="1">
        <v>20</v>
      </c>
      <c r="E21" s="3">
        <v>1</v>
      </c>
      <c r="F21" s="3">
        <v>4</v>
      </c>
      <c r="G21" s="3"/>
      <c r="H21" s="3">
        <v>5</v>
      </c>
      <c r="I21" s="3">
        <v>4</v>
      </c>
      <c r="J21" s="3"/>
      <c r="K21" s="18">
        <v>1</v>
      </c>
      <c r="L21" s="18">
        <v>0</v>
      </c>
      <c r="M21" s="18">
        <v>1</v>
      </c>
      <c r="N21" s="18">
        <v>1</v>
      </c>
      <c r="O21" s="18">
        <v>0</v>
      </c>
      <c r="P21" s="4">
        <v>0.6</v>
      </c>
      <c r="Q21" s="3">
        <v>83</v>
      </c>
      <c r="R21" s="3">
        <v>76</v>
      </c>
      <c r="S21" s="3">
        <v>63</v>
      </c>
      <c r="T21" s="3">
        <v>64</v>
      </c>
      <c r="U21" s="3">
        <v>72</v>
      </c>
      <c r="V21" s="3">
        <v>95</v>
      </c>
      <c r="W21" s="3">
        <v>89</v>
      </c>
      <c r="X21" s="3">
        <v>84</v>
      </c>
      <c r="Y21" s="3">
        <v>118</v>
      </c>
      <c r="Z21" s="3"/>
      <c r="AA21" s="3"/>
      <c r="AB21" s="3"/>
      <c r="AC21" s="3"/>
      <c r="AD21" s="3"/>
      <c r="AE21" s="3"/>
      <c r="AF21" s="3"/>
      <c r="AG21" s="3"/>
      <c r="AH21" s="3"/>
      <c r="AI21" s="4"/>
      <c r="AJ21" s="4"/>
      <c r="AK21" s="4"/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/>
      <c r="AY21"/>
      <c r="AZ21"/>
      <c r="BA21"/>
      <c r="BB21"/>
      <c r="BC21"/>
      <c r="BP21" s="4"/>
      <c r="BQ21" s="4"/>
      <c r="BR21" s="4"/>
      <c r="BS21" s="4"/>
      <c r="BT21" s="4"/>
      <c r="BU21" s="4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1">
        <v>7</v>
      </c>
      <c r="CJ21" s="1">
        <v>7</v>
      </c>
      <c r="CK21" s="1">
        <v>7</v>
      </c>
      <c r="CL21" s="1">
        <v>7</v>
      </c>
      <c r="CM21" s="1">
        <v>7</v>
      </c>
      <c r="CN21" s="1">
        <v>3</v>
      </c>
      <c r="CO21" s="1">
        <v>7</v>
      </c>
      <c r="CP21" s="1">
        <v>1</v>
      </c>
      <c r="CQ21" s="1">
        <v>7</v>
      </c>
      <c r="CR21" s="1">
        <v>7</v>
      </c>
      <c r="CS21" s="1">
        <v>7</v>
      </c>
      <c r="CT21" s="1">
        <v>7</v>
      </c>
      <c r="CU21" s="1">
        <v>7</v>
      </c>
      <c r="CV21" s="1">
        <v>5</v>
      </c>
      <c r="CW21" s="1">
        <v>7</v>
      </c>
      <c r="CX21" s="1">
        <v>6</v>
      </c>
      <c r="CY21" s="1">
        <v>7</v>
      </c>
      <c r="CZ21" s="1">
        <v>7</v>
      </c>
      <c r="DA21" s="1">
        <v>7</v>
      </c>
      <c r="DB21" s="1">
        <v>7</v>
      </c>
      <c r="DC21" s="1">
        <v>7</v>
      </c>
      <c r="DD21" s="1">
        <v>7</v>
      </c>
      <c r="DE21" s="1">
        <v>7</v>
      </c>
      <c r="DF21" s="1">
        <v>4</v>
      </c>
      <c r="DG21" s="1">
        <v>5</v>
      </c>
      <c r="DH21" s="1">
        <v>7</v>
      </c>
      <c r="DI21" s="1">
        <v>6</v>
      </c>
      <c r="DJ21" s="1">
        <v>5</v>
      </c>
      <c r="DK21" s="1">
        <v>3</v>
      </c>
      <c r="DL21" s="1">
        <v>3</v>
      </c>
      <c r="DM21" s="19">
        <v>3</v>
      </c>
      <c r="DN21" s="19">
        <v>7</v>
      </c>
      <c r="DO21" s="1">
        <v>4</v>
      </c>
      <c r="DP21" s="1">
        <v>7</v>
      </c>
      <c r="DQ21" s="1">
        <v>6</v>
      </c>
      <c r="DR21" s="1">
        <v>5</v>
      </c>
      <c r="DS21" s="1">
        <v>7</v>
      </c>
      <c r="DT21" s="1">
        <v>7</v>
      </c>
      <c r="DU21" s="27">
        <v>7</v>
      </c>
      <c r="DV21" s="27">
        <v>7</v>
      </c>
      <c r="DW21" s="27">
        <v>7</v>
      </c>
      <c r="DX21" s="27">
        <v>7</v>
      </c>
      <c r="DY21" s="27">
        <v>3</v>
      </c>
      <c r="DZ21" s="27">
        <v>1</v>
      </c>
      <c r="EA21" s="27">
        <v>1</v>
      </c>
      <c r="EB21" s="27">
        <v>7</v>
      </c>
      <c r="EC21" s="27">
        <v>4</v>
      </c>
      <c r="ED21" s="27">
        <v>7</v>
      </c>
      <c r="EE21" s="27">
        <v>1</v>
      </c>
      <c r="EF21" s="27">
        <v>4</v>
      </c>
      <c r="EG21" s="27">
        <v>7</v>
      </c>
      <c r="EH21" s="27">
        <v>7</v>
      </c>
      <c r="EI21" s="27">
        <v>7</v>
      </c>
      <c r="EJ21" s="27">
        <v>7</v>
      </c>
      <c r="EK21" s="27">
        <v>6</v>
      </c>
      <c r="EL21" s="27">
        <v>6</v>
      </c>
      <c r="EM21" s="27">
        <v>1</v>
      </c>
      <c r="EN21" s="27">
        <v>1</v>
      </c>
      <c r="EO21" s="27">
        <v>7</v>
      </c>
      <c r="EP21" s="27">
        <v>7</v>
      </c>
      <c r="EQ21" s="27">
        <v>7</v>
      </c>
      <c r="ER21" s="27">
        <v>7</v>
      </c>
      <c r="ES21" s="27">
        <v>7</v>
      </c>
      <c r="ET21" s="27">
        <v>7</v>
      </c>
      <c r="EU21" s="27">
        <v>7</v>
      </c>
      <c r="EV21" s="1">
        <v>19</v>
      </c>
      <c r="EW21" s="1">
        <v>1</v>
      </c>
      <c r="EY21" s="1">
        <v>1</v>
      </c>
      <c r="EZ21" s="9"/>
      <c r="FA21" s="1">
        <v>1</v>
      </c>
      <c r="FB21" s="9" t="s">
        <v>788</v>
      </c>
      <c r="FC21" s="1">
        <v>0</v>
      </c>
      <c r="FD21" s="1">
        <v>6</v>
      </c>
      <c r="FE21" s="4"/>
      <c r="FF21" s="4"/>
      <c r="FG21" s="4"/>
      <c r="FH21" s="4"/>
      <c r="FI21" s="4"/>
      <c r="FJ21" s="23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26"/>
      <c r="GF21" s="26"/>
      <c r="GG21" s="4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S21" s="3"/>
      <c r="HU21" s="3"/>
      <c r="HX21" s="3"/>
      <c r="IA21" s="3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6"/>
      <c r="JP21" s="6"/>
      <c r="JQ21" s="6"/>
      <c r="JR21" s="6"/>
      <c r="JS21" s="6"/>
      <c r="JT21" s="8"/>
      <c r="JU21" s="8"/>
      <c r="JV21" s="8"/>
      <c r="JW21" s="8"/>
      <c r="JX21" s="8"/>
      <c r="JY21" s="8"/>
      <c r="JZ21" s="8"/>
      <c r="KA21" s="8"/>
      <c r="KB21" s="8"/>
      <c r="KC21" s="6"/>
      <c r="KD21" s="6"/>
      <c r="KE21" s="6"/>
      <c r="KF21" s="6"/>
      <c r="KG21" s="6"/>
      <c r="KH21" s="6"/>
      <c r="KI21" s="6"/>
      <c r="KJ21" s="6"/>
      <c r="KK21" s="6"/>
      <c r="KL21" s="4"/>
      <c r="KM21" s="4"/>
      <c r="KN21" s="6"/>
      <c r="KO21" s="4"/>
      <c r="KP21" s="4"/>
      <c r="KQ21" s="6"/>
      <c r="KR21" s="6"/>
      <c r="KS21" s="4"/>
      <c r="KU21" s="4"/>
      <c r="KV21" s="4"/>
      <c r="KW21" s="4"/>
      <c r="KX21" s="6"/>
      <c r="KY21" s="6"/>
      <c r="KZ21" s="6"/>
      <c r="LA21" s="4"/>
      <c r="LB21" s="6"/>
      <c r="LC21" s="6"/>
      <c r="LD21" s="4"/>
      <c r="LE21" s="4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4"/>
    </row>
    <row r="22" spans="1:374" s="1" customFormat="1" x14ac:dyDescent="0.35">
      <c r="A22" s="2">
        <v>43361</v>
      </c>
      <c r="B22" s="15" t="s">
        <v>94</v>
      </c>
      <c r="C22" s="15" t="s">
        <v>183</v>
      </c>
      <c r="D22" s="1">
        <v>21</v>
      </c>
      <c r="E22" s="3">
        <v>1</v>
      </c>
      <c r="F22" s="3">
        <v>4</v>
      </c>
      <c r="G22" s="3">
        <v>1</v>
      </c>
      <c r="H22" s="3">
        <v>6</v>
      </c>
      <c r="I22" s="3">
        <v>1</v>
      </c>
      <c r="J22" s="3">
        <v>1</v>
      </c>
      <c r="K22" s="18">
        <v>1</v>
      </c>
      <c r="L22" s="18">
        <v>1</v>
      </c>
      <c r="M22" s="18">
        <v>0</v>
      </c>
      <c r="N22" s="18">
        <v>1</v>
      </c>
      <c r="O22" s="18">
        <v>0</v>
      </c>
      <c r="P22" s="4">
        <v>0.6</v>
      </c>
      <c r="Q22" s="3">
        <v>58</v>
      </c>
      <c r="R22" s="3">
        <v>78</v>
      </c>
      <c r="S22" s="3">
        <v>51</v>
      </c>
      <c r="T22" s="3">
        <v>93</v>
      </c>
      <c r="U22" s="3">
        <v>110</v>
      </c>
      <c r="V22" s="3">
        <v>110</v>
      </c>
      <c r="W22" s="3">
        <v>73</v>
      </c>
      <c r="X22" s="3">
        <v>110</v>
      </c>
      <c r="Y22" s="3">
        <v>126</v>
      </c>
      <c r="Z22" s="3">
        <v>219</v>
      </c>
      <c r="AA22" s="3">
        <v>223</v>
      </c>
      <c r="AB22" s="3">
        <v>204</v>
      </c>
      <c r="AC22" s="3">
        <v>389</v>
      </c>
      <c r="AD22" s="3">
        <v>449</v>
      </c>
      <c r="AE22" s="3">
        <v>447</v>
      </c>
      <c r="AF22" s="3">
        <v>240</v>
      </c>
      <c r="AG22" s="3">
        <v>413</v>
      </c>
      <c r="AH22" s="3">
        <v>410</v>
      </c>
      <c r="AI22" s="4">
        <v>215.33</v>
      </c>
      <c r="AJ22" s="4">
        <v>428.33</v>
      </c>
      <c r="AK22" s="4">
        <v>354.33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f t="shared" ref="AX22:BC22" si="10">AL22+AL23+AL24+AL25</f>
        <v>0</v>
      </c>
      <c r="AY22" s="19">
        <f t="shared" si="10"/>
        <v>0</v>
      </c>
      <c r="AZ22" s="19">
        <f t="shared" si="10"/>
        <v>0</v>
      </c>
      <c r="BA22" s="19">
        <f t="shared" si="10"/>
        <v>0</v>
      </c>
      <c r="BB22" s="19">
        <f t="shared" si="10"/>
        <v>0</v>
      </c>
      <c r="BC22" s="19">
        <f t="shared" si="10"/>
        <v>0</v>
      </c>
      <c r="BD22" s="1">
        <f>AX22*3</f>
        <v>0</v>
      </c>
      <c r="BE22" s="1">
        <f t="shared" ref="BE22:BI22" si="11">AY22*3</f>
        <v>0</v>
      </c>
      <c r="BF22" s="1">
        <f t="shared" si="11"/>
        <v>0</v>
      </c>
      <c r="BG22" s="1">
        <f t="shared" si="11"/>
        <v>0</v>
      </c>
      <c r="BH22" s="1">
        <f t="shared" si="11"/>
        <v>0</v>
      </c>
      <c r="BI22" s="1">
        <f t="shared" si="11"/>
        <v>0</v>
      </c>
      <c r="BJ22" s="1">
        <f>AX22+AY22+AZ22</f>
        <v>0</v>
      </c>
      <c r="BK22" s="1">
        <f>BA22+BB22+BC22</f>
        <v>0</v>
      </c>
      <c r="BL22" s="1">
        <f>BJ22*3</f>
        <v>0</v>
      </c>
      <c r="BM22" s="1">
        <f>BK22*3</f>
        <v>0</v>
      </c>
      <c r="BN22" s="1">
        <f>BL22/3</f>
        <v>0</v>
      </c>
      <c r="BO22" s="1">
        <f>BM22/3</f>
        <v>0</v>
      </c>
      <c r="BP22" s="4">
        <v>215.33333333333334</v>
      </c>
      <c r="BQ22" s="4">
        <v>428.33333333333331</v>
      </c>
      <c r="BR22" s="4">
        <v>354.33333333333331</v>
      </c>
      <c r="BS22" s="4">
        <v>428.33</v>
      </c>
      <c r="BT22" s="4">
        <v>354.33</v>
      </c>
      <c r="BU22" s="4">
        <v>3.75</v>
      </c>
      <c r="BV22" s="3">
        <v>2</v>
      </c>
      <c r="BW22" s="3">
        <v>2</v>
      </c>
      <c r="BX22" s="3">
        <v>2</v>
      </c>
      <c r="BY22" s="3">
        <v>2</v>
      </c>
      <c r="BZ22" s="3">
        <v>0</v>
      </c>
      <c r="CA22" s="3">
        <v>0</v>
      </c>
      <c r="CB22" s="3">
        <v>0</v>
      </c>
      <c r="CC22" s="3">
        <v>0</v>
      </c>
      <c r="CD22" s="3">
        <v>1</v>
      </c>
      <c r="CE22" s="3">
        <v>1</v>
      </c>
      <c r="CF22" s="3">
        <v>1</v>
      </c>
      <c r="CG22" s="3">
        <v>1</v>
      </c>
      <c r="CH22" s="3">
        <v>0</v>
      </c>
      <c r="CI22" s="1">
        <v>7</v>
      </c>
      <c r="CJ22" s="1">
        <v>7</v>
      </c>
      <c r="CK22" s="1">
        <v>6</v>
      </c>
      <c r="CL22" s="1">
        <v>7</v>
      </c>
      <c r="CM22" s="1">
        <v>7</v>
      </c>
      <c r="CN22" s="1">
        <v>7</v>
      </c>
      <c r="CO22" s="1">
        <v>7</v>
      </c>
      <c r="CP22" s="1">
        <v>7</v>
      </c>
      <c r="CQ22" s="1">
        <v>7</v>
      </c>
      <c r="CR22" s="1">
        <v>6</v>
      </c>
      <c r="CS22" s="1">
        <v>4</v>
      </c>
      <c r="CT22" s="1">
        <v>1</v>
      </c>
      <c r="CU22" s="1">
        <v>4</v>
      </c>
      <c r="CV22" s="1">
        <v>4</v>
      </c>
      <c r="CW22" s="1">
        <v>7</v>
      </c>
      <c r="CX22" s="1">
        <v>4</v>
      </c>
      <c r="CY22" s="1">
        <v>7</v>
      </c>
      <c r="CZ22" s="1">
        <v>7</v>
      </c>
      <c r="DA22" s="1">
        <v>7</v>
      </c>
      <c r="DB22" s="1">
        <v>7</v>
      </c>
      <c r="DC22" s="1">
        <v>6</v>
      </c>
      <c r="DD22" s="1">
        <v>3</v>
      </c>
      <c r="DE22" s="1">
        <v>7</v>
      </c>
      <c r="DF22" s="1">
        <v>7</v>
      </c>
      <c r="DG22" s="1">
        <v>6</v>
      </c>
      <c r="DH22" s="1">
        <v>6</v>
      </c>
      <c r="DI22" s="1">
        <v>4</v>
      </c>
      <c r="DJ22" s="1">
        <v>7</v>
      </c>
      <c r="DK22" s="1">
        <v>7</v>
      </c>
      <c r="DL22" s="1">
        <v>7</v>
      </c>
      <c r="DM22" s="19">
        <v>7</v>
      </c>
      <c r="DN22" s="19">
        <v>7</v>
      </c>
      <c r="DO22" s="1">
        <v>7</v>
      </c>
      <c r="DP22" s="1">
        <v>7</v>
      </c>
      <c r="DQ22" s="1">
        <v>6</v>
      </c>
      <c r="DR22" s="1">
        <v>7</v>
      </c>
      <c r="DS22" s="1">
        <v>7</v>
      </c>
      <c r="DT22" s="1">
        <v>7</v>
      </c>
      <c r="DU22" s="27">
        <v>6</v>
      </c>
      <c r="DV22" s="27">
        <v>7</v>
      </c>
      <c r="DW22" s="27">
        <v>1</v>
      </c>
      <c r="DX22" s="27">
        <v>1</v>
      </c>
      <c r="DY22" s="27">
        <v>7</v>
      </c>
      <c r="DZ22" s="27">
        <v>7</v>
      </c>
      <c r="EA22" s="27">
        <v>1</v>
      </c>
      <c r="EB22" s="27">
        <v>7</v>
      </c>
      <c r="EC22" s="27">
        <v>7</v>
      </c>
      <c r="ED22" s="27">
        <v>1</v>
      </c>
      <c r="EE22" s="27">
        <v>7</v>
      </c>
      <c r="EF22" s="27">
        <v>1</v>
      </c>
      <c r="EG22" s="27">
        <v>7</v>
      </c>
      <c r="EH22" s="27">
        <v>7</v>
      </c>
      <c r="EI22" s="27">
        <v>7</v>
      </c>
      <c r="EJ22" s="27">
        <v>6</v>
      </c>
      <c r="EK22" s="27">
        <v>7</v>
      </c>
      <c r="EL22" s="27">
        <v>7</v>
      </c>
      <c r="EM22" s="27">
        <v>1</v>
      </c>
      <c r="EN22" s="27">
        <v>1</v>
      </c>
      <c r="EO22" s="27">
        <v>7</v>
      </c>
      <c r="EP22" s="27">
        <v>7</v>
      </c>
      <c r="EQ22" s="27">
        <v>7</v>
      </c>
      <c r="ER22" s="27">
        <v>7</v>
      </c>
      <c r="ES22" s="27">
        <v>1</v>
      </c>
      <c r="ET22" s="27">
        <v>4</v>
      </c>
      <c r="EU22" s="27">
        <v>4</v>
      </c>
      <c r="EV22" s="1">
        <v>18</v>
      </c>
      <c r="EW22" s="1">
        <v>1</v>
      </c>
      <c r="EY22" s="1">
        <v>3</v>
      </c>
      <c r="EZ22" s="9"/>
      <c r="FA22" s="1">
        <v>1</v>
      </c>
      <c r="FB22" s="9" t="s">
        <v>789</v>
      </c>
      <c r="FC22" s="1">
        <v>1</v>
      </c>
      <c r="FD22" s="1">
        <v>3</v>
      </c>
      <c r="FE22" s="4">
        <v>6.86</v>
      </c>
      <c r="FF22" s="4">
        <v>6</v>
      </c>
      <c r="FG22" s="4">
        <v>8.06</v>
      </c>
      <c r="FH22" s="4">
        <v>7</v>
      </c>
      <c r="FI22" s="4">
        <v>6.13</v>
      </c>
      <c r="FJ22" s="23">
        <v>7</v>
      </c>
      <c r="FK22" s="4">
        <v>4.17</v>
      </c>
      <c r="FL22" s="4">
        <v>6.75</v>
      </c>
      <c r="FM22" s="4">
        <v>5.5</v>
      </c>
      <c r="FN22" s="4">
        <v>6.63</v>
      </c>
      <c r="FO22" s="4">
        <v>6.33</v>
      </c>
      <c r="FP22" s="4">
        <v>5.08</v>
      </c>
      <c r="FQ22" s="4">
        <v>3.38</v>
      </c>
      <c r="FR22" s="4">
        <v>1.25</v>
      </c>
      <c r="FS22" s="4">
        <v>6.75</v>
      </c>
      <c r="FT22" s="4">
        <v>7</v>
      </c>
      <c r="FU22" s="4">
        <v>3.5</v>
      </c>
      <c r="FV22" s="4">
        <v>5.25</v>
      </c>
      <c r="FW22" s="4">
        <v>4.25</v>
      </c>
      <c r="FX22" s="4">
        <v>6.25</v>
      </c>
      <c r="FY22" s="4">
        <v>7</v>
      </c>
      <c r="FZ22" s="4">
        <v>6.92</v>
      </c>
      <c r="GA22" s="4">
        <v>2.25</v>
      </c>
      <c r="GB22" s="4">
        <v>7</v>
      </c>
      <c r="GC22" s="4">
        <v>5.5</v>
      </c>
      <c r="GD22" s="4">
        <v>5.5</v>
      </c>
      <c r="GE22" s="26"/>
      <c r="GF22" s="26"/>
      <c r="GG22" s="4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S22" s="3"/>
      <c r="HU22" s="3"/>
      <c r="HX22" s="3"/>
      <c r="IA22" s="3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3"/>
      <c r="JP22" s="3"/>
      <c r="JQ22" s="4"/>
      <c r="JR22" s="5"/>
      <c r="JS22" s="5"/>
      <c r="JT22" s="8"/>
      <c r="JU22" s="8"/>
      <c r="JV22" s="8"/>
      <c r="JW22" s="8"/>
      <c r="JX22" s="8"/>
      <c r="JY22" s="8"/>
      <c r="JZ22" s="8"/>
      <c r="KA22" s="8"/>
      <c r="KB22" s="8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</row>
    <row r="23" spans="1:374" s="1" customFormat="1" x14ac:dyDescent="0.35">
      <c r="A23" s="2">
        <v>43361</v>
      </c>
      <c r="B23" s="15" t="s">
        <v>94</v>
      </c>
      <c r="C23" s="15" t="s">
        <v>184</v>
      </c>
      <c r="D23" s="1">
        <v>22</v>
      </c>
      <c r="E23" s="3">
        <v>1</v>
      </c>
      <c r="F23" s="3">
        <v>4</v>
      </c>
      <c r="G23" s="3"/>
      <c r="H23" s="3">
        <v>6</v>
      </c>
      <c r="I23" s="3">
        <v>2</v>
      </c>
      <c r="J23" s="3"/>
      <c r="K23" s="18">
        <v>1</v>
      </c>
      <c r="L23" s="18">
        <v>1</v>
      </c>
      <c r="M23" s="18">
        <v>1</v>
      </c>
      <c r="N23" s="18">
        <v>1</v>
      </c>
      <c r="O23" s="18">
        <v>0</v>
      </c>
      <c r="P23" s="4">
        <v>0.8</v>
      </c>
      <c r="Q23" s="3">
        <v>77</v>
      </c>
      <c r="R23" s="3">
        <v>90</v>
      </c>
      <c r="S23" s="3">
        <v>62</v>
      </c>
      <c r="T23" s="3">
        <v>109</v>
      </c>
      <c r="U23" s="3">
        <v>111</v>
      </c>
      <c r="V23" s="3">
        <v>93</v>
      </c>
      <c r="W23" s="3">
        <v>92</v>
      </c>
      <c r="X23" s="3">
        <v>101</v>
      </c>
      <c r="Y23" s="3">
        <v>91</v>
      </c>
      <c r="Z23" s="3"/>
      <c r="AA23" s="3"/>
      <c r="AB23" s="3"/>
      <c r="AC23" s="3"/>
      <c r="AD23" s="3"/>
      <c r="AE23" s="3"/>
      <c r="AF23" s="3"/>
      <c r="AG23" s="3"/>
      <c r="AH23" s="3"/>
      <c r="AI23" s="4"/>
      <c r="AJ23" s="4"/>
      <c r="AK23" s="4"/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/>
      <c r="AY23"/>
      <c r="AZ23"/>
      <c r="BA23"/>
      <c r="BB23"/>
      <c r="BC23"/>
      <c r="BP23" s="4"/>
      <c r="BQ23" s="4"/>
      <c r="BR23" s="4"/>
      <c r="BS23" s="4"/>
      <c r="BT23" s="4"/>
      <c r="BU23" s="4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1">
        <v>7</v>
      </c>
      <c r="CJ23" s="1">
        <v>7</v>
      </c>
      <c r="CK23" s="1">
        <v>7</v>
      </c>
      <c r="CL23" s="1">
        <v>7</v>
      </c>
      <c r="CM23" s="1">
        <v>6</v>
      </c>
      <c r="CN23" s="1">
        <v>7</v>
      </c>
      <c r="CO23" s="1">
        <v>7</v>
      </c>
      <c r="CP23" s="1">
        <v>1</v>
      </c>
      <c r="CQ23" s="1">
        <v>7</v>
      </c>
      <c r="CR23" s="1">
        <v>7</v>
      </c>
      <c r="CS23" s="1">
        <v>7</v>
      </c>
      <c r="CT23" s="1">
        <v>7</v>
      </c>
      <c r="CU23" s="1">
        <v>7</v>
      </c>
      <c r="CV23" s="1">
        <v>7</v>
      </c>
      <c r="CW23" s="1">
        <v>7</v>
      </c>
      <c r="CX23" s="1">
        <v>7</v>
      </c>
      <c r="CY23" s="1">
        <v>7</v>
      </c>
      <c r="CZ23" s="1">
        <v>7</v>
      </c>
      <c r="DA23" s="1">
        <v>7</v>
      </c>
      <c r="DB23" s="1">
        <v>7</v>
      </c>
      <c r="DC23" s="1">
        <v>7</v>
      </c>
      <c r="DD23" s="1">
        <v>7</v>
      </c>
      <c r="DE23" s="1">
        <v>7</v>
      </c>
      <c r="DF23" s="1">
        <v>1</v>
      </c>
      <c r="DG23" s="1">
        <v>1</v>
      </c>
      <c r="DH23" s="1">
        <v>4</v>
      </c>
      <c r="DI23" s="1">
        <v>1</v>
      </c>
      <c r="DJ23" s="1">
        <v>1</v>
      </c>
      <c r="DK23" s="1">
        <v>1</v>
      </c>
      <c r="DL23" s="1">
        <v>7</v>
      </c>
      <c r="DM23" s="19">
        <v>7</v>
      </c>
      <c r="DN23" s="19">
        <v>7</v>
      </c>
      <c r="DO23" s="1">
        <v>4</v>
      </c>
      <c r="DP23" s="1">
        <v>7</v>
      </c>
      <c r="DQ23" s="1">
        <v>7</v>
      </c>
      <c r="DR23" s="1">
        <v>7</v>
      </c>
      <c r="DS23" s="1">
        <v>7</v>
      </c>
      <c r="DT23" s="1">
        <v>7</v>
      </c>
      <c r="DU23" s="27">
        <v>7</v>
      </c>
      <c r="DV23" s="27">
        <v>7</v>
      </c>
      <c r="DW23" s="27">
        <v>1</v>
      </c>
      <c r="DX23" s="27">
        <v>7</v>
      </c>
      <c r="DY23" s="27">
        <v>1</v>
      </c>
      <c r="DZ23" s="27">
        <v>4</v>
      </c>
      <c r="EA23" s="27">
        <v>1</v>
      </c>
      <c r="EB23" s="27">
        <v>7</v>
      </c>
      <c r="EC23" s="27">
        <v>7</v>
      </c>
      <c r="ED23" s="27">
        <v>4</v>
      </c>
      <c r="EE23" s="27">
        <v>7</v>
      </c>
      <c r="EF23" s="27">
        <v>4</v>
      </c>
      <c r="EG23" s="27">
        <v>7</v>
      </c>
      <c r="EH23" s="27">
        <v>7</v>
      </c>
      <c r="EI23" s="27">
        <v>7</v>
      </c>
      <c r="EJ23" s="27">
        <v>7</v>
      </c>
      <c r="EK23" s="27">
        <v>7</v>
      </c>
      <c r="EL23" s="27">
        <v>7</v>
      </c>
      <c r="EM23" s="27">
        <v>1</v>
      </c>
      <c r="EN23" s="27">
        <v>4</v>
      </c>
      <c r="EO23" s="27">
        <v>7</v>
      </c>
      <c r="EP23" s="27">
        <v>7</v>
      </c>
      <c r="EQ23" s="27">
        <v>7</v>
      </c>
      <c r="ER23" s="27">
        <v>4</v>
      </c>
      <c r="ES23" s="27">
        <v>4</v>
      </c>
      <c r="ET23" s="27">
        <v>7</v>
      </c>
      <c r="EU23" s="27">
        <v>7</v>
      </c>
      <c r="EV23" s="1">
        <v>18</v>
      </c>
      <c r="EW23" s="1">
        <v>2</v>
      </c>
      <c r="EY23" s="1">
        <v>2</v>
      </c>
      <c r="EZ23" s="9"/>
      <c r="FA23" s="1">
        <v>1</v>
      </c>
      <c r="FB23" s="9" t="s">
        <v>790</v>
      </c>
      <c r="FC23" s="1">
        <v>0</v>
      </c>
      <c r="FD23" s="1">
        <v>7</v>
      </c>
      <c r="FE23" s="4"/>
      <c r="FF23" s="4"/>
      <c r="FG23" s="4"/>
      <c r="FH23" s="4"/>
      <c r="FI23" s="4"/>
      <c r="FJ23" s="23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26"/>
      <c r="GF23" s="26"/>
      <c r="GG23" s="4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S23" s="3"/>
      <c r="HU23" s="3"/>
      <c r="HX23" s="3"/>
      <c r="IA23" s="3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6"/>
      <c r="JP23" s="6"/>
      <c r="JQ23" s="6"/>
      <c r="JR23" s="6"/>
      <c r="JS23" s="6"/>
      <c r="JT23" s="8"/>
      <c r="JU23" s="8"/>
      <c r="JV23" s="8"/>
      <c r="JW23" s="8"/>
      <c r="JX23" s="8"/>
      <c r="JY23" s="8"/>
      <c r="JZ23" s="8"/>
      <c r="KA23" s="8"/>
      <c r="KB23" s="8"/>
      <c r="KC23" s="6"/>
      <c r="KD23" s="6"/>
      <c r="KE23" s="6"/>
      <c r="KF23" s="6"/>
      <c r="KG23" s="6"/>
      <c r="KH23" s="6"/>
      <c r="KI23" s="6"/>
      <c r="KJ23" s="6"/>
      <c r="KK23" s="6"/>
      <c r="KL23" s="4"/>
      <c r="KM23" s="4"/>
      <c r="KN23" s="6"/>
      <c r="KO23" s="4"/>
      <c r="KP23" s="4"/>
      <c r="KQ23" s="6"/>
      <c r="KR23" s="6"/>
      <c r="KS23" s="4"/>
      <c r="KU23" s="4"/>
      <c r="KV23" s="4"/>
      <c r="KW23" s="4"/>
      <c r="KX23" s="6"/>
      <c r="KY23" s="6"/>
      <c r="KZ23" s="6"/>
      <c r="LA23" s="4"/>
      <c r="LB23" s="6"/>
      <c r="LC23" s="6"/>
      <c r="LD23" s="4"/>
      <c r="LE23" s="4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4"/>
    </row>
    <row r="24" spans="1:374" s="1" customFormat="1" x14ac:dyDescent="0.35">
      <c r="A24" s="2">
        <v>43361</v>
      </c>
      <c r="B24" s="15" t="s">
        <v>94</v>
      </c>
      <c r="C24" s="15" t="s">
        <v>185</v>
      </c>
      <c r="D24" s="1">
        <v>23</v>
      </c>
      <c r="E24" s="3">
        <v>1</v>
      </c>
      <c r="F24" s="3">
        <v>4</v>
      </c>
      <c r="G24" s="3"/>
      <c r="H24" s="3">
        <v>6</v>
      </c>
      <c r="I24" s="3">
        <v>3</v>
      </c>
      <c r="J24" s="3"/>
      <c r="K24" s="18">
        <v>1</v>
      </c>
      <c r="L24" s="18">
        <v>1</v>
      </c>
      <c r="M24" s="18">
        <v>1</v>
      </c>
      <c r="N24" s="18">
        <v>1</v>
      </c>
      <c r="O24" s="18">
        <v>0</v>
      </c>
      <c r="P24" s="4">
        <v>0.8</v>
      </c>
      <c r="Q24" s="3">
        <v>53</v>
      </c>
      <c r="R24" s="3">
        <v>26</v>
      </c>
      <c r="S24" s="3">
        <v>73</v>
      </c>
      <c r="T24" s="3">
        <v>91</v>
      </c>
      <c r="U24" s="3">
        <v>101</v>
      </c>
      <c r="V24" s="3">
        <v>117</v>
      </c>
      <c r="W24" s="3">
        <v>40</v>
      </c>
      <c r="X24" s="3">
        <v>92</v>
      </c>
      <c r="Y24" s="3">
        <v>81</v>
      </c>
      <c r="Z24" s="3"/>
      <c r="AA24" s="3"/>
      <c r="AB24" s="3"/>
      <c r="AC24" s="3"/>
      <c r="AD24" s="3"/>
      <c r="AE24" s="3"/>
      <c r="AF24" s="3"/>
      <c r="AG24" s="3"/>
      <c r="AH24" s="3"/>
      <c r="AI24" s="4"/>
      <c r="AJ24" s="4"/>
      <c r="AK24" s="4"/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/>
      <c r="AY24"/>
      <c r="AZ24"/>
      <c r="BA24"/>
      <c r="BB24"/>
      <c r="BC24"/>
      <c r="BP24" s="4"/>
      <c r="BQ24" s="4"/>
      <c r="BR24" s="4"/>
      <c r="BS24" s="4"/>
      <c r="BT24" s="4"/>
      <c r="BU24" s="4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1">
        <v>7</v>
      </c>
      <c r="CJ24" s="1">
        <v>7</v>
      </c>
      <c r="CK24" s="1">
        <v>7</v>
      </c>
      <c r="CL24" s="1">
        <v>7</v>
      </c>
      <c r="CM24" s="1">
        <v>7</v>
      </c>
      <c r="CN24" s="1">
        <v>7</v>
      </c>
      <c r="CO24" s="1">
        <v>7</v>
      </c>
      <c r="CP24" s="1">
        <v>1</v>
      </c>
      <c r="CQ24" s="1">
        <v>7</v>
      </c>
      <c r="CR24" s="1">
        <v>7</v>
      </c>
      <c r="CS24" s="1">
        <v>7</v>
      </c>
      <c r="CT24" s="1">
        <v>7</v>
      </c>
      <c r="CU24" s="1">
        <v>7</v>
      </c>
      <c r="CV24" s="1">
        <v>7</v>
      </c>
      <c r="CW24" s="1">
        <v>7</v>
      </c>
      <c r="CX24" s="1">
        <v>7</v>
      </c>
      <c r="CY24" s="1">
        <v>7</v>
      </c>
      <c r="CZ24" s="1">
        <v>7</v>
      </c>
      <c r="DA24" s="1">
        <v>7</v>
      </c>
      <c r="DB24" s="1">
        <v>7</v>
      </c>
      <c r="DC24" s="1">
        <v>7</v>
      </c>
      <c r="DD24" s="1">
        <v>7</v>
      </c>
      <c r="DE24" s="1">
        <v>7</v>
      </c>
      <c r="DF24" s="1">
        <v>7</v>
      </c>
      <c r="DG24" s="1">
        <v>7</v>
      </c>
      <c r="DH24" s="1">
        <v>7</v>
      </c>
      <c r="DI24" s="1">
        <v>7</v>
      </c>
      <c r="DJ24" s="1">
        <v>7</v>
      </c>
      <c r="DK24" s="1">
        <v>7</v>
      </c>
      <c r="DL24" s="1">
        <v>7</v>
      </c>
      <c r="DM24" s="19">
        <v>7</v>
      </c>
      <c r="DN24" s="19">
        <v>7</v>
      </c>
      <c r="DO24" s="1">
        <v>7</v>
      </c>
      <c r="DP24" s="1">
        <v>7</v>
      </c>
      <c r="DQ24" s="1">
        <v>7</v>
      </c>
      <c r="DR24" s="1">
        <v>7</v>
      </c>
      <c r="DS24" s="1">
        <v>7</v>
      </c>
      <c r="DT24" s="1">
        <v>7</v>
      </c>
      <c r="DU24" s="27">
        <v>7</v>
      </c>
      <c r="DV24" s="27">
        <v>7</v>
      </c>
      <c r="DW24" s="27">
        <v>1</v>
      </c>
      <c r="DX24" s="27">
        <v>7</v>
      </c>
      <c r="DY24" s="27">
        <v>1</v>
      </c>
      <c r="DZ24" s="27">
        <v>1</v>
      </c>
      <c r="EA24" s="27">
        <v>1</v>
      </c>
      <c r="EB24" s="27">
        <v>7</v>
      </c>
      <c r="EC24" s="27">
        <v>7</v>
      </c>
      <c r="ED24" s="27">
        <v>7</v>
      </c>
      <c r="EE24" s="27">
        <v>1</v>
      </c>
      <c r="EF24" s="27">
        <v>7</v>
      </c>
      <c r="EG24" s="27">
        <v>4</v>
      </c>
      <c r="EH24" s="27">
        <v>7</v>
      </c>
      <c r="EI24" s="27">
        <v>7</v>
      </c>
      <c r="EJ24" s="27">
        <v>7</v>
      </c>
      <c r="EK24" s="27">
        <v>7</v>
      </c>
      <c r="EL24" s="27">
        <v>7</v>
      </c>
      <c r="EM24" s="27">
        <v>7</v>
      </c>
      <c r="EN24" s="27">
        <v>1</v>
      </c>
      <c r="EO24" s="27">
        <v>7</v>
      </c>
      <c r="EP24" s="27">
        <v>7</v>
      </c>
      <c r="EQ24" s="27">
        <v>7</v>
      </c>
      <c r="ER24" s="27">
        <v>7</v>
      </c>
      <c r="ES24" s="27">
        <v>7</v>
      </c>
      <c r="ET24" s="27">
        <v>7</v>
      </c>
      <c r="EU24" s="27">
        <v>7</v>
      </c>
      <c r="EV24" s="1">
        <v>18</v>
      </c>
      <c r="EW24" s="1">
        <v>1</v>
      </c>
      <c r="EY24" s="1">
        <v>3</v>
      </c>
      <c r="EZ24" s="9"/>
      <c r="FA24" s="1">
        <v>1</v>
      </c>
      <c r="FB24" s="9" t="s">
        <v>791</v>
      </c>
      <c r="FC24" s="1">
        <v>1</v>
      </c>
      <c r="FD24" s="1">
        <v>1</v>
      </c>
      <c r="FE24" s="4"/>
      <c r="FF24" s="4"/>
      <c r="FG24" s="4"/>
      <c r="FH24" s="4"/>
      <c r="FI24" s="4"/>
      <c r="FJ24" s="23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26"/>
      <c r="GF24" s="26"/>
      <c r="GG24" s="4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S24" s="3"/>
      <c r="HU24" s="3"/>
      <c r="HX24" s="3"/>
      <c r="IA24" s="3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6"/>
      <c r="JP24" s="6"/>
      <c r="JQ24" s="6"/>
      <c r="JR24" s="6"/>
      <c r="JS24" s="6"/>
      <c r="JT24" s="8"/>
      <c r="JU24" s="8"/>
      <c r="JV24" s="8"/>
      <c r="JW24" s="8"/>
      <c r="JX24" s="8"/>
      <c r="JY24" s="8"/>
      <c r="JZ24" s="8"/>
      <c r="KA24" s="8"/>
      <c r="KB24" s="8"/>
      <c r="KC24" s="6"/>
      <c r="KD24" s="6"/>
      <c r="KE24" s="6"/>
      <c r="KF24" s="6"/>
      <c r="KG24" s="6"/>
      <c r="KH24" s="6"/>
      <c r="KI24" s="6"/>
      <c r="KJ24" s="6"/>
      <c r="KK24" s="6"/>
      <c r="KL24" s="4"/>
      <c r="KM24" s="4"/>
      <c r="KN24" s="6"/>
      <c r="KO24" s="4"/>
      <c r="KP24" s="4"/>
      <c r="KQ24" s="6"/>
      <c r="KR24" s="6"/>
      <c r="KS24" s="4"/>
      <c r="KU24" s="4"/>
      <c r="KV24" s="4"/>
      <c r="KW24" s="4"/>
      <c r="KX24" s="6"/>
      <c r="KY24" s="6"/>
      <c r="KZ24" s="6"/>
      <c r="LA24" s="4"/>
      <c r="LB24" s="6"/>
      <c r="LC24" s="6"/>
      <c r="LD24" s="4"/>
      <c r="LE24" s="4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4"/>
    </row>
    <row r="25" spans="1:374" s="1" customFormat="1" x14ac:dyDescent="0.35">
      <c r="A25" s="2">
        <v>43361</v>
      </c>
      <c r="B25" s="15" t="s">
        <v>94</v>
      </c>
      <c r="C25" s="15" t="s">
        <v>186</v>
      </c>
      <c r="D25" s="1">
        <v>24</v>
      </c>
      <c r="E25" s="3">
        <v>1</v>
      </c>
      <c r="F25" s="3">
        <v>4</v>
      </c>
      <c r="G25" s="3"/>
      <c r="H25" s="3">
        <v>6</v>
      </c>
      <c r="I25" s="3">
        <v>4</v>
      </c>
      <c r="J25" s="3"/>
      <c r="K25" s="18">
        <v>0</v>
      </c>
      <c r="L25" s="18">
        <v>1</v>
      </c>
      <c r="M25" s="18">
        <v>1</v>
      </c>
      <c r="N25" s="18">
        <v>1</v>
      </c>
      <c r="O25" s="18">
        <v>1</v>
      </c>
      <c r="P25" s="4">
        <v>0.8</v>
      </c>
      <c r="Q25" s="3">
        <v>31</v>
      </c>
      <c r="R25" s="3">
        <v>29</v>
      </c>
      <c r="S25" s="3">
        <v>18</v>
      </c>
      <c r="T25" s="3">
        <v>96</v>
      </c>
      <c r="U25" s="3">
        <v>127</v>
      </c>
      <c r="V25" s="3">
        <v>127</v>
      </c>
      <c r="W25" s="3">
        <v>35</v>
      </c>
      <c r="X25" s="3">
        <v>110</v>
      </c>
      <c r="Y25" s="3">
        <v>112</v>
      </c>
      <c r="Z25" s="3"/>
      <c r="AA25" s="3"/>
      <c r="AB25" s="3"/>
      <c r="AC25" s="3"/>
      <c r="AD25" s="3"/>
      <c r="AE25" s="3"/>
      <c r="AF25" s="3"/>
      <c r="AG25" s="3"/>
      <c r="AH25" s="3"/>
      <c r="AI25" s="4"/>
      <c r="AJ25" s="4"/>
      <c r="AK25" s="4"/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/>
      <c r="AY25"/>
      <c r="AZ25"/>
      <c r="BA25"/>
      <c r="BB25"/>
      <c r="BC25"/>
      <c r="BP25" s="4"/>
      <c r="BQ25" s="4"/>
      <c r="BR25" s="4"/>
      <c r="BS25" s="4"/>
      <c r="BT25" s="4"/>
      <c r="BU25" s="4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1">
        <v>7</v>
      </c>
      <c r="CJ25" s="1">
        <v>7</v>
      </c>
      <c r="CK25" s="1">
        <v>7</v>
      </c>
      <c r="CL25" s="1">
        <v>7</v>
      </c>
      <c r="CM25" s="1">
        <v>7</v>
      </c>
      <c r="CN25" s="1">
        <v>7</v>
      </c>
      <c r="CO25" s="1">
        <v>5</v>
      </c>
      <c r="CP25" s="1">
        <v>5</v>
      </c>
      <c r="CQ25" s="1">
        <v>7</v>
      </c>
      <c r="CR25" s="1">
        <v>6</v>
      </c>
      <c r="CS25" s="1">
        <v>6</v>
      </c>
      <c r="CT25" s="1">
        <v>3</v>
      </c>
      <c r="CU25" s="1">
        <v>7</v>
      </c>
      <c r="CV25" s="1">
        <v>6</v>
      </c>
      <c r="CW25" s="1">
        <v>7</v>
      </c>
      <c r="CX25" s="1">
        <v>7</v>
      </c>
      <c r="CY25" s="1">
        <v>6</v>
      </c>
      <c r="CZ25" s="1">
        <v>7</v>
      </c>
      <c r="DA25" s="1">
        <v>7</v>
      </c>
      <c r="DB25" s="1">
        <v>7</v>
      </c>
      <c r="DC25" s="1">
        <v>6</v>
      </c>
      <c r="DD25" s="1">
        <v>6</v>
      </c>
      <c r="DE25" s="1">
        <v>7</v>
      </c>
      <c r="DF25" s="1">
        <v>1</v>
      </c>
      <c r="DG25" s="1">
        <v>1</v>
      </c>
      <c r="DH25" s="1">
        <v>2</v>
      </c>
      <c r="DI25" s="1">
        <v>2</v>
      </c>
      <c r="DJ25" s="1">
        <v>3</v>
      </c>
      <c r="DK25" s="1">
        <v>3</v>
      </c>
      <c r="DL25" s="1">
        <v>6</v>
      </c>
      <c r="DM25" s="19">
        <v>6</v>
      </c>
      <c r="DN25" s="19">
        <v>3</v>
      </c>
      <c r="DO25" s="1">
        <v>2</v>
      </c>
      <c r="DP25" s="1">
        <v>6</v>
      </c>
      <c r="DQ25" s="1">
        <v>6</v>
      </c>
      <c r="DR25" s="1">
        <v>3</v>
      </c>
      <c r="DS25" s="1">
        <v>5</v>
      </c>
      <c r="DT25" s="1">
        <v>5</v>
      </c>
      <c r="DU25" s="27">
        <v>7</v>
      </c>
      <c r="DV25" s="27">
        <v>7</v>
      </c>
      <c r="DW25" s="27">
        <v>3</v>
      </c>
      <c r="DX25" s="27">
        <v>2</v>
      </c>
      <c r="DY25" s="27">
        <v>1</v>
      </c>
      <c r="DZ25" s="27">
        <v>6</v>
      </c>
      <c r="EA25" s="27">
        <v>2</v>
      </c>
      <c r="EB25" s="27">
        <v>6</v>
      </c>
      <c r="EC25" s="27">
        <v>7</v>
      </c>
      <c r="ED25" s="27">
        <v>2</v>
      </c>
      <c r="EE25" s="27">
        <v>6</v>
      </c>
      <c r="EF25" s="27">
        <v>5</v>
      </c>
      <c r="EG25" s="27">
        <v>7</v>
      </c>
      <c r="EH25" s="27">
        <v>7</v>
      </c>
      <c r="EI25" s="27">
        <v>7</v>
      </c>
      <c r="EJ25" s="27">
        <v>7</v>
      </c>
      <c r="EK25" s="27">
        <v>7</v>
      </c>
      <c r="EL25" s="27">
        <v>7</v>
      </c>
      <c r="EM25" s="27">
        <v>1</v>
      </c>
      <c r="EN25" s="27">
        <v>2</v>
      </c>
      <c r="EO25" s="27">
        <v>7</v>
      </c>
      <c r="EP25" s="27">
        <v>7</v>
      </c>
      <c r="EQ25" s="27">
        <v>7</v>
      </c>
      <c r="ER25" s="27">
        <v>7</v>
      </c>
      <c r="ES25" s="27">
        <v>7</v>
      </c>
      <c r="ET25" s="27">
        <v>4</v>
      </c>
      <c r="EU25" s="27">
        <v>4</v>
      </c>
      <c r="EV25" s="1">
        <v>18</v>
      </c>
      <c r="EW25" s="1">
        <v>2</v>
      </c>
      <c r="EY25" s="1">
        <v>8</v>
      </c>
      <c r="EZ25" s="9" t="s">
        <v>756</v>
      </c>
      <c r="FA25" s="1">
        <v>1</v>
      </c>
      <c r="FB25" s="9" t="s">
        <v>792</v>
      </c>
      <c r="FC25" s="1">
        <v>0</v>
      </c>
      <c r="FD25" s="1">
        <v>3</v>
      </c>
      <c r="FE25" s="4"/>
      <c r="FF25" s="4"/>
      <c r="FG25" s="4"/>
      <c r="FH25" s="4"/>
      <c r="FI25" s="4"/>
      <c r="FJ25" s="23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26"/>
      <c r="GF25" s="26"/>
      <c r="GG25" s="4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S25" s="3"/>
      <c r="HU25" s="3"/>
      <c r="HX25" s="3"/>
      <c r="IA25" s="3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6"/>
      <c r="JP25" s="6"/>
      <c r="JQ25" s="6"/>
      <c r="JR25" s="6"/>
      <c r="JS25" s="6"/>
      <c r="JT25" s="8"/>
      <c r="JU25" s="8"/>
      <c r="JV25" s="8"/>
      <c r="JW25" s="8"/>
      <c r="JX25" s="8"/>
      <c r="JY25" s="8"/>
      <c r="JZ25" s="8"/>
      <c r="KA25" s="8"/>
      <c r="KB25" s="8"/>
      <c r="KC25" s="6"/>
      <c r="KD25" s="6"/>
      <c r="KE25" s="6"/>
      <c r="KF25" s="6"/>
      <c r="KG25" s="6"/>
      <c r="KH25" s="6"/>
      <c r="KI25" s="6"/>
      <c r="KJ25" s="6"/>
      <c r="KK25" s="6"/>
      <c r="KL25" s="4"/>
      <c r="KM25" s="4"/>
      <c r="KN25" s="6"/>
      <c r="KO25" s="4"/>
      <c r="KP25" s="4"/>
      <c r="KQ25" s="6"/>
      <c r="KR25" s="6"/>
      <c r="KS25" s="4"/>
      <c r="KU25" s="4"/>
      <c r="KV25" s="4"/>
      <c r="KW25" s="4"/>
      <c r="KX25" s="6"/>
      <c r="KY25" s="6"/>
      <c r="KZ25" s="6"/>
      <c r="LA25" s="4"/>
      <c r="LB25" s="6"/>
      <c r="LC25" s="6"/>
      <c r="LD25" s="4"/>
      <c r="LE25" s="4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4"/>
    </row>
    <row r="26" spans="1:374" s="1" customFormat="1" x14ac:dyDescent="0.35">
      <c r="A26" s="2">
        <v>43489</v>
      </c>
      <c r="B26" s="15" t="s">
        <v>95</v>
      </c>
      <c r="C26" s="15" t="s">
        <v>187</v>
      </c>
      <c r="D26" s="1">
        <v>25</v>
      </c>
      <c r="E26" s="3">
        <v>1</v>
      </c>
      <c r="F26" s="3">
        <v>4</v>
      </c>
      <c r="G26" s="3">
        <v>1</v>
      </c>
      <c r="H26" s="3">
        <v>7</v>
      </c>
      <c r="I26" s="3">
        <v>1</v>
      </c>
      <c r="J26" s="3">
        <v>1</v>
      </c>
      <c r="K26" s="18">
        <v>1</v>
      </c>
      <c r="L26" s="18">
        <v>1</v>
      </c>
      <c r="M26" s="18">
        <v>1</v>
      </c>
      <c r="N26" s="18">
        <v>1</v>
      </c>
      <c r="O26" s="18">
        <v>0</v>
      </c>
      <c r="P26" s="4">
        <v>0.8</v>
      </c>
      <c r="Q26" s="3">
        <v>59</v>
      </c>
      <c r="R26" s="3">
        <v>51</v>
      </c>
      <c r="S26" s="3">
        <v>68</v>
      </c>
      <c r="T26" s="3">
        <v>89</v>
      </c>
      <c r="U26" s="3">
        <v>108</v>
      </c>
      <c r="V26" s="3">
        <v>106</v>
      </c>
      <c r="W26" s="3">
        <v>83</v>
      </c>
      <c r="X26" s="3">
        <v>80</v>
      </c>
      <c r="Y26" s="3">
        <v>88</v>
      </c>
      <c r="Z26" s="3">
        <v>207</v>
      </c>
      <c r="AA26" s="3">
        <v>213</v>
      </c>
      <c r="AB26" s="3">
        <v>244</v>
      </c>
      <c r="AC26" s="3">
        <v>382</v>
      </c>
      <c r="AD26" s="3">
        <v>405</v>
      </c>
      <c r="AE26" s="3">
        <v>414</v>
      </c>
      <c r="AF26" s="3">
        <v>418</v>
      </c>
      <c r="AG26" s="3">
        <v>389</v>
      </c>
      <c r="AH26" s="3">
        <v>397</v>
      </c>
      <c r="AI26" s="4">
        <v>221.33</v>
      </c>
      <c r="AJ26" s="4">
        <v>400.33</v>
      </c>
      <c r="AK26" s="4">
        <v>401.33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f t="shared" ref="AX26:BC26" si="12">AL26+AL27+AL28+AL29</f>
        <v>0</v>
      </c>
      <c r="AY26" s="19">
        <f t="shared" si="12"/>
        <v>0</v>
      </c>
      <c r="AZ26" s="19">
        <f t="shared" si="12"/>
        <v>0</v>
      </c>
      <c r="BA26" s="19">
        <f t="shared" si="12"/>
        <v>0</v>
      </c>
      <c r="BB26" s="19">
        <f t="shared" si="12"/>
        <v>0</v>
      </c>
      <c r="BC26" s="19">
        <f t="shared" si="12"/>
        <v>0</v>
      </c>
      <c r="BD26" s="1">
        <f>AX26*3</f>
        <v>0</v>
      </c>
      <c r="BE26" s="1">
        <f t="shared" ref="BE26:BI26" si="13">AY26*3</f>
        <v>0</v>
      </c>
      <c r="BF26" s="1">
        <f t="shared" si="13"/>
        <v>0</v>
      </c>
      <c r="BG26" s="1">
        <f t="shared" si="13"/>
        <v>0</v>
      </c>
      <c r="BH26" s="1">
        <f t="shared" si="13"/>
        <v>0</v>
      </c>
      <c r="BI26" s="1">
        <f t="shared" si="13"/>
        <v>0</v>
      </c>
      <c r="BJ26" s="1">
        <f>AX26+AY26+AZ26</f>
        <v>0</v>
      </c>
      <c r="BK26" s="1">
        <f>BA26+BB26+BC26</f>
        <v>0</v>
      </c>
      <c r="BL26" s="1">
        <f>BJ26*3</f>
        <v>0</v>
      </c>
      <c r="BM26" s="1">
        <f>BK26*3</f>
        <v>0</v>
      </c>
      <c r="BN26" s="1">
        <f>BL26/3</f>
        <v>0</v>
      </c>
      <c r="BO26" s="1">
        <f>BM26/3</f>
        <v>0</v>
      </c>
      <c r="BP26" s="4">
        <v>221.33333333333334</v>
      </c>
      <c r="BQ26" s="4">
        <v>400.33333333333331</v>
      </c>
      <c r="BR26" s="4">
        <v>401.33333333333331</v>
      </c>
      <c r="BS26" s="4">
        <v>400.33</v>
      </c>
      <c r="BT26" s="4">
        <v>401.33</v>
      </c>
      <c r="BU26" s="4">
        <v>3.33</v>
      </c>
      <c r="BV26" s="3">
        <v>2</v>
      </c>
      <c r="BW26" s="3">
        <v>2</v>
      </c>
      <c r="BX26" s="3">
        <v>2</v>
      </c>
      <c r="BY26" s="3">
        <v>2</v>
      </c>
      <c r="BZ26" s="3">
        <v>3</v>
      </c>
      <c r="CA26" s="3">
        <v>3</v>
      </c>
      <c r="CB26" s="3">
        <v>3</v>
      </c>
      <c r="CC26" s="3">
        <v>3</v>
      </c>
      <c r="CD26" s="3">
        <v>3</v>
      </c>
      <c r="CE26" s="3">
        <v>3</v>
      </c>
      <c r="CF26" s="3">
        <v>3</v>
      </c>
      <c r="CG26" s="3">
        <v>3</v>
      </c>
      <c r="CH26" s="3">
        <v>1</v>
      </c>
      <c r="CI26" s="1">
        <v>7</v>
      </c>
      <c r="CJ26" s="1">
        <v>7</v>
      </c>
      <c r="CK26" s="1">
        <v>7</v>
      </c>
      <c r="CL26" s="1">
        <v>6</v>
      </c>
      <c r="CM26" s="1">
        <v>6</v>
      </c>
      <c r="CN26" s="1">
        <v>6</v>
      </c>
      <c r="CO26" s="1">
        <v>5</v>
      </c>
      <c r="CP26" s="1">
        <v>1</v>
      </c>
      <c r="CQ26" s="1">
        <v>7</v>
      </c>
      <c r="CR26" s="1">
        <v>7</v>
      </c>
      <c r="CS26" s="1">
        <v>7</v>
      </c>
      <c r="CT26" s="1">
        <v>7</v>
      </c>
      <c r="CU26" s="1">
        <v>7</v>
      </c>
      <c r="CV26" s="1">
        <v>7</v>
      </c>
      <c r="CW26" s="1">
        <v>7</v>
      </c>
      <c r="CX26" s="1">
        <v>7</v>
      </c>
      <c r="CY26" s="1">
        <v>7</v>
      </c>
      <c r="CZ26" s="1">
        <v>7</v>
      </c>
      <c r="DA26" s="1">
        <v>7</v>
      </c>
      <c r="DB26" s="1">
        <v>7</v>
      </c>
      <c r="DC26" s="1">
        <v>6</v>
      </c>
      <c r="DD26" s="1">
        <v>6</v>
      </c>
      <c r="DE26" s="1">
        <v>6</v>
      </c>
      <c r="DF26" s="1">
        <v>4</v>
      </c>
      <c r="DG26" s="1">
        <v>2</v>
      </c>
      <c r="DH26" s="1">
        <v>5</v>
      </c>
      <c r="DI26" s="1">
        <v>6</v>
      </c>
      <c r="DJ26" s="1">
        <v>6</v>
      </c>
      <c r="DK26" s="1">
        <v>5</v>
      </c>
      <c r="DL26" s="1">
        <v>6</v>
      </c>
      <c r="DM26" s="19">
        <v>6</v>
      </c>
      <c r="DN26" s="19">
        <v>2</v>
      </c>
      <c r="DO26" s="1">
        <v>4</v>
      </c>
      <c r="DP26" s="1">
        <v>6</v>
      </c>
      <c r="DQ26" s="1">
        <v>7</v>
      </c>
      <c r="DR26" s="1">
        <v>3</v>
      </c>
      <c r="DS26" s="1">
        <v>7</v>
      </c>
      <c r="DT26" s="1">
        <v>7</v>
      </c>
      <c r="DU26" s="27">
        <v>7</v>
      </c>
      <c r="DV26" s="27">
        <v>7</v>
      </c>
      <c r="DW26" s="27">
        <v>1</v>
      </c>
      <c r="DX26" s="27">
        <v>4</v>
      </c>
      <c r="DY26" s="27">
        <v>1</v>
      </c>
      <c r="DZ26" s="27">
        <v>1</v>
      </c>
      <c r="EA26" s="27">
        <v>1</v>
      </c>
      <c r="EB26" s="27">
        <v>2</v>
      </c>
      <c r="EC26" s="27">
        <v>6</v>
      </c>
      <c r="ED26" s="27">
        <v>4</v>
      </c>
      <c r="EE26" s="27">
        <v>4</v>
      </c>
      <c r="EF26" s="27">
        <v>5</v>
      </c>
      <c r="EG26" s="27">
        <v>7</v>
      </c>
      <c r="EH26" s="27">
        <v>7</v>
      </c>
      <c r="EI26" s="27">
        <v>7</v>
      </c>
      <c r="EJ26" s="27">
        <v>4</v>
      </c>
      <c r="EK26" s="27">
        <v>4</v>
      </c>
      <c r="EL26" s="27">
        <v>4</v>
      </c>
      <c r="EM26" s="27">
        <v>4</v>
      </c>
      <c r="EN26" s="27">
        <v>2</v>
      </c>
      <c r="EO26" s="27">
        <v>6</v>
      </c>
      <c r="EP26" s="27">
        <v>6</v>
      </c>
      <c r="EQ26" s="27">
        <v>6</v>
      </c>
      <c r="ER26" s="27">
        <v>4</v>
      </c>
      <c r="ES26" s="27">
        <v>5</v>
      </c>
      <c r="ET26" s="27">
        <v>4</v>
      </c>
      <c r="EU26" s="27">
        <v>4</v>
      </c>
      <c r="EV26" s="1">
        <v>19</v>
      </c>
      <c r="EW26" s="1">
        <v>2</v>
      </c>
      <c r="EY26" s="1">
        <v>6</v>
      </c>
      <c r="EZ26" s="9"/>
      <c r="FA26" s="1">
        <v>2</v>
      </c>
      <c r="FB26" s="9" t="s">
        <v>793</v>
      </c>
      <c r="FC26" s="1">
        <v>0</v>
      </c>
      <c r="FD26" s="1">
        <v>5</v>
      </c>
      <c r="FE26" s="4">
        <v>6.07</v>
      </c>
      <c r="FF26" s="4">
        <v>6.44</v>
      </c>
      <c r="FG26" s="4">
        <v>7.81</v>
      </c>
      <c r="FH26" s="4">
        <v>6.75</v>
      </c>
      <c r="FI26" s="4">
        <v>5.88</v>
      </c>
      <c r="FJ26" s="23">
        <v>6.5</v>
      </c>
      <c r="FK26" s="4">
        <v>5.29</v>
      </c>
      <c r="FL26" s="4">
        <v>6</v>
      </c>
      <c r="FM26" s="4">
        <v>5.5</v>
      </c>
      <c r="FN26" s="4">
        <v>5.88</v>
      </c>
      <c r="FO26" s="4">
        <v>5.83</v>
      </c>
      <c r="FP26" s="4">
        <v>5.58</v>
      </c>
      <c r="FQ26" s="4">
        <v>5</v>
      </c>
      <c r="FR26" s="4">
        <v>2.25</v>
      </c>
      <c r="FS26" s="4">
        <v>3.5</v>
      </c>
      <c r="FT26" s="4">
        <v>5.25</v>
      </c>
      <c r="FU26" s="4">
        <v>4.5</v>
      </c>
      <c r="FV26" s="4">
        <v>4.75</v>
      </c>
      <c r="FW26" s="4">
        <v>4.5</v>
      </c>
      <c r="FX26" s="4">
        <v>6</v>
      </c>
      <c r="FY26" s="4">
        <v>6.25</v>
      </c>
      <c r="FZ26" s="4">
        <v>4.92</v>
      </c>
      <c r="GA26" s="4">
        <v>2.63</v>
      </c>
      <c r="GB26" s="4">
        <v>6.42</v>
      </c>
      <c r="GC26" s="4">
        <v>5.25</v>
      </c>
      <c r="GD26" s="4">
        <v>4</v>
      </c>
      <c r="GE26" s="26"/>
      <c r="GF26" s="26"/>
      <c r="GG26" s="4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S26" s="3"/>
      <c r="HU26" s="3"/>
      <c r="HX26" s="3"/>
      <c r="IA26" s="3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3"/>
      <c r="JP26" s="3"/>
      <c r="JQ26" s="4"/>
      <c r="JR26" s="5"/>
      <c r="JS26" s="5"/>
      <c r="JT26" s="8"/>
      <c r="JU26" s="8"/>
      <c r="JV26" s="8"/>
      <c r="JW26" s="8"/>
      <c r="JX26" s="8"/>
      <c r="JY26" s="8"/>
      <c r="JZ26" s="8"/>
      <c r="KA26" s="8"/>
      <c r="KB26" s="8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</row>
    <row r="27" spans="1:374" s="1" customFormat="1" x14ac:dyDescent="0.35">
      <c r="A27" s="2">
        <v>43489</v>
      </c>
      <c r="B27" s="15" t="s">
        <v>95</v>
      </c>
      <c r="C27" s="15" t="s">
        <v>188</v>
      </c>
      <c r="D27" s="1">
        <v>26</v>
      </c>
      <c r="E27" s="3">
        <v>1</v>
      </c>
      <c r="F27" s="3">
        <v>4</v>
      </c>
      <c r="G27" s="3"/>
      <c r="H27" s="3">
        <v>7</v>
      </c>
      <c r="I27" s="3">
        <v>2</v>
      </c>
      <c r="J27" s="3"/>
      <c r="K27" s="18">
        <v>1</v>
      </c>
      <c r="L27" s="18">
        <v>0</v>
      </c>
      <c r="M27" s="18">
        <v>1</v>
      </c>
      <c r="N27" s="18">
        <v>1</v>
      </c>
      <c r="O27" s="18">
        <v>0</v>
      </c>
      <c r="P27" s="4">
        <v>0.6</v>
      </c>
      <c r="Q27" s="3">
        <v>52</v>
      </c>
      <c r="R27" s="3">
        <v>54</v>
      </c>
      <c r="S27" s="3">
        <v>47</v>
      </c>
      <c r="T27" s="3">
        <v>110</v>
      </c>
      <c r="U27" s="3">
        <v>107</v>
      </c>
      <c r="V27" s="3">
        <v>122</v>
      </c>
      <c r="W27" s="3">
        <v>128</v>
      </c>
      <c r="X27" s="3">
        <v>137</v>
      </c>
      <c r="Y27" s="3">
        <v>113</v>
      </c>
      <c r="Z27" s="3"/>
      <c r="AA27" s="3"/>
      <c r="AB27" s="3"/>
      <c r="AC27" s="3"/>
      <c r="AD27" s="3"/>
      <c r="AE27" s="3"/>
      <c r="AF27" s="3"/>
      <c r="AG27" s="3"/>
      <c r="AH27" s="3"/>
      <c r="AI27" s="4"/>
      <c r="AJ27" s="4"/>
      <c r="AK27" s="4"/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/>
      <c r="AY27"/>
      <c r="AZ27"/>
      <c r="BA27"/>
      <c r="BB27"/>
      <c r="BC27"/>
      <c r="BP27" s="4"/>
      <c r="BQ27" s="4"/>
      <c r="BR27" s="4"/>
      <c r="BS27" s="4"/>
      <c r="BT27" s="4"/>
      <c r="BU27" s="4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1">
        <v>7</v>
      </c>
      <c r="CJ27" s="1">
        <v>7</v>
      </c>
      <c r="CK27" s="1">
        <v>7</v>
      </c>
      <c r="CL27" s="1">
        <v>6</v>
      </c>
      <c r="CM27" s="1">
        <v>6</v>
      </c>
      <c r="CN27" s="1">
        <v>6</v>
      </c>
      <c r="CO27" s="1">
        <v>6</v>
      </c>
      <c r="CP27" s="1">
        <v>2</v>
      </c>
      <c r="CQ27" s="1">
        <v>7</v>
      </c>
      <c r="CR27" s="1">
        <v>7</v>
      </c>
      <c r="CS27" s="1">
        <v>7</v>
      </c>
      <c r="CT27" s="1">
        <v>6</v>
      </c>
      <c r="CU27" s="1">
        <v>7</v>
      </c>
      <c r="CV27" s="1">
        <v>7</v>
      </c>
      <c r="CW27" s="1">
        <v>7</v>
      </c>
      <c r="CX27" s="1">
        <v>7</v>
      </c>
      <c r="CY27" s="1">
        <v>7</v>
      </c>
      <c r="CZ27" s="1">
        <v>7</v>
      </c>
      <c r="DA27" s="1">
        <v>7</v>
      </c>
      <c r="DB27" s="1">
        <v>7</v>
      </c>
      <c r="DC27" s="1">
        <v>7</v>
      </c>
      <c r="DD27" s="1">
        <v>7</v>
      </c>
      <c r="DE27" s="1">
        <v>7</v>
      </c>
      <c r="DF27" s="1">
        <v>2</v>
      </c>
      <c r="DG27" s="1">
        <v>2</v>
      </c>
      <c r="DH27" s="1">
        <v>6</v>
      </c>
      <c r="DI27" s="1">
        <v>2</v>
      </c>
      <c r="DJ27" s="1">
        <v>5</v>
      </c>
      <c r="DK27" s="1">
        <v>2</v>
      </c>
      <c r="DL27" s="1">
        <v>7</v>
      </c>
      <c r="DM27" s="19">
        <v>7</v>
      </c>
      <c r="DN27" s="19">
        <v>6</v>
      </c>
      <c r="DO27" s="1">
        <v>6</v>
      </c>
      <c r="DP27" s="1">
        <v>5</v>
      </c>
      <c r="DQ27" s="1">
        <v>7</v>
      </c>
      <c r="DR27" s="1">
        <v>7</v>
      </c>
      <c r="DS27" s="1">
        <v>7</v>
      </c>
      <c r="DT27" s="1">
        <v>7</v>
      </c>
      <c r="DU27" s="27">
        <v>7</v>
      </c>
      <c r="DV27" s="27">
        <v>6</v>
      </c>
      <c r="DW27" s="27">
        <v>2</v>
      </c>
      <c r="DX27" s="27">
        <v>7</v>
      </c>
      <c r="DY27" s="27">
        <v>6</v>
      </c>
      <c r="DZ27" s="27">
        <v>6</v>
      </c>
      <c r="EA27" s="27">
        <v>2</v>
      </c>
      <c r="EB27" s="27">
        <v>5</v>
      </c>
      <c r="EC27" s="27">
        <v>6</v>
      </c>
      <c r="ED27" s="27">
        <v>2</v>
      </c>
      <c r="EE27" s="27">
        <v>2</v>
      </c>
      <c r="EF27" s="27">
        <v>4</v>
      </c>
      <c r="EG27" s="27">
        <v>6</v>
      </c>
      <c r="EH27" s="27">
        <v>7</v>
      </c>
      <c r="EI27" s="27">
        <v>7</v>
      </c>
      <c r="EJ27" s="27">
        <v>7</v>
      </c>
      <c r="EK27" s="27">
        <v>7</v>
      </c>
      <c r="EL27" s="27">
        <v>6</v>
      </c>
      <c r="EM27" s="27">
        <v>3</v>
      </c>
      <c r="EN27" s="27">
        <v>2</v>
      </c>
      <c r="EO27" s="27">
        <v>7</v>
      </c>
      <c r="EP27" s="27">
        <v>7</v>
      </c>
      <c r="EQ27" s="27">
        <v>4</v>
      </c>
      <c r="ER27" s="27">
        <v>6</v>
      </c>
      <c r="ES27" s="27">
        <v>7</v>
      </c>
      <c r="ET27" s="27">
        <v>4</v>
      </c>
      <c r="EU27" s="27">
        <v>4</v>
      </c>
      <c r="EV27" s="1">
        <v>19</v>
      </c>
      <c r="EW27" s="1">
        <v>1</v>
      </c>
      <c r="EY27" s="1">
        <v>2</v>
      </c>
      <c r="EZ27" s="9"/>
      <c r="FA27" s="1">
        <v>2</v>
      </c>
      <c r="FB27" s="9" t="s">
        <v>784</v>
      </c>
      <c r="FC27" s="1">
        <v>1</v>
      </c>
      <c r="FD27" s="1">
        <v>4</v>
      </c>
      <c r="FE27" s="4"/>
      <c r="FF27" s="4"/>
      <c r="FG27" s="4"/>
      <c r="FH27" s="4"/>
      <c r="FI27" s="4"/>
      <c r="FJ27" s="23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26"/>
      <c r="GF27" s="26"/>
      <c r="GG27" s="4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S27" s="3"/>
      <c r="HU27" s="3"/>
      <c r="HX27" s="3"/>
      <c r="IA27" s="3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6"/>
      <c r="JP27" s="6"/>
      <c r="JQ27" s="6"/>
      <c r="JR27" s="6"/>
      <c r="JS27" s="6"/>
      <c r="JT27" s="8"/>
      <c r="JU27" s="8"/>
      <c r="JV27" s="8"/>
      <c r="JW27" s="8"/>
      <c r="JX27" s="8"/>
      <c r="JY27" s="8"/>
      <c r="JZ27" s="8"/>
      <c r="KA27" s="8"/>
      <c r="KB27" s="8"/>
      <c r="KC27" s="6"/>
      <c r="KD27" s="6"/>
      <c r="KE27" s="6"/>
      <c r="KF27" s="6"/>
      <c r="KG27" s="6"/>
      <c r="KH27" s="6"/>
      <c r="KI27" s="6"/>
      <c r="KJ27" s="6"/>
      <c r="KK27" s="6"/>
      <c r="KL27" s="4"/>
      <c r="KM27" s="4"/>
      <c r="KN27" s="6"/>
      <c r="KO27" s="4"/>
      <c r="KP27" s="4"/>
      <c r="KQ27" s="6"/>
      <c r="KR27" s="6"/>
      <c r="KS27" s="4"/>
      <c r="KU27" s="4"/>
      <c r="KV27" s="4"/>
      <c r="KW27" s="4"/>
      <c r="KX27" s="6"/>
      <c r="KY27" s="6"/>
      <c r="KZ27" s="6"/>
      <c r="LA27" s="4"/>
      <c r="LB27" s="6"/>
      <c r="LC27" s="6"/>
      <c r="LD27" s="4"/>
      <c r="LE27" s="4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4"/>
    </row>
    <row r="28" spans="1:374" s="1" customFormat="1" x14ac:dyDescent="0.35">
      <c r="A28" s="2">
        <v>43489</v>
      </c>
      <c r="B28" s="15" t="s">
        <v>95</v>
      </c>
      <c r="C28" s="15" t="s">
        <v>189</v>
      </c>
      <c r="D28" s="1">
        <v>27</v>
      </c>
      <c r="E28" s="3">
        <v>1</v>
      </c>
      <c r="F28" s="3">
        <v>4</v>
      </c>
      <c r="G28" s="3"/>
      <c r="H28" s="3">
        <v>7</v>
      </c>
      <c r="I28" s="3">
        <v>3</v>
      </c>
      <c r="J28" s="3"/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4">
        <v>1</v>
      </c>
      <c r="Q28" s="3">
        <v>64</v>
      </c>
      <c r="R28" s="3">
        <v>85</v>
      </c>
      <c r="S28" s="3">
        <v>102</v>
      </c>
      <c r="T28" s="3">
        <v>79</v>
      </c>
      <c r="U28" s="3">
        <v>90</v>
      </c>
      <c r="V28" s="3">
        <v>101</v>
      </c>
      <c r="W28" s="3">
        <v>82</v>
      </c>
      <c r="X28" s="3">
        <v>72</v>
      </c>
      <c r="Y28" s="3">
        <v>79</v>
      </c>
      <c r="Z28" s="3"/>
      <c r="AA28" s="3"/>
      <c r="AB28" s="3"/>
      <c r="AC28" s="3"/>
      <c r="AD28" s="3"/>
      <c r="AE28" s="3"/>
      <c r="AF28" s="3"/>
      <c r="AG28" s="3"/>
      <c r="AH28" s="3"/>
      <c r="AI28" s="4"/>
      <c r="AJ28" s="4"/>
      <c r="AK28" s="4"/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/>
      <c r="AY28"/>
      <c r="AZ28"/>
      <c r="BA28"/>
      <c r="BB28"/>
      <c r="BC28"/>
      <c r="BP28" s="4"/>
      <c r="BQ28" s="4"/>
      <c r="BR28" s="4"/>
      <c r="BS28" s="4"/>
      <c r="BT28" s="4"/>
      <c r="BU28" s="4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1">
        <v>6</v>
      </c>
      <c r="CJ28" s="1">
        <v>3</v>
      </c>
      <c r="CK28" s="1">
        <v>7</v>
      </c>
      <c r="CL28" s="1">
        <v>6</v>
      </c>
      <c r="CM28" s="1">
        <v>3</v>
      </c>
      <c r="CN28" s="1">
        <v>5</v>
      </c>
      <c r="CO28" s="1">
        <v>3</v>
      </c>
      <c r="CP28" s="1">
        <v>2</v>
      </c>
      <c r="CQ28" s="1">
        <v>6</v>
      </c>
      <c r="CR28" s="1">
        <v>6</v>
      </c>
      <c r="CS28" s="1">
        <v>6</v>
      </c>
      <c r="CT28" s="1">
        <v>6</v>
      </c>
      <c r="CU28" s="1">
        <v>6</v>
      </c>
      <c r="CV28" s="1">
        <v>6</v>
      </c>
      <c r="CW28" s="1">
        <v>6</v>
      </c>
      <c r="CX28" s="1">
        <v>6</v>
      </c>
      <c r="CY28" s="1">
        <v>4</v>
      </c>
      <c r="CZ28" s="1">
        <v>6</v>
      </c>
      <c r="DA28" s="1">
        <v>6</v>
      </c>
      <c r="DB28" s="1">
        <v>6</v>
      </c>
      <c r="DC28" s="1">
        <v>5</v>
      </c>
      <c r="DD28" s="1">
        <v>4</v>
      </c>
      <c r="DE28" s="1">
        <v>6</v>
      </c>
      <c r="DF28" s="1">
        <v>7</v>
      </c>
      <c r="DG28" s="1">
        <v>7</v>
      </c>
      <c r="DH28" s="1">
        <v>7</v>
      </c>
      <c r="DI28" s="1">
        <v>7</v>
      </c>
      <c r="DJ28" s="1">
        <v>7</v>
      </c>
      <c r="DK28" s="1">
        <v>6</v>
      </c>
      <c r="DL28" s="1">
        <v>5</v>
      </c>
      <c r="DM28" s="19">
        <v>3</v>
      </c>
      <c r="DN28" s="19">
        <v>6</v>
      </c>
      <c r="DO28" s="1">
        <v>7</v>
      </c>
      <c r="DP28" s="1">
        <v>6</v>
      </c>
      <c r="DQ28" s="1">
        <v>2</v>
      </c>
      <c r="DR28" s="1">
        <v>2</v>
      </c>
      <c r="DS28" s="1">
        <v>3</v>
      </c>
      <c r="DT28" s="1">
        <v>6</v>
      </c>
      <c r="DU28" s="27">
        <v>7</v>
      </c>
      <c r="DV28" s="27">
        <v>7</v>
      </c>
      <c r="DW28" s="27">
        <v>4</v>
      </c>
      <c r="DX28" s="27">
        <v>6</v>
      </c>
      <c r="DY28" s="27">
        <v>2</v>
      </c>
      <c r="DZ28" s="27">
        <v>2</v>
      </c>
      <c r="EA28" s="27">
        <v>1</v>
      </c>
      <c r="EB28" s="27">
        <v>2</v>
      </c>
      <c r="EC28" s="27">
        <v>4</v>
      </c>
      <c r="ED28" s="27">
        <v>6</v>
      </c>
      <c r="EE28" s="27">
        <v>6</v>
      </c>
      <c r="EF28" s="27">
        <v>6</v>
      </c>
      <c r="EG28" s="27">
        <v>4</v>
      </c>
      <c r="EH28" s="27">
        <v>6</v>
      </c>
      <c r="EI28" s="27">
        <v>6</v>
      </c>
      <c r="EJ28" s="27">
        <v>4</v>
      </c>
      <c r="EK28" s="27">
        <v>4</v>
      </c>
      <c r="EL28" s="27">
        <v>6</v>
      </c>
      <c r="EM28" s="27">
        <v>2</v>
      </c>
      <c r="EN28" s="27">
        <v>2</v>
      </c>
      <c r="EO28" s="27">
        <v>7</v>
      </c>
      <c r="EP28" s="27">
        <v>7</v>
      </c>
      <c r="EQ28" s="27">
        <v>6</v>
      </c>
      <c r="ER28" s="27">
        <v>6</v>
      </c>
      <c r="ES28" s="27">
        <v>6</v>
      </c>
      <c r="ET28" s="27">
        <v>4</v>
      </c>
      <c r="EU28" s="27">
        <v>4</v>
      </c>
      <c r="EV28" s="1">
        <v>19</v>
      </c>
      <c r="EW28" s="1">
        <v>2</v>
      </c>
      <c r="EY28" s="1">
        <v>1</v>
      </c>
      <c r="EZ28" s="9"/>
      <c r="FA28" s="1">
        <v>1</v>
      </c>
      <c r="FB28" s="9" t="s">
        <v>794</v>
      </c>
      <c r="FC28" s="1">
        <v>0</v>
      </c>
      <c r="FD28" s="1">
        <v>6</v>
      </c>
      <c r="FE28" s="4"/>
      <c r="FF28" s="4"/>
      <c r="FG28" s="4"/>
      <c r="FH28" s="4"/>
      <c r="FI28" s="4"/>
      <c r="FJ28" s="23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26"/>
      <c r="GF28" s="26"/>
      <c r="GG28" s="4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S28" s="3"/>
      <c r="HU28" s="3"/>
      <c r="HX28" s="3"/>
      <c r="IA28" s="3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6"/>
      <c r="JP28" s="6"/>
      <c r="JQ28" s="6"/>
      <c r="JR28" s="6"/>
      <c r="JS28" s="6"/>
      <c r="JT28" s="8"/>
      <c r="JU28" s="8"/>
      <c r="JV28" s="8"/>
      <c r="JW28" s="8"/>
      <c r="JX28" s="8"/>
      <c r="JY28" s="8"/>
      <c r="JZ28" s="8"/>
      <c r="KA28" s="8"/>
      <c r="KB28" s="8"/>
      <c r="KC28" s="6"/>
      <c r="KD28" s="6"/>
      <c r="KE28" s="6"/>
      <c r="KF28" s="6"/>
      <c r="KG28" s="6"/>
      <c r="KH28" s="6"/>
      <c r="KI28" s="6"/>
      <c r="KJ28" s="6"/>
      <c r="KK28" s="6"/>
      <c r="KL28" s="4"/>
      <c r="KM28" s="4"/>
      <c r="KN28" s="6"/>
      <c r="KO28" s="4"/>
      <c r="KP28" s="4"/>
      <c r="KQ28" s="6"/>
      <c r="KR28" s="6"/>
      <c r="KS28" s="4"/>
      <c r="KU28" s="4"/>
      <c r="KV28" s="4"/>
      <c r="KW28" s="4"/>
      <c r="KX28" s="6"/>
      <c r="KY28" s="6"/>
      <c r="KZ28" s="6"/>
      <c r="LA28" s="4"/>
      <c r="LB28" s="6"/>
      <c r="LC28" s="6"/>
      <c r="LD28" s="4"/>
      <c r="LE28" s="4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4"/>
    </row>
    <row r="29" spans="1:374" s="1" customFormat="1" x14ac:dyDescent="0.35">
      <c r="A29" s="2">
        <v>43489</v>
      </c>
      <c r="B29" s="15" t="s">
        <v>95</v>
      </c>
      <c r="C29" s="15" t="s">
        <v>190</v>
      </c>
      <c r="D29" s="1">
        <v>28</v>
      </c>
      <c r="E29" s="3">
        <v>1</v>
      </c>
      <c r="F29" s="3">
        <v>4</v>
      </c>
      <c r="G29" s="3"/>
      <c r="H29" s="3">
        <v>7</v>
      </c>
      <c r="I29" s="3">
        <v>4</v>
      </c>
      <c r="J29" s="3"/>
      <c r="K29" s="18">
        <v>0</v>
      </c>
      <c r="L29" s="18">
        <v>1</v>
      </c>
      <c r="M29" s="18">
        <v>1</v>
      </c>
      <c r="N29" s="18">
        <v>1</v>
      </c>
      <c r="O29" s="18">
        <v>1</v>
      </c>
      <c r="P29" s="4">
        <v>0.8</v>
      </c>
      <c r="Q29" s="3">
        <v>32</v>
      </c>
      <c r="R29" s="3">
        <v>23</v>
      </c>
      <c r="S29" s="3">
        <v>27</v>
      </c>
      <c r="T29" s="3">
        <v>104</v>
      </c>
      <c r="U29" s="3">
        <v>100</v>
      </c>
      <c r="V29" s="3">
        <v>85</v>
      </c>
      <c r="W29" s="3">
        <v>125</v>
      </c>
      <c r="X29" s="3">
        <v>100</v>
      </c>
      <c r="Y29" s="3">
        <v>117</v>
      </c>
      <c r="Z29" s="3"/>
      <c r="AA29" s="3"/>
      <c r="AB29" s="3"/>
      <c r="AC29" s="3"/>
      <c r="AD29" s="3"/>
      <c r="AE29" s="3"/>
      <c r="AF29" s="3"/>
      <c r="AG29" s="3"/>
      <c r="AH29" s="3"/>
      <c r="AI29" s="4"/>
      <c r="AJ29" s="4"/>
      <c r="AK29" s="4"/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/>
      <c r="AY29"/>
      <c r="AZ29"/>
      <c r="BA29"/>
      <c r="BB29"/>
      <c r="BC29"/>
      <c r="BP29" s="4"/>
      <c r="BQ29" s="4"/>
      <c r="BR29" s="4"/>
      <c r="BS29" s="4"/>
      <c r="BT29" s="4"/>
      <c r="BU29" s="4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1">
        <v>7</v>
      </c>
      <c r="CJ29" s="1">
        <v>7</v>
      </c>
      <c r="CK29" s="1">
        <v>7</v>
      </c>
      <c r="CL29" s="1">
        <v>7</v>
      </c>
      <c r="CM29" s="1">
        <v>7</v>
      </c>
      <c r="CN29" s="1">
        <v>7</v>
      </c>
      <c r="CO29" s="1">
        <v>6</v>
      </c>
      <c r="CP29" s="1">
        <v>1</v>
      </c>
      <c r="CQ29" s="1">
        <v>3</v>
      </c>
      <c r="CR29" s="1">
        <v>7</v>
      </c>
      <c r="CS29" s="1">
        <v>7</v>
      </c>
      <c r="CT29" s="1">
        <v>7</v>
      </c>
      <c r="CU29" s="1">
        <v>5</v>
      </c>
      <c r="CV29" s="1">
        <v>5</v>
      </c>
      <c r="CW29" s="1">
        <v>5</v>
      </c>
      <c r="CX29" s="1">
        <v>5</v>
      </c>
      <c r="CY29" s="1">
        <v>7</v>
      </c>
      <c r="CZ29" s="1">
        <v>7</v>
      </c>
      <c r="DA29" s="1">
        <v>7</v>
      </c>
      <c r="DB29" s="1">
        <v>7</v>
      </c>
      <c r="DC29" s="1">
        <v>5</v>
      </c>
      <c r="DD29" s="1">
        <v>7</v>
      </c>
      <c r="DE29" s="1">
        <v>7</v>
      </c>
      <c r="DF29" s="1">
        <v>7</v>
      </c>
      <c r="DG29" s="1">
        <v>7</v>
      </c>
      <c r="DH29" s="1">
        <v>7</v>
      </c>
      <c r="DI29" s="1">
        <v>7</v>
      </c>
      <c r="DJ29" s="1">
        <v>4</v>
      </c>
      <c r="DK29" s="1">
        <v>7</v>
      </c>
      <c r="DL29" s="1">
        <v>7</v>
      </c>
      <c r="DM29" s="19">
        <v>7</v>
      </c>
      <c r="DN29" s="19">
        <v>6</v>
      </c>
      <c r="DO29" s="1">
        <v>7</v>
      </c>
      <c r="DP29" s="1">
        <v>7</v>
      </c>
      <c r="DQ29" s="1">
        <v>7</v>
      </c>
      <c r="DR29" s="1">
        <v>7</v>
      </c>
      <c r="DS29" s="1">
        <v>7</v>
      </c>
      <c r="DT29" s="1">
        <v>7</v>
      </c>
      <c r="DU29" s="27">
        <v>7</v>
      </c>
      <c r="DV29" s="27">
        <v>7</v>
      </c>
      <c r="DW29" s="27">
        <v>5</v>
      </c>
      <c r="DX29" s="27">
        <v>7</v>
      </c>
      <c r="DY29" s="27">
        <v>7</v>
      </c>
      <c r="DZ29" s="27">
        <v>5</v>
      </c>
      <c r="EA29" s="27">
        <v>5</v>
      </c>
      <c r="EB29" s="27">
        <v>5</v>
      </c>
      <c r="EC29" s="27">
        <v>5</v>
      </c>
      <c r="ED29" s="27">
        <v>6</v>
      </c>
      <c r="EE29" s="27">
        <v>7</v>
      </c>
      <c r="EF29" s="27">
        <v>3</v>
      </c>
      <c r="EG29" s="27">
        <v>7</v>
      </c>
      <c r="EH29" s="27">
        <v>5</v>
      </c>
      <c r="EI29" s="27">
        <v>5</v>
      </c>
      <c r="EJ29" s="27">
        <v>4</v>
      </c>
      <c r="EK29" s="27">
        <v>5</v>
      </c>
      <c r="EL29" s="27">
        <v>4</v>
      </c>
      <c r="EM29" s="27">
        <v>3</v>
      </c>
      <c r="EN29" s="27">
        <v>3</v>
      </c>
      <c r="EO29" s="27">
        <v>7</v>
      </c>
      <c r="EP29" s="27">
        <v>7</v>
      </c>
      <c r="EQ29" s="27">
        <v>7</v>
      </c>
      <c r="ER29" s="27">
        <v>4</v>
      </c>
      <c r="ES29" s="27">
        <v>4</v>
      </c>
      <c r="ET29" s="27">
        <v>4</v>
      </c>
      <c r="EU29" s="27">
        <v>4</v>
      </c>
      <c r="EV29" s="1">
        <v>20</v>
      </c>
      <c r="EW29" s="1">
        <v>1</v>
      </c>
      <c r="EY29" s="1">
        <v>4</v>
      </c>
      <c r="EZ29" s="9"/>
      <c r="FA29" s="1">
        <v>2</v>
      </c>
      <c r="FB29" s="9" t="s">
        <v>795</v>
      </c>
      <c r="FC29" s="1">
        <v>1</v>
      </c>
      <c r="FD29" s="1">
        <v>2</v>
      </c>
      <c r="FE29" s="4"/>
      <c r="FF29" s="4"/>
      <c r="FG29" s="4"/>
      <c r="FH29" s="4"/>
      <c r="FI29" s="4"/>
      <c r="FJ29" s="23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26"/>
      <c r="GF29" s="26"/>
      <c r="GG29" s="4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S29" s="3"/>
      <c r="HU29" s="3"/>
      <c r="HX29" s="3"/>
      <c r="IA29" s="3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6"/>
      <c r="JP29" s="6"/>
      <c r="JQ29" s="6"/>
      <c r="JR29" s="6"/>
      <c r="JS29" s="6"/>
      <c r="JT29" s="8"/>
      <c r="JU29" s="8"/>
      <c r="JV29" s="8"/>
      <c r="JW29" s="8"/>
      <c r="JX29" s="8"/>
      <c r="JY29" s="8"/>
      <c r="JZ29" s="8"/>
      <c r="KA29" s="8"/>
      <c r="KB29" s="8"/>
      <c r="KC29" s="6"/>
      <c r="KD29" s="6"/>
      <c r="KE29" s="6"/>
      <c r="KF29" s="6"/>
      <c r="KG29" s="6"/>
      <c r="KH29" s="6"/>
      <c r="KI29" s="6"/>
      <c r="KJ29" s="6"/>
      <c r="KK29" s="6"/>
      <c r="KL29" s="4"/>
      <c r="KM29" s="4"/>
      <c r="KN29" s="6"/>
      <c r="KO29" s="4"/>
      <c r="KP29" s="4"/>
      <c r="KQ29" s="6"/>
      <c r="KR29" s="6"/>
      <c r="KS29" s="4"/>
      <c r="KU29" s="4"/>
      <c r="KV29" s="4"/>
      <c r="KW29" s="4"/>
      <c r="KX29" s="6"/>
      <c r="KY29" s="6"/>
      <c r="KZ29" s="6"/>
      <c r="LA29" s="4"/>
      <c r="LB29" s="6"/>
      <c r="LC29" s="6"/>
      <c r="LD29" s="4"/>
      <c r="LE29" s="4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4"/>
    </row>
    <row r="30" spans="1:374" s="1" customFormat="1" x14ac:dyDescent="0.35">
      <c r="A30" s="2">
        <v>43489</v>
      </c>
      <c r="B30" s="15" t="s">
        <v>96</v>
      </c>
      <c r="C30" s="15" t="s">
        <v>191</v>
      </c>
      <c r="D30" s="1">
        <v>29</v>
      </c>
      <c r="E30" s="3">
        <v>1</v>
      </c>
      <c r="F30" s="3">
        <v>4</v>
      </c>
      <c r="G30" s="3">
        <v>1</v>
      </c>
      <c r="H30" s="3">
        <v>8</v>
      </c>
      <c r="I30" s="3">
        <v>1</v>
      </c>
      <c r="J30" s="3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4">
        <v>1</v>
      </c>
      <c r="Q30" s="3">
        <v>76</v>
      </c>
      <c r="R30" s="3">
        <v>58</v>
      </c>
      <c r="S30" s="3">
        <v>68</v>
      </c>
      <c r="T30" s="3">
        <v>114</v>
      </c>
      <c r="U30" s="3">
        <v>68</v>
      </c>
      <c r="V30" s="3">
        <v>101</v>
      </c>
      <c r="W30" s="3">
        <v>88</v>
      </c>
      <c r="X30" s="3">
        <v>85</v>
      </c>
      <c r="Y30" s="3">
        <v>100</v>
      </c>
      <c r="Z30" s="3">
        <v>211</v>
      </c>
      <c r="AA30" s="3">
        <v>190</v>
      </c>
      <c r="AB30" s="3">
        <v>190</v>
      </c>
      <c r="AC30" s="3">
        <v>374</v>
      </c>
      <c r="AD30" s="3">
        <v>400</v>
      </c>
      <c r="AE30" s="3">
        <v>396</v>
      </c>
      <c r="AF30" s="3">
        <v>397</v>
      </c>
      <c r="AG30" s="3">
        <v>400</v>
      </c>
      <c r="AH30" s="3">
        <v>377</v>
      </c>
      <c r="AI30" s="4">
        <v>197</v>
      </c>
      <c r="AJ30" s="4">
        <v>390</v>
      </c>
      <c r="AK30" s="4">
        <v>391.33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f t="shared" ref="AX30:BC30" si="14">AL30+AL31+AL32+AL33</f>
        <v>0</v>
      </c>
      <c r="AY30" s="19">
        <f t="shared" si="14"/>
        <v>0</v>
      </c>
      <c r="AZ30" s="19">
        <f t="shared" si="14"/>
        <v>0</v>
      </c>
      <c r="BA30" s="19">
        <f t="shared" si="14"/>
        <v>0</v>
      </c>
      <c r="BB30" s="19">
        <f t="shared" si="14"/>
        <v>0</v>
      </c>
      <c r="BC30" s="19">
        <f t="shared" si="14"/>
        <v>0</v>
      </c>
      <c r="BD30" s="1">
        <f>AX30*3</f>
        <v>0</v>
      </c>
      <c r="BE30" s="1">
        <f t="shared" ref="BE30:BI30" si="15">AY30*3</f>
        <v>0</v>
      </c>
      <c r="BF30" s="1">
        <f t="shared" si="15"/>
        <v>0</v>
      </c>
      <c r="BG30" s="1">
        <f t="shared" si="15"/>
        <v>0</v>
      </c>
      <c r="BH30" s="1">
        <f t="shared" si="15"/>
        <v>0</v>
      </c>
      <c r="BI30" s="1">
        <f t="shared" si="15"/>
        <v>0</v>
      </c>
      <c r="BJ30" s="1">
        <f>AX30+AY30+AZ30</f>
        <v>0</v>
      </c>
      <c r="BK30" s="1">
        <f>BA30+BB30+BC30</f>
        <v>0</v>
      </c>
      <c r="BL30" s="1">
        <f>BJ30*3</f>
        <v>0</v>
      </c>
      <c r="BM30" s="1">
        <f>BK30*3</f>
        <v>0</v>
      </c>
      <c r="BN30" s="1">
        <f>BL30/3</f>
        <v>0</v>
      </c>
      <c r="BO30" s="1">
        <f>BM30/3</f>
        <v>0</v>
      </c>
      <c r="BP30" s="4">
        <v>197</v>
      </c>
      <c r="BQ30" s="4">
        <v>390</v>
      </c>
      <c r="BR30" s="4">
        <v>391.33333333333331</v>
      </c>
      <c r="BS30" s="4">
        <v>390</v>
      </c>
      <c r="BT30" s="4">
        <v>391.33</v>
      </c>
      <c r="BU30" s="4">
        <v>3.5</v>
      </c>
      <c r="BV30" s="3">
        <v>4</v>
      </c>
      <c r="BW30" s="3">
        <v>4</v>
      </c>
      <c r="BX30" s="3">
        <v>4</v>
      </c>
      <c r="BY30" s="3">
        <v>4</v>
      </c>
      <c r="BZ30" s="3">
        <v>0</v>
      </c>
      <c r="CA30" s="3">
        <v>2</v>
      </c>
      <c r="CB30" s="3">
        <v>2</v>
      </c>
      <c r="CC30" s="3">
        <v>2</v>
      </c>
      <c r="CD30" s="3">
        <v>1</v>
      </c>
      <c r="CE30" s="3">
        <v>2</v>
      </c>
      <c r="CF30" s="3">
        <v>2</v>
      </c>
      <c r="CG30" s="3">
        <v>2</v>
      </c>
      <c r="CH30" s="3">
        <v>1</v>
      </c>
      <c r="CI30" s="1">
        <v>6</v>
      </c>
      <c r="CJ30" s="1">
        <v>6</v>
      </c>
      <c r="CK30" s="1">
        <v>6</v>
      </c>
      <c r="CL30" s="1">
        <v>6</v>
      </c>
      <c r="CM30" s="1">
        <v>6</v>
      </c>
      <c r="CN30" s="1">
        <v>6</v>
      </c>
      <c r="CO30" s="1">
        <v>6</v>
      </c>
      <c r="CP30" s="1">
        <v>2</v>
      </c>
      <c r="CQ30" s="1">
        <v>6</v>
      </c>
      <c r="CR30" s="1">
        <v>6</v>
      </c>
      <c r="CS30" s="1">
        <v>6</v>
      </c>
      <c r="CT30" s="1">
        <v>6</v>
      </c>
      <c r="CU30" s="1">
        <v>6</v>
      </c>
      <c r="CV30" s="1">
        <v>6</v>
      </c>
      <c r="CW30" s="1">
        <v>6</v>
      </c>
      <c r="CX30" s="1">
        <v>6</v>
      </c>
      <c r="CY30" s="1">
        <v>6</v>
      </c>
      <c r="CZ30" s="1">
        <v>6</v>
      </c>
      <c r="DA30" s="1">
        <v>6</v>
      </c>
      <c r="DB30" s="1">
        <v>7</v>
      </c>
      <c r="DC30" s="1">
        <v>5</v>
      </c>
      <c r="DD30" s="1">
        <v>6</v>
      </c>
      <c r="DE30" s="1">
        <v>6</v>
      </c>
      <c r="DF30" s="1">
        <v>3</v>
      </c>
      <c r="DG30" s="1">
        <v>4</v>
      </c>
      <c r="DH30" s="1">
        <v>4</v>
      </c>
      <c r="DI30" s="1">
        <v>6</v>
      </c>
      <c r="DJ30" s="1">
        <v>4</v>
      </c>
      <c r="DK30" s="1">
        <v>3</v>
      </c>
      <c r="DL30" s="1">
        <v>6</v>
      </c>
      <c r="DM30" s="19">
        <v>6</v>
      </c>
      <c r="DN30" s="19">
        <v>7</v>
      </c>
      <c r="DO30" s="1">
        <v>4</v>
      </c>
      <c r="DP30" s="1">
        <v>7</v>
      </c>
      <c r="DQ30" s="1">
        <v>5</v>
      </c>
      <c r="DR30" s="1">
        <v>3</v>
      </c>
      <c r="DS30" s="1">
        <v>6</v>
      </c>
      <c r="DT30" s="1">
        <v>6</v>
      </c>
      <c r="DU30" s="27">
        <v>6</v>
      </c>
      <c r="DV30" s="27">
        <v>6</v>
      </c>
      <c r="DW30" s="27">
        <v>3</v>
      </c>
      <c r="DX30" s="27">
        <v>5</v>
      </c>
      <c r="DY30" s="27">
        <v>6</v>
      </c>
      <c r="DZ30" s="27">
        <v>3</v>
      </c>
      <c r="EA30" s="27">
        <v>1</v>
      </c>
      <c r="EB30" s="27">
        <v>7</v>
      </c>
      <c r="EC30" s="27">
        <v>5</v>
      </c>
      <c r="ED30" s="27">
        <v>5</v>
      </c>
      <c r="EE30" s="27">
        <v>6</v>
      </c>
      <c r="EF30" s="27">
        <v>3</v>
      </c>
      <c r="EG30" s="27">
        <v>6</v>
      </c>
      <c r="EH30" s="27">
        <v>6</v>
      </c>
      <c r="EI30" s="27">
        <v>6</v>
      </c>
      <c r="EJ30" s="27">
        <v>6</v>
      </c>
      <c r="EK30" s="27">
        <v>6</v>
      </c>
      <c r="EL30" s="27">
        <v>6</v>
      </c>
      <c r="EM30" s="27">
        <v>1</v>
      </c>
      <c r="EN30" s="27">
        <v>3</v>
      </c>
      <c r="EO30" s="27">
        <v>7</v>
      </c>
      <c r="EP30" s="27">
        <v>7</v>
      </c>
      <c r="EQ30" s="27">
        <v>6</v>
      </c>
      <c r="ER30" s="27">
        <v>6</v>
      </c>
      <c r="ES30" s="27">
        <v>7</v>
      </c>
      <c r="ET30" s="27">
        <v>4</v>
      </c>
      <c r="EU30" s="27">
        <v>4</v>
      </c>
      <c r="EV30" s="1">
        <v>18</v>
      </c>
      <c r="EW30" s="1">
        <v>1</v>
      </c>
      <c r="EY30" s="1">
        <v>1</v>
      </c>
      <c r="EZ30" s="9"/>
      <c r="FA30" s="1">
        <v>1</v>
      </c>
      <c r="FB30" s="9" t="s">
        <v>796</v>
      </c>
      <c r="FC30" s="1">
        <v>0</v>
      </c>
      <c r="FD30" s="1">
        <v>3</v>
      </c>
      <c r="FE30" s="4">
        <v>6.61</v>
      </c>
      <c r="FF30" s="4">
        <v>6.56</v>
      </c>
      <c r="FG30" s="4">
        <v>7.81</v>
      </c>
      <c r="FH30" s="4">
        <v>6.58</v>
      </c>
      <c r="FI30" s="4">
        <v>6.5</v>
      </c>
      <c r="FJ30" s="23">
        <v>6.75</v>
      </c>
      <c r="FK30" s="4">
        <v>3.79</v>
      </c>
      <c r="FL30" s="4">
        <v>6.5</v>
      </c>
      <c r="FM30" s="4">
        <v>5</v>
      </c>
      <c r="FN30" s="4">
        <v>6.13</v>
      </c>
      <c r="FO30" s="4">
        <v>6.08</v>
      </c>
      <c r="FP30" s="4">
        <v>4.92</v>
      </c>
      <c r="FQ30" s="4">
        <v>4.63</v>
      </c>
      <c r="FR30" s="4">
        <v>2</v>
      </c>
      <c r="FS30" s="4">
        <v>5.75</v>
      </c>
      <c r="FT30" s="4">
        <v>6.5</v>
      </c>
      <c r="FU30" s="4">
        <v>4</v>
      </c>
      <c r="FV30" s="4">
        <v>5.75</v>
      </c>
      <c r="FW30" s="4">
        <v>2.5</v>
      </c>
      <c r="FX30" s="4">
        <v>6.25</v>
      </c>
      <c r="FY30" s="4">
        <v>6</v>
      </c>
      <c r="FZ30" s="4">
        <v>6</v>
      </c>
      <c r="GA30" s="4">
        <v>2</v>
      </c>
      <c r="GB30" s="4">
        <v>6.67</v>
      </c>
      <c r="GC30" s="4">
        <v>6.13</v>
      </c>
      <c r="GD30" s="4">
        <v>4.75</v>
      </c>
      <c r="GE30" s="26"/>
      <c r="GF30" s="26"/>
      <c r="GG30" s="4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S30" s="3"/>
      <c r="HU30" s="3"/>
      <c r="HX30" s="3"/>
      <c r="IA30" s="3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3"/>
      <c r="JP30" s="3"/>
      <c r="JQ30" s="4"/>
      <c r="JR30" s="5"/>
      <c r="JS30" s="5"/>
      <c r="JT30" s="8"/>
      <c r="JU30" s="8"/>
      <c r="JV30" s="8"/>
      <c r="JW30" s="8"/>
      <c r="JX30" s="8"/>
      <c r="JY30" s="8"/>
      <c r="JZ30" s="8"/>
      <c r="KA30" s="8"/>
      <c r="KB30" s="8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</row>
    <row r="31" spans="1:374" s="1" customFormat="1" x14ac:dyDescent="0.35">
      <c r="A31" s="2">
        <v>43489</v>
      </c>
      <c r="B31" s="15" t="s">
        <v>96</v>
      </c>
      <c r="C31" s="15" t="s">
        <v>192</v>
      </c>
      <c r="D31" s="1">
        <v>30</v>
      </c>
      <c r="E31" s="3">
        <v>1</v>
      </c>
      <c r="F31" s="3">
        <v>4</v>
      </c>
      <c r="G31" s="3"/>
      <c r="H31" s="3">
        <v>8</v>
      </c>
      <c r="I31" s="3">
        <v>2</v>
      </c>
      <c r="J31" s="3"/>
      <c r="K31" s="18">
        <v>0</v>
      </c>
      <c r="L31" s="18">
        <v>1</v>
      </c>
      <c r="M31" s="18">
        <v>1</v>
      </c>
      <c r="N31" s="18">
        <v>1</v>
      </c>
      <c r="O31" s="18">
        <v>0</v>
      </c>
      <c r="P31" s="4">
        <v>0.6</v>
      </c>
      <c r="Q31" s="3">
        <v>39</v>
      </c>
      <c r="R31" s="3">
        <v>47</v>
      </c>
      <c r="S31" s="3">
        <v>42</v>
      </c>
      <c r="T31" s="3">
        <v>132</v>
      </c>
      <c r="U31" s="3">
        <v>109</v>
      </c>
      <c r="V31" s="3">
        <v>102</v>
      </c>
      <c r="W31" s="3">
        <v>99</v>
      </c>
      <c r="X31" s="3">
        <v>104</v>
      </c>
      <c r="Y31" s="3">
        <v>70</v>
      </c>
      <c r="Z31" s="3"/>
      <c r="AA31" s="3"/>
      <c r="AB31" s="3"/>
      <c r="AC31" s="3"/>
      <c r="AD31" s="3"/>
      <c r="AE31" s="3"/>
      <c r="AF31" s="3"/>
      <c r="AG31" s="3"/>
      <c r="AH31" s="3"/>
      <c r="AI31" s="4"/>
      <c r="AJ31" s="4"/>
      <c r="AK31" s="4"/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/>
      <c r="AY31"/>
      <c r="AZ31"/>
      <c r="BA31"/>
      <c r="BB31"/>
      <c r="BC31"/>
      <c r="BP31" s="4"/>
      <c r="BQ31" s="4"/>
      <c r="BR31" s="4"/>
      <c r="BS31" s="4"/>
      <c r="BT31" s="4"/>
      <c r="BU31" s="4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1">
        <v>7</v>
      </c>
      <c r="CJ31" s="1">
        <v>6</v>
      </c>
      <c r="CK31" s="1">
        <v>7</v>
      </c>
      <c r="CL31" s="1">
        <v>6</v>
      </c>
      <c r="CM31" s="1">
        <v>6</v>
      </c>
      <c r="CN31" s="1">
        <v>7</v>
      </c>
      <c r="CO31" s="1">
        <v>6</v>
      </c>
      <c r="CP31" s="1">
        <v>2</v>
      </c>
      <c r="CQ31" s="1">
        <v>7</v>
      </c>
      <c r="CR31" s="1">
        <v>6</v>
      </c>
      <c r="CS31" s="1">
        <v>6</v>
      </c>
      <c r="CT31" s="1">
        <v>6</v>
      </c>
      <c r="CU31" s="1">
        <v>6</v>
      </c>
      <c r="CV31" s="1">
        <v>6</v>
      </c>
      <c r="CW31" s="1">
        <v>6</v>
      </c>
      <c r="CX31" s="1">
        <v>5</v>
      </c>
      <c r="CY31" s="1">
        <v>6</v>
      </c>
      <c r="CZ31" s="1">
        <v>6</v>
      </c>
      <c r="DA31" s="1">
        <v>6</v>
      </c>
      <c r="DB31" s="1">
        <v>6</v>
      </c>
      <c r="DC31" s="1">
        <v>7</v>
      </c>
      <c r="DD31" s="1">
        <v>6</v>
      </c>
      <c r="DE31" s="1">
        <v>7</v>
      </c>
      <c r="DF31" s="1">
        <v>2</v>
      </c>
      <c r="DG31" s="1">
        <v>2</v>
      </c>
      <c r="DH31" s="1">
        <v>1</v>
      </c>
      <c r="DI31" s="1">
        <v>4</v>
      </c>
      <c r="DJ31" s="1">
        <v>4</v>
      </c>
      <c r="DK31" s="1">
        <v>1</v>
      </c>
      <c r="DL31" s="1">
        <v>6</v>
      </c>
      <c r="DM31" s="19">
        <v>6</v>
      </c>
      <c r="DN31" s="19">
        <v>2</v>
      </c>
      <c r="DO31" s="1">
        <v>2</v>
      </c>
      <c r="DP31" s="1">
        <v>6</v>
      </c>
      <c r="DQ31" s="1">
        <v>6</v>
      </c>
      <c r="DR31" s="1">
        <v>5</v>
      </c>
      <c r="DS31" s="1">
        <v>7</v>
      </c>
      <c r="DT31" s="1">
        <v>7</v>
      </c>
      <c r="DU31" s="27">
        <v>2</v>
      </c>
      <c r="DV31" s="27">
        <v>5</v>
      </c>
      <c r="DW31" s="27">
        <v>2</v>
      </c>
      <c r="DX31" s="27">
        <v>6</v>
      </c>
      <c r="DY31" s="27">
        <v>6</v>
      </c>
      <c r="DZ31" s="27">
        <v>2</v>
      </c>
      <c r="EA31" s="27">
        <v>2</v>
      </c>
      <c r="EB31" s="27">
        <v>2</v>
      </c>
      <c r="EC31" s="27">
        <v>7</v>
      </c>
      <c r="ED31" s="27">
        <v>2</v>
      </c>
      <c r="EE31" s="27">
        <v>4</v>
      </c>
      <c r="EF31" s="27">
        <v>4</v>
      </c>
      <c r="EG31" s="27">
        <v>7</v>
      </c>
      <c r="EH31" s="27">
        <v>7</v>
      </c>
      <c r="EI31" s="27">
        <v>7</v>
      </c>
      <c r="EJ31" s="27">
        <v>7</v>
      </c>
      <c r="EK31" s="27">
        <v>7</v>
      </c>
      <c r="EL31" s="27">
        <v>7</v>
      </c>
      <c r="EM31" s="27">
        <v>1</v>
      </c>
      <c r="EN31" s="27">
        <v>1</v>
      </c>
      <c r="EO31" s="27">
        <v>7</v>
      </c>
      <c r="EP31" s="27">
        <v>7</v>
      </c>
      <c r="EQ31" s="27">
        <v>7</v>
      </c>
      <c r="ER31" s="27">
        <v>7</v>
      </c>
      <c r="ES31" s="27">
        <v>7</v>
      </c>
      <c r="ET31" s="27">
        <v>7</v>
      </c>
      <c r="EU31" s="27">
        <v>7</v>
      </c>
      <c r="EV31" s="1">
        <v>20</v>
      </c>
      <c r="EW31" s="1">
        <v>2</v>
      </c>
      <c r="EY31" s="1">
        <v>2</v>
      </c>
      <c r="EZ31" s="9"/>
      <c r="FA31" s="1">
        <v>2</v>
      </c>
      <c r="FB31" s="9" t="s">
        <v>797</v>
      </c>
      <c r="FC31" s="1">
        <v>1</v>
      </c>
      <c r="FD31" s="1">
        <v>3</v>
      </c>
      <c r="FE31" s="4"/>
      <c r="FF31" s="4"/>
      <c r="FG31" s="4"/>
      <c r="FH31" s="4"/>
      <c r="FI31" s="4"/>
      <c r="FJ31" s="23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26"/>
      <c r="GF31" s="26"/>
      <c r="GG31" s="4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S31" s="3"/>
      <c r="HU31" s="3"/>
      <c r="HX31" s="3"/>
      <c r="IA31" s="3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6"/>
      <c r="JP31" s="6"/>
      <c r="JQ31" s="6"/>
      <c r="JR31" s="6"/>
      <c r="JS31" s="6"/>
      <c r="JT31" s="8"/>
      <c r="JU31" s="8"/>
      <c r="JV31" s="8"/>
      <c r="JW31" s="8"/>
      <c r="JX31" s="8"/>
      <c r="JY31" s="8"/>
      <c r="JZ31" s="8"/>
      <c r="KA31" s="8"/>
      <c r="KB31" s="8"/>
      <c r="KC31" s="6"/>
      <c r="KD31" s="6"/>
      <c r="KE31" s="6"/>
      <c r="KF31" s="6"/>
      <c r="KG31" s="6"/>
      <c r="KH31" s="6"/>
      <c r="KI31" s="6"/>
      <c r="KJ31" s="6"/>
      <c r="KK31" s="6"/>
      <c r="KL31" s="4"/>
      <c r="KM31" s="4"/>
      <c r="KN31" s="6"/>
      <c r="KO31" s="4"/>
      <c r="KP31" s="4"/>
      <c r="KQ31" s="6"/>
      <c r="KR31" s="6"/>
      <c r="KS31" s="4"/>
      <c r="KU31" s="4"/>
      <c r="KV31" s="4"/>
      <c r="KW31" s="4"/>
      <c r="KX31" s="6"/>
      <c r="KY31" s="6"/>
      <c r="KZ31" s="6"/>
      <c r="LA31" s="4"/>
      <c r="LB31" s="6"/>
      <c r="LC31" s="6"/>
      <c r="LD31" s="4"/>
      <c r="LE31" s="4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4"/>
    </row>
    <row r="32" spans="1:374" s="1" customFormat="1" x14ac:dyDescent="0.35">
      <c r="A32" s="2">
        <v>43489</v>
      </c>
      <c r="B32" s="15" t="s">
        <v>96</v>
      </c>
      <c r="C32" s="15" t="s">
        <v>193</v>
      </c>
      <c r="D32" s="1">
        <v>31</v>
      </c>
      <c r="E32" s="3">
        <v>1</v>
      </c>
      <c r="F32" s="3">
        <v>4</v>
      </c>
      <c r="G32" s="3"/>
      <c r="H32" s="3">
        <v>8</v>
      </c>
      <c r="I32" s="3">
        <v>3</v>
      </c>
      <c r="J32" s="3"/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4">
        <v>1</v>
      </c>
      <c r="Q32" s="3">
        <v>52</v>
      </c>
      <c r="R32" s="3">
        <v>41</v>
      </c>
      <c r="S32" s="3">
        <v>32</v>
      </c>
      <c r="T32" s="3">
        <v>80</v>
      </c>
      <c r="U32" s="3">
        <v>121</v>
      </c>
      <c r="V32" s="3">
        <v>98</v>
      </c>
      <c r="W32" s="3">
        <v>93</v>
      </c>
      <c r="X32" s="3">
        <v>101</v>
      </c>
      <c r="Y32" s="3">
        <v>86</v>
      </c>
      <c r="Z32" s="3"/>
      <c r="AA32" s="3"/>
      <c r="AB32" s="3"/>
      <c r="AC32" s="3"/>
      <c r="AD32" s="3"/>
      <c r="AE32" s="3"/>
      <c r="AF32" s="3"/>
      <c r="AG32" s="3"/>
      <c r="AH32" s="3"/>
      <c r="AI32" s="4"/>
      <c r="AJ32" s="4"/>
      <c r="AK32" s="4"/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/>
      <c r="AY32"/>
      <c r="AZ32"/>
      <c r="BA32"/>
      <c r="BB32"/>
      <c r="BC32"/>
      <c r="BP32" s="4"/>
      <c r="BQ32" s="4"/>
      <c r="BR32" s="4"/>
      <c r="BS32" s="4"/>
      <c r="BT32" s="4"/>
      <c r="BU32" s="4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1">
        <v>7</v>
      </c>
      <c r="CJ32" s="1">
        <v>7</v>
      </c>
      <c r="CK32" s="1">
        <v>7</v>
      </c>
      <c r="CL32" s="1">
        <v>7</v>
      </c>
      <c r="CM32" s="1">
        <v>7</v>
      </c>
      <c r="CN32" s="1">
        <v>7</v>
      </c>
      <c r="CO32" s="1">
        <v>7</v>
      </c>
      <c r="CP32" s="1">
        <v>1</v>
      </c>
      <c r="CQ32" s="1">
        <v>7</v>
      </c>
      <c r="CR32" s="1">
        <v>7</v>
      </c>
      <c r="CS32" s="1">
        <v>7</v>
      </c>
      <c r="CT32" s="1">
        <v>7</v>
      </c>
      <c r="CU32" s="1">
        <v>7</v>
      </c>
      <c r="CV32" s="1">
        <v>7</v>
      </c>
      <c r="CW32" s="1">
        <v>6</v>
      </c>
      <c r="CX32" s="1">
        <v>7</v>
      </c>
      <c r="CY32" s="1">
        <v>7</v>
      </c>
      <c r="CZ32" s="1">
        <v>7</v>
      </c>
      <c r="DA32" s="1">
        <v>7</v>
      </c>
      <c r="DB32" s="1">
        <v>7</v>
      </c>
      <c r="DC32" s="1">
        <v>7</v>
      </c>
      <c r="DD32" s="1">
        <v>7</v>
      </c>
      <c r="DE32" s="1">
        <v>7</v>
      </c>
      <c r="DF32" s="1">
        <v>7</v>
      </c>
      <c r="DG32" s="1">
        <v>2</v>
      </c>
      <c r="DH32" s="1">
        <v>7</v>
      </c>
      <c r="DI32" s="1">
        <v>7</v>
      </c>
      <c r="DJ32" s="1">
        <v>7</v>
      </c>
      <c r="DK32" s="1">
        <v>7</v>
      </c>
      <c r="DL32" s="1">
        <v>7</v>
      </c>
      <c r="DM32" s="19">
        <v>7</v>
      </c>
      <c r="DN32" s="19">
        <v>7</v>
      </c>
      <c r="DO32" s="1">
        <v>7</v>
      </c>
      <c r="DP32" s="1">
        <v>7</v>
      </c>
      <c r="DQ32" s="1">
        <v>7</v>
      </c>
      <c r="DR32" s="1">
        <v>7</v>
      </c>
      <c r="DS32" s="1">
        <v>7</v>
      </c>
      <c r="DT32" s="1">
        <v>7</v>
      </c>
      <c r="DU32" s="27">
        <v>7</v>
      </c>
      <c r="DV32" s="27">
        <v>7</v>
      </c>
      <c r="DW32" s="27">
        <v>7</v>
      </c>
      <c r="DX32" s="27">
        <v>1</v>
      </c>
      <c r="DY32" s="27">
        <v>2</v>
      </c>
      <c r="DZ32" s="27">
        <v>2</v>
      </c>
      <c r="EA32" s="27">
        <v>1</v>
      </c>
      <c r="EB32" s="27">
        <v>7</v>
      </c>
      <c r="EC32" s="27">
        <v>7</v>
      </c>
      <c r="ED32" s="27">
        <v>2</v>
      </c>
      <c r="EE32" s="27">
        <v>7</v>
      </c>
      <c r="EF32" s="27">
        <v>1</v>
      </c>
      <c r="EG32" s="27">
        <v>5</v>
      </c>
      <c r="EH32" s="27">
        <v>4</v>
      </c>
      <c r="EI32" s="27">
        <v>4</v>
      </c>
      <c r="EJ32" s="27">
        <v>4</v>
      </c>
      <c r="EK32" s="27">
        <v>4</v>
      </c>
      <c r="EL32" s="27">
        <v>4</v>
      </c>
      <c r="EM32" s="27">
        <v>4</v>
      </c>
      <c r="EN32" s="27">
        <v>1</v>
      </c>
      <c r="EO32" s="27">
        <v>7</v>
      </c>
      <c r="EP32" s="27">
        <v>7</v>
      </c>
      <c r="EQ32" s="27">
        <v>7</v>
      </c>
      <c r="ER32" s="27">
        <v>4</v>
      </c>
      <c r="ES32" s="27">
        <v>4</v>
      </c>
      <c r="ET32" s="27">
        <v>4</v>
      </c>
      <c r="EU32" s="27">
        <v>4</v>
      </c>
      <c r="EV32" s="1">
        <v>18</v>
      </c>
      <c r="EW32" s="1">
        <v>2</v>
      </c>
      <c r="EY32" s="1">
        <v>1</v>
      </c>
      <c r="EZ32" s="9"/>
      <c r="FA32" s="1">
        <v>1</v>
      </c>
      <c r="FB32" s="9" t="s">
        <v>798</v>
      </c>
      <c r="FC32" s="1">
        <v>1</v>
      </c>
      <c r="FD32" s="1">
        <v>5</v>
      </c>
      <c r="FE32" s="4"/>
      <c r="FF32" s="4"/>
      <c r="FG32" s="4"/>
      <c r="FH32" s="4"/>
      <c r="FI32" s="4"/>
      <c r="FJ32" s="23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26"/>
      <c r="GF32" s="26"/>
      <c r="GG32" s="4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S32" s="3"/>
      <c r="HU32" s="3"/>
      <c r="HX32" s="3"/>
      <c r="IA32" s="3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6"/>
      <c r="JP32" s="6"/>
      <c r="JQ32" s="6"/>
      <c r="JR32" s="6"/>
      <c r="JS32" s="6"/>
      <c r="JT32" s="8"/>
      <c r="JU32" s="8"/>
      <c r="JV32" s="8"/>
      <c r="JW32" s="8"/>
      <c r="JX32" s="8"/>
      <c r="JY32" s="8"/>
      <c r="JZ32" s="8"/>
      <c r="KA32" s="8"/>
      <c r="KB32" s="8"/>
      <c r="KC32" s="6"/>
      <c r="KD32" s="6"/>
      <c r="KE32" s="6"/>
      <c r="KF32" s="6"/>
      <c r="KG32" s="6"/>
      <c r="KH32" s="6"/>
      <c r="KI32" s="6"/>
      <c r="KJ32" s="6"/>
      <c r="KK32" s="6"/>
      <c r="KL32" s="4"/>
      <c r="KM32" s="4"/>
      <c r="KN32" s="6"/>
      <c r="KO32" s="4"/>
      <c r="KP32" s="4"/>
      <c r="KQ32" s="6"/>
      <c r="KR32" s="6"/>
      <c r="KS32" s="4"/>
      <c r="KU32" s="4"/>
      <c r="KV32" s="4"/>
      <c r="KW32" s="4"/>
      <c r="KX32" s="6"/>
      <c r="KY32" s="6"/>
      <c r="KZ32" s="6"/>
      <c r="LA32" s="4"/>
      <c r="LB32" s="6"/>
      <c r="LC32" s="6"/>
      <c r="LD32" s="4"/>
      <c r="LE32" s="4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4"/>
    </row>
    <row r="33" spans="1:374" s="1" customFormat="1" x14ac:dyDescent="0.35">
      <c r="A33" s="2">
        <v>43489</v>
      </c>
      <c r="B33" s="15" t="s">
        <v>96</v>
      </c>
      <c r="C33" s="15" t="s">
        <v>194</v>
      </c>
      <c r="D33" s="1">
        <v>32</v>
      </c>
      <c r="E33" s="3">
        <v>1</v>
      </c>
      <c r="F33" s="3">
        <v>4</v>
      </c>
      <c r="G33" s="3"/>
      <c r="H33" s="3">
        <v>8</v>
      </c>
      <c r="I33" s="3">
        <v>4</v>
      </c>
      <c r="J33" s="3"/>
      <c r="K33" s="18">
        <v>1</v>
      </c>
      <c r="L33" s="18">
        <v>1</v>
      </c>
      <c r="M33" s="18">
        <v>1</v>
      </c>
      <c r="N33" s="18">
        <v>1</v>
      </c>
      <c r="O33" s="18">
        <v>0</v>
      </c>
      <c r="P33" s="4">
        <v>0.8</v>
      </c>
      <c r="Q33" s="3">
        <v>44</v>
      </c>
      <c r="R33" s="3">
        <v>44</v>
      </c>
      <c r="S33" s="3">
        <v>48</v>
      </c>
      <c r="T33" s="3">
        <v>48</v>
      </c>
      <c r="U33" s="3">
        <v>102</v>
      </c>
      <c r="V33" s="3">
        <v>95</v>
      </c>
      <c r="W33" s="3">
        <v>117</v>
      </c>
      <c r="X33" s="3">
        <v>110</v>
      </c>
      <c r="Y33" s="3">
        <v>121</v>
      </c>
      <c r="Z33" s="3"/>
      <c r="AA33" s="3"/>
      <c r="AB33" s="3"/>
      <c r="AC33" s="3"/>
      <c r="AD33" s="3"/>
      <c r="AE33" s="3"/>
      <c r="AF33" s="3"/>
      <c r="AG33" s="3"/>
      <c r="AH33" s="3"/>
      <c r="AI33" s="4"/>
      <c r="AJ33" s="4"/>
      <c r="AK33" s="4"/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/>
      <c r="AY33"/>
      <c r="AZ33"/>
      <c r="BA33"/>
      <c r="BB33"/>
      <c r="BC33"/>
      <c r="BP33" s="4"/>
      <c r="BQ33" s="4"/>
      <c r="BR33" s="4"/>
      <c r="BS33" s="4"/>
      <c r="BT33" s="4"/>
      <c r="BU33" s="4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1">
        <v>7</v>
      </c>
      <c r="CJ33" s="1">
        <v>7</v>
      </c>
      <c r="CK33" s="1">
        <v>7</v>
      </c>
      <c r="CL33" s="1">
        <v>7</v>
      </c>
      <c r="CM33" s="1">
        <v>7</v>
      </c>
      <c r="CN33" s="1">
        <v>7</v>
      </c>
      <c r="CO33" s="1">
        <v>7</v>
      </c>
      <c r="CP33" s="1">
        <v>1</v>
      </c>
      <c r="CQ33" s="1">
        <v>7</v>
      </c>
      <c r="CR33" s="1">
        <v>7</v>
      </c>
      <c r="CS33" s="1">
        <v>7</v>
      </c>
      <c r="CT33" s="1">
        <v>7</v>
      </c>
      <c r="CU33" s="1">
        <v>7</v>
      </c>
      <c r="CV33" s="1">
        <v>7</v>
      </c>
      <c r="CW33" s="1">
        <v>4</v>
      </c>
      <c r="CX33" s="1">
        <v>7</v>
      </c>
      <c r="CY33" s="1">
        <v>7</v>
      </c>
      <c r="CZ33" s="1">
        <v>7</v>
      </c>
      <c r="DA33" s="1">
        <v>7</v>
      </c>
      <c r="DB33" s="1">
        <v>7</v>
      </c>
      <c r="DC33" s="1">
        <v>7</v>
      </c>
      <c r="DD33" s="1">
        <v>7</v>
      </c>
      <c r="DE33" s="1">
        <v>7</v>
      </c>
      <c r="DF33" s="1">
        <v>2</v>
      </c>
      <c r="DG33" s="1">
        <v>1</v>
      </c>
      <c r="DH33" s="1">
        <v>6</v>
      </c>
      <c r="DI33" s="1">
        <v>2</v>
      </c>
      <c r="DJ33" s="1">
        <v>3</v>
      </c>
      <c r="DK33" s="1">
        <v>2</v>
      </c>
      <c r="DL33" s="1">
        <v>7</v>
      </c>
      <c r="DM33" s="19">
        <v>7</v>
      </c>
      <c r="DN33" s="19">
        <v>4</v>
      </c>
      <c r="DO33" s="1">
        <v>7</v>
      </c>
      <c r="DP33" s="1">
        <v>4</v>
      </c>
      <c r="DQ33" s="1">
        <v>7</v>
      </c>
      <c r="DR33" s="1">
        <v>4</v>
      </c>
      <c r="DS33" s="1">
        <v>7</v>
      </c>
      <c r="DT33" s="1">
        <v>7</v>
      </c>
      <c r="DU33" s="27">
        <v>7</v>
      </c>
      <c r="DV33" s="27">
        <v>2</v>
      </c>
      <c r="DW33" s="27">
        <v>5</v>
      </c>
      <c r="DX33" s="27">
        <v>7</v>
      </c>
      <c r="DY33" s="27">
        <v>4</v>
      </c>
      <c r="DZ33" s="27">
        <v>4</v>
      </c>
      <c r="EA33" s="27">
        <v>4</v>
      </c>
      <c r="EB33" s="27">
        <v>7</v>
      </c>
      <c r="EC33" s="27">
        <v>7</v>
      </c>
      <c r="ED33" s="27">
        <v>7</v>
      </c>
      <c r="EE33" s="27">
        <v>6</v>
      </c>
      <c r="EF33" s="27">
        <v>2</v>
      </c>
      <c r="EG33" s="27">
        <v>7</v>
      </c>
      <c r="EH33" s="27">
        <v>7</v>
      </c>
      <c r="EI33" s="27">
        <v>7</v>
      </c>
      <c r="EJ33" s="27">
        <v>7</v>
      </c>
      <c r="EK33" s="27">
        <v>7</v>
      </c>
      <c r="EL33" s="27">
        <v>7</v>
      </c>
      <c r="EM33" s="27">
        <v>4</v>
      </c>
      <c r="EN33" s="27">
        <v>1</v>
      </c>
      <c r="EO33" s="27">
        <v>7</v>
      </c>
      <c r="EP33" s="27">
        <v>7</v>
      </c>
      <c r="EQ33" s="27">
        <v>4</v>
      </c>
      <c r="ER33" s="27">
        <v>7</v>
      </c>
      <c r="ES33" s="27">
        <v>7</v>
      </c>
      <c r="ET33" s="27">
        <v>4</v>
      </c>
      <c r="EU33" s="27">
        <v>4</v>
      </c>
      <c r="EV33" s="1">
        <v>19</v>
      </c>
      <c r="EW33" s="1">
        <v>2</v>
      </c>
      <c r="EY33" s="1">
        <v>1</v>
      </c>
      <c r="EZ33" s="9"/>
      <c r="FA33" s="1">
        <v>1</v>
      </c>
      <c r="FB33" s="9" t="s">
        <v>785</v>
      </c>
      <c r="FC33" s="1">
        <v>1</v>
      </c>
      <c r="FD33" s="1">
        <v>8</v>
      </c>
      <c r="FE33" s="4"/>
      <c r="FF33" s="4"/>
      <c r="FG33" s="4"/>
      <c r="FH33" s="4"/>
      <c r="FI33" s="4"/>
      <c r="FJ33" s="23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26"/>
      <c r="GF33" s="26"/>
      <c r="GG33" s="4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S33" s="3"/>
      <c r="HU33" s="3"/>
      <c r="HX33" s="3"/>
      <c r="IA33" s="3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6"/>
      <c r="JP33" s="6"/>
      <c r="JQ33" s="6"/>
      <c r="JR33" s="6"/>
      <c r="JS33" s="6"/>
      <c r="JT33" s="8"/>
      <c r="JU33" s="8"/>
      <c r="JV33" s="8"/>
      <c r="JW33" s="8"/>
      <c r="JX33" s="8"/>
      <c r="JY33" s="8"/>
      <c r="JZ33" s="8"/>
      <c r="KA33" s="8"/>
      <c r="KB33" s="8"/>
      <c r="KC33" s="6"/>
      <c r="KD33" s="6"/>
      <c r="KE33" s="6"/>
      <c r="KF33" s="6"/>
      <c r="KG33" s="6"/>
      <c r="KH33" s="6"/>
      <c r="KI33" s="6"/>
      <c r="KJ33" s="6"/>
      <c r="KK33" s="6"/>
      <c r="KL33" s="4"/>
      <c r="KM33" s="4"/>
      <c r="KN33" s="6"/>
      <c r="KO33" s="4"/>
      <c r="KP33" s="4"/>
      <c r="KQ33" s="6"/>
      <c r="KR33" s="6"/>
      <c r="KS33" s="4"/>
      <c r="KU33" s="4"/>
      <c r="KV33" s="4"/>
      <c r="KW33" s="4"/>
      <c r="KX33" s="6"/>
      <c r="KY33" s="6"/>
      <c r="KZ33" s="6"/>
      <c r="LA33" s="4"/>
      <c r="LB33" s="6"/>
      <c r="LC33" s="6"/>
      <c r="LD33" s="4"/>
      <c r="LE33" s="4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4"/>
    </row>
    <row r="34" spans="1:374" s="1" customFormat="1" x14ac:dyDescent="0.35">
      <c r="A34" s="2">
        <v>43489</v>
      </c>
      <c r="B34" s="15" t="s">
        <v>97</v>
      </c>
      <c r="C34" s="15" t="s">
        <v>195</v>
      </c>
      <c r="D34" s="1">
        <v>33</v>
      </c>
      <c r="E34" s="3">
        <v>1</v>
      </c>
      <c r="F34" s="3">
        <v>4</v>
      </c>
      <c r="G34" s="3">
        <v>1</v>
      </c>
      <c r="H34" s="3">
        <v>9</v>
      </c>
      <c r="I34" s="3">
        <v>1</v>
      </c>
      <c r="J34" s="3">
        <v>1</v>
      </c>
      <c r="K34" s="18">
        <v>1</v>
      </c>
      <c r="L34" s="18">
        <v>1</v>
      </c>
      <c r="M34" s="18">
        <v>1</v>
      </c>
      <c r="N34" s="18">
        <v>1</v>
      </c>
      <c r="O34" s="18">
        <v>0</v>
      </c>
      <c r="P34" s="4">
        <v>0.8</v>
      </c>
      <c r="Q34" s="3">
        <v>40</v>
      </c>
      <c r="R34" s="3">
        <v>39</v>
      </c>
      <c r="S34" s="3">
        <v>35</v>
      </c>
      <c r="T34" s="3">
        <v>32</v>
      </c>
      <c r="U34" s="3">
        <v>21</v>
      </c>
      <c r="V34" s="3">
        <v>32</v>
      </c>
      <c r="W34" s="3">
        <v>36</v>
      </c>
      <c r="X34" s="3">
        <v>29</v>
      </c>
      <c r="Y34" s="3">
        <v>32</v>
      </c>
      <c r="Z34" s="3">
        <v>224</v>
      </c>
      <c r="AA34" s="3">
        <v>199</v>
      </c>
      <c r="AB34" s="3">
        <v>196</v>
      </c>
      <c r="AC34" s="3">
        <v>195</v>
      </c>
      <c r="AD34" s="3">
        <v>191</v>
      </c>
      <c r="AE34" s="3">
        <v>210</v>
      </c>
      <c r="AF34" s="3">
        <v>203</v>
      </c>
      <c r="AG34" s="3">
        <v>195</v>
      </c>
      <c r="AH34" s="3">
        <v>191</v>
      </c>
      <c r="AI34" s="4">
        <v>206.33</v>
      </c>
      <c r="AJ34" s="4">
        <v>198.67</v>
      </c>
      <c r="AK34" s="4">
        <v>196.33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f t="shared" ref="AX34:BC34" si="16">AL34+AL35+AL36+AL37</f>
        <v>0</v>
      </c>
      <c r="AY34" s="19">
        <f t="shared" si="16"/>
        <v>0</v>
      </c>
      <c r="AZ34" s="19">
        <f t="shared" si="16"/>
        <v>0</v>
      </c>
      <c r="BA34" s="19">
        <f t="shared" si="16"/>
        <v>0</v>
      </c>
      <c r="BB34" s="19">
        <f t="shared" si="16"/>
        <v>0</v>
      </c>
      <c r="BC34" s="19">
        <f t="shared" si="16"/>
        <v>0</v>
      </c>
      <c r="BD34" s="1">
        <f>AX34*3</f>
        <v>0</v>
      </c>
      <c r="BE34" s="1">
        <f t="shared" ref="BE34:BI34" si="17">AY34*3</f>
        <v>0</v>
      </c>
      <c r="BF34" s="1">
        <f t="shared" si="17"/>
        <v>0</v>
      </c>
      <c r="BG34" s="1">
        <f t="shared" si="17"/>
        <v>0</v>
      </c>
      <c r="BH34" s="1">
        <f t="shared" si="17"/>
        <v>0</v>
      </c>
      <c r="BI34" s="1">
        <f t="shared" si="17"/>
        <v>0</v>
      </c>
      <c r="BJ34" s="1">
        <f>AX34+AY34+AZ34</f>
        <v>0</v>
      </c>
      <c r="BK34" s="1">
        <f>BA34+BB34+BC34</f>
        <v>0</v>
      </c>
      <c r="BL34" s="1">
        <f>BJ34*3</f>
        <v>0</v>
      </c>
      <c r="BM34" s="1">
        <f>BK34*3</f>
        <v>0</v>
      </c>
      <c r="BN34" s="1">
        <f>BL34/3</f>
        <v>0</v>
      </c>
      <c r="BO34" s="1">
        <f>BM34/3</f>
        <v>0</v>
      </c>
      <c r="BP34" s="4">
        <v>206.33333333333334</v>
      </c>
      <c r="BQ34" s="4">
        <v>198.66666666666666</v>
      </c>
      <c r="BR34" s="4">
        <v>196.33333333333334</v>
      </c>
      <c r="BS34" s="4">
        <v>198.67</v>
      </c>
      <c r="BT34" s="4">
        <v>196.33</v>
      </c>
      <c r="BU34" s="4">
        <v>2.33</v>
      </c>
      <c r="BV34" s="3">
        <v>0</v>
      </c>
      <c r="BW34" s="3">
        <v>1</v>
      </c>
      <c r="BX34" s="3">
        <v>1</v>
      </c>
      <c r="BY34" s="3">
        <v>1</v>
      </c>
      <c r="BZ34" s="3">
        <v>1</v>
      </c>
      <c r="CA34" s="3">
        <v>1</v>
      </c>
      <c r="CB34" s="3">
        <v>1</v>
      </c>
      <c r="CC34" s="3">
        <v>1</v>
      </c>
      <c r="CD34" s="3">
        <v>1</v>
      </c>
      <c r="CE34" s="3">
        <v>1</v>
      </c>
      <c r="CF34" s="3">
        <v>1</v>
      </c>
      <c r="CG34" s="3">
        <v>1</v>
      </c>
      <c r="CH34" s="3">
        <v>0</v>
      </c>
      <c r="CI34" s="1">
        <v>7</v>
      </c>
      <c r="CJ34" s="1">
        <v>5</v>
      </c>
      <c r="CK34" s="1">
        <v>2</v>
      </c>
      <c r="CL34" s="1">
        <v>7</v>
      </c>
      <c r="CM34" s="1">
        <v>7</v>
      </c>
      <c r="CN34" s="1">
        <v>1</v>
      </c>
      <c r="CO34" s="1">
        <v>7</v>
      </c>
      <c r="CP34" s="1">
        <v>7</v>
      </c>
      <c r="CQ34" s="1">
        <v>1</v>
      </c>
      <c r="CR34" s="1">
        <v>1</v>
      </c>
      <c r="CS34" s="1">
        <v>1</v>
      </c>
      <c r="CT34" s="1">
        <v>1</v>
      </c>
      <c r="CU34" s="1">
        <v>1</v>
      </c>
      <c r="CV34" s="1">
        <v>1</v>
      </c>
      <c r="CW34" s="1">
        <v>1</v>
      </c>
      <c r="CX34" s="1">
        <v>1</v>
      </c>
      <c r="CY34" s="1">
        <v>1</v>
      </c>
      <c r="CZ34" s="1">
        <v>7</v>
      </c>
      <c r="DA34" s="1">
        <v>7</v>
      </c>
      <c r="DB34" s="1">
        <v>7</v>
      </c>
      <c r="DC34" s="1">
        <v>7</v>
      </c>
      <c r="DD34" s="1">
        <v>3</v>
      </c>
      <c r="DE34" s="1">
        <v>1</v>
      </c>
      <c r="DF34" s="1">
        <v>7</v>
      </c>
      <c r="DG34" s="1">
        <v>7</v>
      </c>
      <c r="DH34" s="1">
        <v>7</v>
      </c>
      <c r="DI34" s="1">
        <v>7</v>
      </c>
      <c r="DJ34" s="1">
        <v>7</v>
      </c>
      <c r="DK34" s="1">
        <v>7</v>
      </c>
      <c r="DL34" s="1">
        <v>7</v>
      </c>
      <c r="DM34" s="19">
        <v>7</v>
      </c>
      <c r="DN34" s="19">
        <v>7</v>
      </c>
      <c r="DO34" s="1">
        <v>1</v>
      </c>
      <c r="DP34" s="1">
        <v>7</v>
      </c>
      <c r="DQ34" s="1">
        <v>7</v>
      </c>
      <c r="DR34" s="1">
        <v>1</v>
      </c>
      <c r="DS34" s="1">
        <v>5</v>
      </c>
      <c r="DT34" s="1">
        <v>1</v>
      </c>
      <c r="DU34" s="27">
        <v>7</v>
      </c>
      <c r="DV34" s="27">
        <v>1</v>
      </c>
      <c r="DW34" s="27">
        <v>4</v>
      </c>
      <c r="DX34" s="27">
        <v>1</v>
      </c>
      <c r="DY34" s="27">
        <v>1</v>
      </c>
      <c r="DZ34" s="27">
        <v>1</v>
      </c>
      <c r="EA34" s="27">
        <v>1</v>
      </c>
      <c r="EB34" s="27">
        <v>7</v>
      </c>
      <c r="EC34" s="27">
        <v>7</v>
      </c>
      <c r="ED34" s="27">
        <v>7</v>
      </c>
      <c r="EE34" s="27">
        <v>7</v>
      </c>
      <c r="EF34" s="27">
        <v>1</v>
      </c>
      <c r="EG34" s="27">
        <v>7</v>
      </c>
      <c r="EH34" s="27">
        <v>7</v>
      </c>
      <c r="EI34" s="27">
        <v>7</v>
      </c>
      <c r="EJ34" s="27">
        <v>7</v>
      </c>
      <c r="EK34" s="27">
        <v>1</v>
      </c>
      <c r="EL34" s="27">
        <v>7</v>
      </c>
      <c r="EM34" s="27">
        <v>1</v>
      </c>
      <c r="EN34" s="27">
        <v>1</v>
      </c>
      <c r="EO34" s="27">
        <v>7</v>
      </c>
      <c r="EP34" s="27">
        <v>7</v>
      </c>
      <c r="EQ34" s="27">
        <v>7</v>
      </c>
      <c r="ER34" s="27">
        <v>7</v>
      </c>
      <c r="ES34" s="27">
        <v>7</v>
      </c>
      <c r="ET34" s="27">
        <v>1</v>
      </c>
      <c r="EU34" s="27">
        <v>1</v>
      </c>
      <c r="EV34" s="1">
        <v>28</v>
      </c>
      <c r="EW34" s="1">
        <v>2</v>
      </c>
      <c r="EY34" s="1">
        <v>2</v>
      </c>
      <c r="EZ34" s="9"/>
      <c r="FA34" s="1">
        <v>1</v>
      </c>
      <c r="FB34" s="9" t="s">
        <v>799</v>
      </c>
      <c r="FC34" s="1">
        <v>1</v>
      </c>
      <c r="FD34" s="1">
        <v>1</v>
      </c>
      <c r="FE34" s="4">
        <v>4.8600000000000003</v>
      </c>
      <c r="FF34" s="4">
        <v>3.81</v>
      </c>
      <c r="FG34" s="4">
        <v>4.9400000000000004</v>
      </c>
      <c r="FH34" s="4">
        <v>4.92</v>
      </c>
      <c r="FI34" s="4">
        <v>4.63</v>
      </c>
      <c r="FJ34" s="23">
        <v>3.5</v>
      </c>
      <c r="FK34" s="4">
        <v>4.54</v>
      </c>
      <c r="FL34" s="4">
        <v>4.63</v>
      </c>
      <c r="FM34" s="4">
        <v>3</v>
      </c>
      <c r="FN34" s="4">
        <v>3.75</v>
      </c>
      <c r="FO34" s="4">
        <v>3.75</v>
      </c>
      <c r="FP34" s="4">
        <v>5.58</v>
      </c>
      <c r="FQ34" s="4">
        <v>3.25</v>
      </c>
      <c r="FR34" s="4">
        <v>2.5</v>
      </c>
      <c r="FS34" s="4">
        <v>5.75</v>
      </c>
      <c r="FT34" s="4">
        <v>5.5</v>
      </c>
      <c r="FU34" s="4">
        <v>4.75</v>
      </c>
      <c r="FV34" s="4">
        <v>5.25</v>
      </c>
      <c r="FW34" s="4">
        <v>4</v>
      </c>
      <c r="FX34" s="4">
        <v>4.75</v>
      </c>
      <c r="FY34" s="4">
        <v>6.13</v>
      </c>
      <c r="FZ34" s="4">
        <v>5.17</v>
      </c>
      <c r="GA34" s="4">
        <v>2.75</v>
      </c>
      <c r="GB34" s="4">
        <v>6</v>
      </c>
      <c r="GC34" s="4">
        <v>6.25</v>
      </c>
      <c r="GD34" s="4">
        <v>3.38</v>
      </c>
      <c r="GE34" s="26"/>
      <c r="GF34" s="26"/>
      <c r="GG34" s="4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S34" s="3"/>
      <c r="HU34" s="3"/>
      <c r="HX34" s="3"/>
      <c r="IA34" s="3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3"/>
      <c r="JP34" s="3"/>
      <c r="JQ34" s="4"/>
      <c r="JR34" s="5"/>
      <c r="JS34" s="5"/>
      <c r="JT34" s="8"/>
      <c r="JU34" s="8"/>
      <c r="JV34" s="8"/>
      <c r="JW34" s="8"/>
      <c r="JX34" s="8"/>
      <c r="JY34" s="8"/>
      <c r="JZ34" s="8"/>
      <c r="KA34" s="8"/>
      <c r="KB34" s="8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</row>
    <row r="35" spans="1:374" s="1" customFormat="1" x14ac:dyDescent="0.35">
      <c r="A35" s="2">
        <v>43489</v>
      </c>
      <c r="B35" s="15" t="s">
        <v>97</v>
      </c>
      <c r="C35" s="15" t="s">
        <v>196</v>
      </c>
      <c r="D35" s="1">
        <v>34</v>
      </c>
      <c r="E35" s="3">
        <v>1</v>
      </c>
      <c r="F35" s="3">
        <v>4</v>
      </c>
      <c r="G35" s="3"/>
      <c r="H35" s="3">
        <v>9</v>
      </c>
      <c r="I35" s="3">
        <v>2</v>
      </c>
      <c r="J35" s="3"/>
      <c r="K35" s="18">
        <v>1</v>
      </c>
      <c r="L35" s="18">
        <v>1</v>
      </c>
      <c r="M35" s="18">
        <v>1</v>
      </c>
      <c r="N35" s="18">
        <v>1</v>
      </c>
      <c r="O35" s="18">
        <v>0</v>
      </c>
      <c r="P35" s="4">
        <v>0.8</v>
      </c>
      <c r="Q35" s="3">
        <v>76</v>
      </c>
      <c r="R35" s="3">
        <v>65</v>
      </c>
      <c r="S35" s="3">
        <v>57</v>
      </c>
      <c r="T35" s="3">
        <v>78</v>
      </c>
      <c r="U35" s="3">
        <v>74</v>
      </c>
      <c r="V35" s="3">
        <v>75</v>
      </c>
      <c r="W35" s="3">
        <v>70</v>
      </c>
      <c r="X35" s="3">
        <v>66</v>
      </c>
      <c r="Y35" s="3">
        <v>55</v>
      </c>
      <c r="Z35" s="3"/>
      <c r="AA35" s="3"/>
      <c r="AB35" s="3"/>
      <c r="AC35" s="3"/>
      <c r="AD35" s="3"/>
      <c r="AE35" s="3"/>
      <c r="AF35" s="3"/>
      <c r="AG35" s="3"/>
      <c r="AH35" s="3"/>
      <c r="AI35" s="4"/>
      <c r="AJ35" s="4"/>
      <c r="AK35" s="4"/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/>
      <c r="AY35"/>
      <c r="AZ35"/>
      <c r="BA35"/>
      <c r="BB35"/>
      <c r="BC35"/>
      <c r="BP35" s="4"/>
      <c r="BQ35" s="4"/>
      <c r="BR35" s="4"/>
      <c r="BS35" s="4"/>
      <c r="BT35" s="4"/>
      <c r="BU35" s="4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1">
        <v>7</v>
      </c>
      <c r="CJ35" s="1">
        <v>7</v>
      </c>
      <c r="CK35" s="1">
        <v>7</v>
      </c>
      <c r="CL35" s="1">
        <v>6</v>
      </c>
      <c r="CM35" s="1">
        <v>6</v>
      </c>
      <c r="CN35" s="1">
        <v>6</v>
      </c>
      <c r="CO35" s="1">
        <v>6</v>
      </c>
      <c r="CP35" s="1">
        <v>4</v>
      </c>
      <c r="CQ35" s="1">
        <v>7</v>
      </c>
      <c r="CR35" s="1">
        <v>7</v>
      </c>
      <c r="CS35" s="1">
        <v>7</v>
      </c>
      <c r="CT35" s="1">
        <v>4</v>
      </c>
      <c r="CU35" s="1">
        <v>5</v>
      </c>
      <c r="CV35" s="1">
        <v>7</v>
      </c>
      <c r="CW35" s="1">
        <v>7</v>
      </c>
      <c r="CX35" s="1">
        <v>7</v>
      </c>
      <c r="CY35" s="1">
        <v>7</v>
      </c>
      <c r="CZ35" s="1">
        <v>7</v>
      </c>
      <c r="DA35" s="1">
        <v>5</v>
      </c>
      <c r="DB35" s="1">
        <v>7</v>
      </c>
      <c r="DC35" s="1">
        <v>6</v>
      </c>
      <c r="DD35" s="1">
        <v>7</v>
      </c>
      <c r="DE35" s="1">
        <v>7</v>
      </c>
      <c r="DF35" s="1">
        <v>2</v>
      </c>
      <c r="DG35" s="1">
        <v>2</v>
      </c>
      <c r="DH35" s="1">
        <v>3</v>
      </c>
      <c r="DI35" s="1">
        <v>6</v>
      </c>
      <c r="DJ35" s="1">
        <v>5</v>
      </c>
      <c r="DK35" s="1">
        <v>7</v>
      </c>
      <c r="DL35" s="1">
        <v>5</v>
      </c>
      <c r="DM35" s="19">
        <v>2</v>
      </c>
      <c r="DN35" s="19">
        <v>1</v>
      </c>
      <c r="DO35" s="1">
        <v>2</v>
      </c>
      <c r="DP35" s="1">
        <v>2</v>
      </c>
      <c r="DQ35" s="1">
        <v>1</v>
      </c>
      <c r="DR35" s="1">
        <v>7</v>
      </c>
      <c r="DS35" s="1">
        <v>7</v>
      </c>
      <c r="DT35" s="1">
        <v>7</v>
      </c>
      <c r="DU35" s="27">
        <v>7</v>
      </c>
      <c r="DV35" s="27">
        <v>7</v>
      </c>
      <c r="DW35" s="27">
        <v>7</v>
      </c>
      <c r="DX35" s="27">
        <v>4</v>
      </c>
      <c r="DY35" s="27">
        <v>4</v>
      </c>
      <c r="DZ35" s="27">
        <v>4</v>
      </c>
      <c r="EA35" s="27">
        <v>4</v>
      </c>
      <c r="EB35" s="27">
        <v>4</v>
      </c>
      <c r="EC35" s="27">
        <v>7</v>
      </c>
      <c r="ED35" s="27">
        <v>4</v>
      </c>
      <c r="EE35" s="27">
        <v>4</v>
      </c>
      <c r="EF35" s="27">
        <v>4</v>
      </c>
      <c r="EG35" s="27">
        <v>4</v>
      </c>
      <c r="EH35" s="27">
        <v>7</v>
      </c>
      <c r="EI35" s="27">
        <v>7</v>
      </c>
      <c r="EJ35" s="27">
        <v>7</v>
      </c>
      <c r="EK35" s="27">
        <v>7</v>
      </c>
      <c r="EL35" s="27">
        <v>4</v>
      </c>
      <c r="EM35" s="27">
        <v>4</v>
      </c>
      <c r="EN35" s="27">
        <v>1</v>
      </c>
      <c r="EO35" s="27">
        <v>7</v>
      </c>
      <c r="EP35" s="27">
        <v>4</v>
      </c>
      <c r="EQ35" s="27">
        <v>7</v>
      </c>
      <c r="ER35" s="27">
        <v>7</v>
      </c>
      <c r="ES35" s="27">
        <v>7</v>
      </c>
      <c r="ET35" s="27">
        <v>4</v>
      </c>
      <c r="EU35" s="27">
        <v>4</v>
      </c>
      <c r="EV35" s="1">
        <v>34</v>
      </c>
      <c r="EW35" s="1">
        <v>1</v>
      </c>
      <c r="EY35" s="1">
        <v>2</v>
      </c>
      <c r="EZ35" s="9"/>
      <c r="FA35" s="1">
        <v>2</v>
      </c>
      <c r="FB35" s="9" t="s">
        <v>800</v>
      </c>
      <c r="FC35" s="1">
        <v>1</v>
      </c>
      <c r="FD35" s="1">
        <v>3</v>
      </c>
      <c r="FE35" s="4"/>
      <c r="FF35" s="4"/>
      <c r="FG35" s="4"/>
      <c r="FH35" s="4"/>
      <c r="FI35" s="4"/>
      <c r="FJ35" s="23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26"/>
      <c r="GF35" s="26"/>
      <c r="GG35" s="4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S35" s="3"/>
      <c r="HU35" s="3"/>
      <c r="HX35" s="3"/>
      <c r="IA35" s="3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6"/>
      <c r="JP35" s="6"/>
      <c r="JQ35" s="6"/>
      <c r="JR35" s="6"/>
      <c r="JS35" s="6"/>
      <c r="JT35" s="8"/>
      <c r="JU35" s="8"/>
      <c r="JV35" s="8"/>
      <c r="JW35" s="8"/>
      <c r="JX35" s="8"/>
      <c r="JY35" s="8"/>
      <c r="JZ35" s="8"/>
      <c r="KA35" s="8"/>
      <c r="KB35" s="8"/>
      <c r="KC35" s="6"/>
      <c r="KD35" s="6"/>
      <c r="KE35" s="6"/>
      <c r="KF35" s="6"/>
      <c r="KG35" s="6"/>
      <c r="KH35" s="6"/>
      <c r="KI35" s="6"/>
      <c r="KJ35" s="6"/>
      <c r="KK35" s="6"/>
      <c r="KL35" s="4"/>
      <c r="KM35" s="4"/>
      <c r="KN35" s="6"/>
      <c r="KO35" s="4"/>
      <c r="KP35" s="4"/>
      <c r="KQ35" s="6"/>
      <c r="KR35" s="6"/>
      <c r="KS35" s="4"/>
      <c r="KU35" s="4"/>
      <c r="KV35" s="4"/>
      <c r="KW35" s="4"/>
      <c r="KX35" s="6"/>
      <c r="KY35" s="6"/>
      <c r="KZ35" s="6"/>
      <c r="LA35" s="4"/>
      <c r="LB35" s="6"/>
      <c r="LC35" s="6"/>
      <c r="LD35" s="4"/>
      <c r="LE35" s="4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4"/>
    </row>
    <row r="36" spans="1:374" s="1" customFormat="1" x14ac:dyDescent="0.35">
      <c r="A36" s="2">
        <v>43489</v>
      </c>
      <c r="B36" s="15" t="s">
        <v>97</v>
      </c>
      <c r="C36" s="15" t="s">
        <v>197</v>
      </c>
      <c r="D36" s="1">
        <v>35</v>
      </c>
      <c r="E36" s="3">
        <v>1</v>
      </c>
      <c r="F36" s="3">
        <v>4</v>
      </c>
      <c r="G36" s="3"/>
      <c r="H36" s="3">
        <v>9</v>
      </c>
      <c r="I36" s="3">
        <v>3</v>
      </c>
      <c r="J36" s="3"/>
      <c r="K36" s="18">
        <v>0</v>
      </c>
      <c r="L36" s="18">
        <v>0</v>
      </c>
      <c r="M36" s="18">
        <v>1</v>
      </c>
      <c r="N36" s="18">
        <v>1</v>
      </c>
      <c r="O36" s="18">
        <v>0</v>
      </c>
      <c r="P36" s="4">
        <v>0.4</v>
      </c>
      <c r="Q36" s="3">
        <v>54</v>
      </c>
      <c r="R36" s="3">
        <v>45</v>
      </c>
      <c r="S36" s="3">
        <v>50</v>
      </c>
      <c r="T36" s="3">
        <v>37</v>
      </c>
      <c r="U36" s="3">
        <v>42</v>
      </c>
      <c r="V36" s="3">
        <v>48</v>
      </c>
      <c r="W36" s="3">
        <v>51</v>
      </c>
      <c r="X36" s="3">
        <v>37</v>
      </c>
      <c r="Y36" s="3">
        <v>42</v>
      </c>
      <c r="Z36" s="3"/>
      <c r="AA36" s="3"/>
      <c r="AB36" s="3"/>
      <c r="AC36" s="3"/>
      <c r="AD36" s="3"/>
      <c r="AE36" s="3"/>
      <c r="AF36" s="3"/>
      <c r="AG36" s="3"/>
      <c r="AH36" s="3"/>
      <c r="AI36" s="4"/>
      <c r="AJ36" s="4"/>
      <c r="AK36" s="4"/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/>
      <c r="AY36"/>
      <c r="AZ36"/>
      <c r="BA36"/>
      <c r="BB36"/>
      <c r="BC36"/>
      <c r="BP36" s="4"/>
      <c r="BQ36" s="4"/>
      <c r="BR36" s="4"/>
      <c r="BS36" s="4"/>
      <c r="BT36" s="4"/>
      <c r="BU36" s="4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1">
        <v>2</v>
      </c>
      <c r="CJ36" s="1">
        <v>4</v>
      </c>
      <c r="CK36" s="1">
        <v>1</v>
      </c>
      <c r="CL36" s="1">
        <v>4</v>
      </c>
      <c r="CM36" s="1">
        <v>4</v>
      </c>
      <c r="CN36" s="1">
        <v>4</v>
      </c>
      <c r="CO36" s="1">
        <v>4</v>
      </c>
      <c r="CP36" s="1">
        <v>3</v>
      </c>
      <c r="CQ36" s="1">
        <v>4</v>
      </c>
      <c r="CR36" s="1">
        <v>2</v>
      </c>
      <c r="CS36" s="1">
        <v>3</v>
      </c>
      <c r="CT36" s="1">
        <v>5</v>
      </c>
      <c r="CU36" s="1">
        <v>1</v>
      </c>
      <c r="CV36" s="1">
        <v>3</v>
      </c>
      <c r="CW36" s="1">
        <v>3</v>
      </c>
      <c r="CX36" s="1">
        <v>4</v>
      </c>
      <c r="CY36" s="1">
        <v>2</v>
      </c>
      <c r="CZ36" s="1">
        <v>1</v>
      </c>
      <c r="DA36" s="1">
        <v>2</v>
      </c>
      <c r="DB36" s="1">
        <v>3</v>
      </c>
      <c r="DC36" s="1">
        <v>4</v>
      </c>
      <c r="DD36" s="1">
        <v>6</v>
      </c>
      <c r="DE36" s="1">
        <v>1</v>
      </c>
      <c r="DF36" s="1">
        <v>7</v>
      </c>
      <c r="DG36" s="1">
        <v>4</v>
      </c>
      <c r="DH36" s="1">
        <v>6</v>
      </c>
      <c r="DI36" s="1">
        <v>6</v>
      </c>
      <c r="DJ36" s="1">
        <v>4</v>
      </c>
      <c r="DK36" s="1">
        <v>4</v>
      </c>
      <c r="DL36" s="1">
        <v>7</v>
      </c>
      <c r="DM36" s="19">
        <v>7</v>
      </c>
      <c r="DN36" s="19">
        <v>7</v>
      </c>
      <c r="DO36" s="1">
        <v>4</v>
      </c>
      <c r="DP36" s="1">
        <v>5</v>
      </c>
      <c r="DQ36" s="1">
        <v>3</v>
      </c>
      <c r="DR36" s="1">
        <v>2</v>
      </c>
      <c r="DS36" s="1">
        <v>1</v>
      </c>
      <c r="DT36" s="1">
        <v>1</v>
      </c>
      <c r="DU36" s="27">
        <v>5</v>
      </c>
      <c r="DV36" s="27">
        <v>4</v>
      </c>
      <c r="DW36" s="27">
        <v>4</v>
      </c>
      <c r="DX36" s="27">
        <v>4</v>
      </c>
      <c r="DY36" s="27">
        <v>7</v>
      </c>
      <c r="DZ36" s="27">
        <v>3</v>
      </c>
      <c r="EA36" s="27">
        <v>4</v>
      </c>
      <c r="EB36" s="27">
        <v>5</v>
      </c>
      <c r="EC36" s="27">
        <v>4</v>
      </c>
      <c r="ED36" s="27">
        <v>4</v>
      </c>
      <c r="EE36" s="27">
        <v>5</v>
      </c>
      <c r="EF36" s="27">
        <v>5</v>
      </c>
      <c r="EG36" s="27">
        <v>4</v>
      </c>
      <c r="EH36" s="27">
        <v>3</v>
      </c>
      <c r="EI36" s="27">
        <v>4</v>
      </c>
      <c r="EJ36" s="27">
        <v>2</v>
      </c>
      <c r="EK36" s="27">
        <v>4</v>
      </c>
      <c r="EL36" s="27">
        <v>4</v>
      </c>
      <c r="EM36" s="27">
        <v>6</v>
      </c>
      <c r="EN36" s="27">
        <v>7</v>
      </c>
      <c r="EO36" s="27">
        <v>4</v>
      </c>
      <c r="EP36" s="27">
        <v>4</v>
      </c>
      <c r="EQ36" s="27">
        <v>5</v>
      </c>
      <c r="ER36" s="27">
        <v>4</v>
      </c>
      <c r="ES36" s="27">
        <v>4</v>
      </c>
      <c r="ET36" s="27">
        <v>4</v>
      </c>
      <c r="EU36" s="27">
        <v>5</v>
      </c>
      <c r="EV36" s="1">
        <v>18</v>
      </c>
      <c r="EW36" s="1">
        <v>2</v>
      </c>
      <c r="EY36" s="1">
        <v>9</v>
      </c>
      <c r="EZ36" s="9"/>
      <c r="FA36" s="1">
        <v>6</v>
      </c>
      <c r="FB36" s="9" t="s">
        <v>785</v>
      </c>
      <c r="FC36" s="1">
        <v>1</v>
      </c>
      <c r="FD36" s="1">
        <v>9</v>
      </c>
      <c r="FE36" s="4"/>
      <c r="FF36" s="4"/>
      <c r="FG36" s="4"/>
      <c r="FH36" s="4"/>
      <c r="FI36" s="4"/>
      <c r="FJ36" s="23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26"/>
      <c r="GF36" s="26"/>
      <c r="GG36" s="4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S36" s="3"/>
      <c r="HU36" s="3"/>
      <c r="HX36" s="3"/>
      <c r="IA36" s="3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6"/>
      <c r="JP36" s="6"/>
      <c r="JQ36" s="6"/>
      <c r="JR36" s="6"/>
      <c r="JS36" s="6"/>
      <c r="JT36" s="8"/>
      <c r="JU36" s="8"/>
      <c r="JV36" s="8"/>
      <c r="JW36" s="8"/>
      <c r="JX36" s="8"/>
      <c r="JY36" s="8"/>
      <c r="JZ36" s="8"/>
      <c r="KA36" s="8"/>
      <c r="KB36" s="8"/>
      <c r="KC36" s="6"/>
      <c r="KD36" s="6"/>
      <c r="KE36" s="6"/>
      <c r="KF36" s="6"/>
      <c r="KG36" s="6"/>
      <c r="KH36" s="6"/>
      <c r="KI36" s="6"/>
      <c r="KJ36" s="6"/>
      <c r="KK36" s="6"/>
      <c r="KL36" s="4"/>
      <c r="KM36" s="4"/>
      <c r="KN36" s="6"/>
      <c r="KO36" s="4"/>
      <c r="KP36" s="4"/>
      <c r="KQ36" s="6"/>
      <c r="KR36" s="6"/>
      <c r="KS36" s="4"/>
      <c r="KU36" s="4"/>
      <c r="KV36" s="4"/>
      <c r="KW36" s="4"/>
      <c r="KX36" s="6"/>
      <c r="KY36" s="6"/>
      <c r="KZ36" s="6"/>
      <c r="LA36" s="4"/>
      <c r="LB36" s="6"/>
      <c r="LC36" s="6"/>
      <c r="LD36" s="4"/>
      <c r="LE36" s="4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4"/>
    </row>
    <row r="37" spans="1:374" s="1" customFormat="1" x14ac:dyDescent="0.35">
      <c r="A37" s="2">
        <v>43489</v>
      </c>
      <c r="B37" s="15" t="s">
        <v>97</v>
      </c>
      <c r="C37" s="15" t="s">
        <v>198</v>
      </c>
      <c r="D37" s="1">
        <v>36</v>
      </c>
      <c r="E37" s="3">
        <v>1</v>
      </c>
      <c r="F37" s="3">
        <v>4</v>
      </c>
      <c r="G37" s="3"/>
      <c r="H37" s="3">
        <v>9</v>
      </c>
      <c r="I37" s="3">
        <v>4</v>
      </c>
      <c r="J37" s="3"/>
      <c r="K37" s="18">
        <v>0</v>
      </c>
      <c r="L37" s="18">
        <v>0</v>
      </c>
      <c r="M37" s="18">
        <v>1</v>
      </c>
      <c r="N37" s="18">
        <v>1</v>
      </c>
      <c r="O37" s="18">
        <v>1</v>
      </c>
      <c r="P37" s="4">
        <v>0.6</v>
      </c>
      <c r="Q37" s="3">
        <v>54</v>
      </c>
      <c r="R37" s="3">
        <v>50</v>
      </c>
      <c r="S37" s="3">
        <v>54</v>
      </c>
      <c r="T37" s="3">
        <v>48</v>
      </c>
      <c r="U37" s="3">
        <v>54</v>
      </c>
      <c r="V37" s="3">
        <v>55</v>
      </c>
      <c r="W37" s="3">
        <v>46</v>
      </c>
      <c r="X37" s="3">
        <v>63</v>
      </c>
      <c r="Y37" s="3">
        <v>62</v>
      </c>
      <c r="Z37" s="3"/>
      <c r="AA37" s="3"/>
      <c r="AB37" s="3"/>
      <c r="AC37" s="3"/>
      <c r="AD37" s="3"/>
      <c r="AE37" s="3"/>
      <c r="AF37" s="3"/>
      <c r="AG37" s="3"/>
      <c r="AH37" s="3"/>
      <c r="AI37" s="4"/>
      <c r="AJ37" s="4"/>
      <c r="AK37" s="4"/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/>
      <c r="AY37"/>
      <c r="AZ37"/>
      <c r="BA37"/>
      <c r="BB37"/>
      <c r="BC37"/>
      <c r="BP37" s="4"/>
      <c r="BQ37" s="4"/>
      <c r="BR37" s="4"/>
      <c r="BS37" s="4"/>
      <c r="BT37" s="4"/>
      <c r="BU37" s="4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1">
        <v>4</v>
      </c>
      <c r="CJ37" s="1">
        <v>6</v>
      </c>
      <c r="CK37" s="1">
        <v>6</v>
      </c>
      <c r="CL37" s="1">
        <v>6</v>
      </c>
      <c r="CM37" s="1">
        <v>3</v>
      </c>
      <c r="CN37" s="1">
        <v>3</v>
      </c>
      <c r="CO37" s="1">
        <v>4</v>
      </c>
      <c r="CP37" s="1">
        <v>2</v>
      </c>
      <c r="CQ37" s="1">
        <v>3</v>
      </c>
      <c r="CR37" s="1">
        <v>3</v>
      </c>
      <c r="CS37" s="1">
        <v>6</v>
      </c>
      <c r="CT37" s="1">
        <v>6</v>
      </c>
      <c r="CU37" s="1">
        <v>6</v>
      </c>
      <c r="CV37" s="1">
        <v>4</v>
      </c>
      <c r="CW37" s="1">
        <v>6</v>
      </c>
      <c r="CX37" s="1">
        <v>6</v>
      </c>
      <c r="CY37" s="1">
        <v>6</v>
      </c>
      <c r="CZ37" s="1">
        <v>4</v>
      </c>
      <c r="DA37" s="1">
        <v>5</v>
      </c>
      <c r="DB37" s="1">
        <v>4</v>
      </c>
      <c r="DC37" s="1">
        <v>2</v>
      </c>
      <c r="DD37" s="1">
        <v>2</v>
      </c>
      <c r="DE37" s="1">
        <v>5</v>
      </c>
      <c r="DF37" s="1">
        <v>1</v>
      </c>
      <c r="DG37" s="1">
        <v>2</v>
      </c>
      <c r="DH37" s="1">
        <v>3</v>
      </c>
      <c r="DI37" s="1">
        <v>2</v>
      </c>
      <c r="DJ37" s="1">
        <v>2</v>
      </c>
      <c r="DK37" s="1">
        <v>1</v>
      </c>
      <c r="DL37" s="1">
        <v>1</v>
      </c>
      <c r="DM37" s="19">
        <v>1</v>
      </c>
      <c r="DN37" s="19">
        <v>1</v>
      </c>
      <c r="DO37" s="1">
        <v>1</v>
      </c>
      <c r="DP37" s="1">
        <v>3</v>
      </c>
      <c r="DQ37" s="1">
        <v>2</v>
      </c>
      <c r="DR37" s="1">
        <v>3</v>
      </c>
      <c r="DS37" s="1">
        <v>7</v>
      </c>
      <c r="DT37" s="1">
        <v>3</v>
      </c>
      <c r="DU37" s="27">
        <v>7</v>
      </c>
      <c r="DV37" s="27">
        <v>7</v>
      </c>
      <c r="DW37" s="27">
        <v>7</v>
      </c>
      <c r="DX37" s="27">
        <v>4</v>
      </c>
      <c r="DY37" s="27">
        <v>1</v>
      </c>
      <c r="DZ37" s="27">
        <v>4</v>
      </c>
      <c r="EA37" s="27">
        <v>1</v>
      </c>
      <c r="EB37" s="27">
        <v>7</v>
      </c>
      <c r="EC37" s="27">
        <v>4</v>
      </c>
      <c r="ED37" s="27">
        <v>4</v>
      </c>
      <c r="EE37" s="27">
        <v>5</v>
      </c>
      <c r="EF37" s="27">
        <v>6</v>
      </c>
      <c r="EG37" s="27">
        <v>4</v>
      </c>
      <c r="EH37" s="27">
        <v>7</v>
      </c>
      <c r="EI37" s="27">
        <v>7</v>
      </c>
      <c r="EJ37" s="27">
        <v>7</v>
      </c>
      <c r="EK37" s="27">
        <v>7</v>
      </c>
      <c r="EL37" s="27">
        <v>5</v>
      </c>
      <c r="EM37" s="27">
        <v>1</v>
      </c>
      <c r="EN37" s="27">
        <v>1</v>
      </c>
      <c r="EO37" s="27">
        <v>7</v>
      </c>
      <c r="EP37" s="27">
        <v>7</v>
      </c>
      <c r="EQ37" s="27">
        <v>6</v>
      </c>
      <c r="ER37" s="27">
        <v>7</v>
      </c>
      <c r="ES37" s="27">
        <v>7</v>
      </c>
      <c r="ET37" s="27">
        <v>4</v>
      </c>
      <c r="EU37" s="27">
        <v>4</v>
      </c>
      <c r="EV37" s="1">
        <v>18</v>
      </c>
      <c r="EW37" s="1">
        <v>2</v>
      </c>
      <c r="EY37" s="1">
        <v>1</v>
      </c>
      <c r="EZ37" s="9"/>
      <c r="FA37" s="1">
        <v>2</v>
      </c>
      <c r="FB37" s="9" t="s">
        <v>801</v>
      </c>
      <c r="FC37" s="1">
        <v>0</v>
      </c>
      <c r="FD37" s="1">
        <v>6</v>
      </c>
      <c r="FE37" s="4"/>
      <c r="FF37" s="4"/>
      <c r="FG37" s="4"/>
      <c r="FH37" s="4"/>
      <c r="FI37" s="4"/>
      <c r="FJ37" s="23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26"/>
      <c r="GF37" s="26"/>
      <c r="GG37" s="4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S37" s="3"/>
      <c r="HU37" s="3"/>
      <c r="HX37" s="3"/>
      <c r="IA37" s="3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6"/>
      <c r="JP37" s="6"/>
      <c r="JQ37" s="6"/>
      <c r="JR37" s="6"/>
      <c r="JS37" s="6"/>
      <c r="JT37" s="8"/>
      <c r="JU37" s="8"/>
      <c r="JV37" s="8"/>
      <c r="JW37" s="8"/>
      <c r="JX37" s="8"/>
      <c r="JY37" s="8"/>
      <c r="JZ37" s="8"/>
      <c r="KA37" s="8"/>
      <c r="KB37" s="8"/>
      <c r="KC37" s="6"/>
      <c r="KD37" s="6"/>
      <c r="KE37" s="6"/>
      <c r="KF37" s="6"/>
      <c r="KG37" s="6"/>
      <c r="KH37" s="6"/>
      <c r="KI37" s="6"/>
      <c r="KJ37" s="6"/>
      <c r="KK37" s="6"/>
      <c r="KL37" s="4"/>
      <c r="KM37" s="4"/>
      <c r="KN37" s="6"/>
      <c r="KO37" s="4"/>
      <c r="KP37" s="4"/>
      <c r="KQ37" s="6"/>
      <c r="KR37" s="6"/>
      <c r="KS37" s="4"/>
      <c r="KU37" s="4"/>
      <c r="KV37" s="4"/>
      <c r="KW37" s="4"/>
      <c r="KX37" s="6"/>
      <c r="KY37" s="6"/>
      <c r="KZ37" s="6"/>
      <c r="LA37" s="4"/>
      <c r="LB37" s="6"/>
      <c r="LC37" s="6"/>
      <c r="LD37" s="4"/>
      <c r="LE37" s="4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4"/>
    </row>
    <row r="38" spans="1:374" s="1" customFormat="1" x14ac:dyDescent="0.35">
      <c r="A38" s="2">
        <v>43718</v>
      </c>
      <c r="B38" s="15" t="s">
        <v>98</v>
      </c>
      <c r="C38" s="15" t="s">
        <v>199</v>
      </c>
      <c r="D38" s="1">
        <v>37</v>
      </c>
      <c r="E38" s="3">
        <v>1</v>
      </c>
      <c r="F38" s="3">
        <v>4</v>
      </c>
      <c r="G38" s="3">
        <v>1</v>
      </c>
      <c r="H38" s="3">
        <v>10</v>
      </c>
      <c r="I38" s="3">
        <v>1</v>
      </c>
      <c r="J38" s="3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4">
        <v>1</v>
      </c>
      <c r="Q38" s="3">
        <v>15</v>
      </c>
      <c r="R38" s="3">
        <v>23</v>
      </c>
      <c r="S38" s="3">
        <v>21</v>
      </c>
      <c r="T38" s="3">
        <v>76</v>
      </c>
      <c r="U38" s="3">
        <v>75</v>
      </c>
      <c r="V38" s="3">
        <v>114</v>
      </c>
      <c r="W38" s="3">
        <v>128</v>
      </c>
      <c r="X38" s="3">
        <v>121</v>
      </c>
      <c r="Y38" s="3">
        <v>118</v>
      </c>
      <c r="Z38" s="3">
        <v>199</v>
      </c>
      <c r="AA38" s="3">
        <v>222</v>
      </c>
      <c r="AB38" s="3">
        <v>224</v>
      </c>
      <c r="AC38" s="3">
        <v>378</v>
      </c>
      <c r="AD38" s="3">
        <v>345</v>
      </c>
      <c r="AE38" s="3">
        <v>446</v>
      </c>
      <c r="AF38" s="3">
        <v>474</v>
      </c>
      <c r="AG38" s="3">
        <v>467</v>
      </c>
      <c r="AH38" s="3">
        <v>443</v>
      </c>
      <c r="AI38" s="4">
        <v>215</v>
      </c>
      <c r="AJ38" s="4">
        <v>389.67</v>
      </c>
      <c r="AK38" s="4">
        <v>461.33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f t="shared" ref="AX38:BC38" si="18">AL38+AL39+AL40+AL41</f>
        <v>0</v>
      </c>
      <c r="AY38" s="19">
        <f t="shared" si="18"/>
        <v>0</v>
      </c>
      <c r="AZ38" s="19">
        <f t="shared" si="18"/>
        <v>0</v>
      </c>
      <c r="BA38" s="19">
        <f t="shared" si="18"/>
        <v>0</v>
      </c>
      <c r="BB38" s="19">
        <f t="shared" si="18"/>
        <v>0</v>
      </c>
      <c r="BC38" s="19">
        <f t="shared" si="18"/>
        <v>0</v>
      </c>
      <c r="BD38" s="1">
        <f>AX38*3</f>
        <v>0</v>
      </c>
      <c r="BE38" s="1">
        <f t="shared" ref="BE38:BI38" si="19">AY38*3</f>
        <v>0</v>
      </c>
      <c r="BF38" s="1">
        <f t="shared" si="19"/>
        <v>0</v>
      </c>
      <c r="BG38" s="1">
        <f t="shared" si="19"/>
        <v>0</v>
      </c>
      <c r="BH38" s="1">
        <f t="shared" si="19"/>
        <v>0</v>
      </c>
      <c r="BI38" s="1">
        <f t="shared" si="19"/>
        <v>0</v>
      </c>
      <c r="BJ38" s="1">
        <f>AX38+AY38+AZ38</f>
        <v>0</v>
      </c>
      <c r="BK38" s="1">
        <f>BA38+BB38+BC38</f>
        <v>0</v>
      </c>
      <c r="BL38" s="1">
        <f>BJ38*3</f>
        <v>0</v>
      </c>
      <c r="BM38" s="1">
        <f>BK38*3</f>
        <v>0</v>
      </c>
      <c r="BN38" s="1">
        <f>BL38/3</f>
        <v>0</v>
      </c>
      <c r="BO38" s="1">
        <f>BM38/3</f>
        <v>0</v>
      </c>
      <c r="BP38" s="4">
        <v>215</v>
      </c>
      <c r="BQ38" s="4">
        <v>389.66666666666669</v>
      </c>
      <c r="BR38" s="4">
        <v>461.33333333333331</v>
      </c>
      <c r="BS38" s="4">
        <v>389.67</v>
      </c>
      <c r="BT38" s="4">
        <v>461.33</v>
      </c>
      <c r="BU38" s="4">
        <v>3.67</v>
      </c>
      <c r="BV38" s="3">
        <v>2</v>
      </c>
      <c r="BW38" s="3">
        <v>2</v>
      </c>
      <c r="BX38" s="3">
        <v>2</v>
      </c>
      <c r="BY38" s="3">
        <v>2</v>
      </c>
      <c r="BZ38" s="3">
        <v>1</v>
      </c>
      <c r="CA38" s="3">
        <v>1</v>
      </c>
      <c r="CB38" s="3">
        <v>1</v>
      </c>
      <c r="CC38" s="3">
        <v>1</v>
      </c>
      <c r="CD38" s="3">
        <v>1</v>
      </c>
      <c r="CE38" s="3">
        <v>1</v>
      </c>
      <c r="CF38" s="3">
        <v>1</v>
      </c>
      <c r="CG38" s="3">
        <v>1</v>
      </c>
      <c r="CH38" s="3">
        <v>0</v>
      </c>
      <c r="CI38" s="1">
        <v>7</v>
      </c>
      <c r="CJ38" s="1">
        <v>7</v>
      </c>
      <c r="CK38" s="1">
        <v>7</v>
      </c>
      <c r="CL38" s="1">
        <v>7</v>
      </c>
      <c r="CM38" s="1">
        <v>7</v>
      </c>
      <c r="CN38" s="1">
        <v>7</v>
      </c>
      <c r="CO38" s="1">
        <v>7</v>
      </c>
      <c r="CP38" s="1">
        <v>1</v>
      </c>
      <c r="CQ38" s="1">
        <v>7</v>
      </c>
      <c r="CR38" s="1">
        <v>7</v>
      </c>
      <c r="CS38" s="1">
        <v>7</v>
      </c>
      <c r="CT38" s="1">
        <v>7</v>
      </c>
      <c r="CU38" s="1">
        <v>7</v>
      </c>
      <c r="CV38" s="1">
        <v>7</v>
      </c>
      <c r="CW38" s="1">
        <v>7</v>
      </c>
      <c r="CX38" s="1">
        <v>6</v>
      </c>
      <c r="CY38" s="1">
        <v>7</v>
      </c>
      <c r="CZ38" s="1">
        <v>7</v>
      </c>
      <c r="DA38" s="1">
        <v>7</v>
      </c>
      <c r="DB38" s="1">
        <v>7</v>
      </c>
      <c r="DC38" s="1">
        <v>7</v>
      </c>
      <c r="DD38" s="1">
        <v>7</v>
      </c>
      <c r="DE38" s="1">
        <v>7</v>
      </c>
      <c r="DF38" s="1">
        <v>2</v>
      </c>
      <c r="DG38" s="1">
        <v>2</v>
      </c>
      <c r="DH38" s="1">
        <v>7</v>
      </c>
      <c r="DI38" s="1">
        <v>2</v>
      </c>
      <c r="DJ38" s="1">
        <v>4</v>
      </c>
      <c r="DK38" s="1">
        <v>4</v>
      </c>
      <c r="DL38" s="1">
        <v>7</v>
      </c>
      <c r="DM38" s="19">
        <v>7</v>
      </c>
      <c r="DN38" s="19">
        <v>4</v>
      </c>
      <c r="DO38" s="1">
        <v>5</v>
      </c>
      <c r="DP38" s="1">
        <v>7</v>
      </c>
      <c r="DQ38" s="1">
        <v>7</v>
      </c>
      <c r="DR38" s="1">
        <v>7</v>
      </c>
      <c r="DS38" s="1">
        <v>7</v>
      </c>
      <c r="DT38" s="1">
        <v>7</v>
      </c>
      <c r="DU38" s="27">
        <v>7</v>
      </c>
      <c r="DV38" s="27">
        <v>7</v>
      </c>
      <c r="DW38" s="27">
        <v>7</v>
      </c>
      <c r="DX38" s="27">
        <v>4</v>
      </c>
      <c r="DY38" s="27">
        <v>2</v>
      </c>
      <c r="DZ38" s="27">
        <v>4</v>
      </c>
      <c r="EA38" s="27">
        <v>4</v>
      </c>
      <c r="EB38" s="27">
        <v>6</v>
      </c>
      <c r="EC38" s="27">
        <v>7</v>
      </c>
      <c r="ED38" s="27">
        <v>7</v>
      </c>
      <c r="EE38" s="27">
        <v>6</v>
      </c>
      <c r="EF38" s="27">
        <v>4</v>
      </c>
      <c r="EG38" s="27">
        <v>7</v>
      </c>
      <c r="EH38" s="27">
        <v>7</v>
      </c>
      <c r="EI38" s="27">
        <v>7</v>
      </c>
      <c r="EJ38" s="27">
        <v>7</v>
      </c>
      <c r="EK38" s="27">
        <v>7</v>
      </c>
      <c r="EL38" s="27">
        <v>7</v>
      </c>
      <c r="EM38" s="27">
        <v>1</v>
      </c>
      <c r="EN38" s="27">
        <v>1</v>
      </c>
      <c r="EO38" s="27">
        <v>7</v>
      </c>
      <c r="EP38" s="27">
        <v>7</v>
      </c>
      <c r="EQ38" s="27">
        <v>7</v>
      </c>
      <c r="ER38" s="27">
        <v>7</v>
      </c>
      <c r="ES38" s="27">
        <v>7</v>
      </c>
      <c r="ET38" s="27">
        <v>4</v>
      </c>
      <c r="EU38" s="27">
        <v>4</v>
      </c>
      <c r="EV38" s="1">
        <v>18</v>
      </c>
      <c r="EW38" s="1">
        <v>1</v>
      </c>
      <c r="EY38" s="1">
        <v>1</v>
      </c>
      <c r="EZ38" s="9"/>
      <c r="FA38" s="1">
        <v>1</v>
      </c>
      <c r="FB38" s="9" t="s">
        <v>802</v>
      </c>
      <c r="FC38" s="1">
        <v>0</v>
      </c>
      <c r="FD38" s="1">
        <v>3</v>
      </c>
      <c r="FE38" s="4">
        <v>6.5</v>
      </c>
      <c r="FF38" s="4">
        <v>6.5</v>
      </c>
      <c r="FG38" s="4">
        <v>7.94</v>
      </c>
      <c r="FH38" s="4">
        <v>7</v>
      </c>
      <c r="FI38" s="4">
        <v>6.63</v>
      </c>
      <c r="FJ38" s="23">
        <v>6.5</v>
      </c>
      <c r="FK38" s="4">
        <v>3.88</v>
      </c>
      <c r="FL38" s="4">
        <v>6.75</v>
      </c>
      <c r="FM38" s="4">
        <v>4.5</v>
      </c>
      <c r="FN38" s="4">
        <v>5.75</v>
      </c>
      <c r="FO38" s="4">
        <v>6.5</v>
      </c>
      <c r="FP38" s="4">
        <v>5.58</v>
      </c>
      <c r="FQ38" s="4">
        <v>2.75</v>
      </c>
      <c r="FR38" s="4">
        <v>2.25</v>
      </c>
      <c r="FS38" s="4">
        <v>2.75</v>
      </c>
      <c r="FT38" s="4">
        <v>5</v>
      </c>
      <c r="FU38" s="4">
        <v>3.25</v>
      </c>
      <c r="FV38" s="4">
        <v>5</v>
      </c>
      <c r="FW38" s="4">
        <v>4</v>
      </c>
      <c r="FX38" s="4">
        <v>4.5</v>
      </c>
      <c r="FY38" s="4">
        <v>6.5</v>
      </c>
      <c r="FZ38" s="4">
        <v>5</v>
      </c>
      <c r="GA38" s="4">
        <v>1.75</v>
      </c>
      <c r="GB38" s="4">
        <v>6.67</v>
      </c>
      <c r="GC38" s="4">
        <v>4.88</v>
      </c>
      <c r="GD38" s="4">
        <v>4.75</v>
      </c>
      <c r="GE38" s="26"/>
      <c r="GF38" s="26"/>
      <c r="GG38" s="4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S38" s="3"/>
      <c r="HU38" s="3"/>
      <c r="HX38" s="3"/>
      <c r="IA38" s="3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3"/>
      <c r="JP38" s="3"/>
      <c r="JQ38" s="4"/>
      <c r="JR38" s="5"/>
      <c r="JS38" s="5"/>
      <c r="JT38" s="8"/>
      <c r="JU38" s="8"/>
      <c r="JV38" s="8"/>
      <c r="JW38" s="8"/>
      <c r="JX38" s="8"/>
      <c r="JY38" s="8"/>
      <c r="JZ38" s="8"/>
      <c r="KA38" s="8"/>
      <c r="KB38" s="8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</row>
    <row r="39" spans="1:374" s="1" customFormat="1" x14ac:dyDescent="0.35">
      <c r="A39" s="2">
        <v>43718</v>
      </c>
      <c r="B39" s="15" t="s">
        <v>98</v>
      </c>
      <c r="C39" s="15" t="s">
        <v>200</v>
      </c>
      <c r="D39" s="1">
        <v>38</v>
      </c>
      <c r="E39" s="3">
        <v>1</v>
      </c>
      <c r="F39" s="3">
        <v>4</v>
      </c>
      <c r="G39" s="3"/>
      <c r="H39" s="3">
        <v>10</v>
      </c>
      <c r="I39" s="3">
        <v>2</v>
      </c>
      <c r="J39" s="3"/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4">
        <v>1</v>
      </c>
      <c r="Q39" s="3">
        <v>42</v>
      </c>
      <c r="R39" s="3">
        <v>51</v>
      </c>
      <c r="S39" s="3">
        <v>66</v>
      </c>
      <c r="T39" s="3">
        <v>81</v>
      </c>
      <c r="U39" s="3">
        <v>71</v>
      </c>
      <c r="V39" s="3">
        <v>90</v>
      </c>
      <c r="W39" s="3">
        <v>115</v>
      </c>
      <c r="X39" s="3">
        <v>125</v>
      </c>
      <c r="Y39" s="3">
        <v>126</v>
      </c>
      <c r="Z39" s="3"/>
      <c r="AA39" s="3"/>
      <c r="AB39" s="3"/>
      <c r="AC39" s="3"/>
      <c r="AD39" s="3"/>
      <c r="AE39" s="3"/>
      <c r="AF39" s="3"/>
      <c r="AG39" s="3"/>
      <c r="AH39" s="3"/>
      <c r="AI39" s="4"/>
      <c r="AJ39" s="4"/>
      <c r="AK39" s="4"/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/>
      <c r="AY39"/>
      <c r="AZ39"/>
      <c r="BA39"/>
      <c r="BB39"/>
      <c r="BC39"/>
      <c r="BP39" s="4"/>
      <c r="BQ39" s="4"/>
      <c r="BR39" s="4"/>
      <c r="BS39" s="4"/>
      <c r="BT39" s="4"/>
      <c r="BU39" s="4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1">
        <v>6</v>
      </c>
      <c r="CJ39" s="1">
        <v>6</v>
      </c>
      <c r="CK39" s="1">
        <v>6</v>
      </c>
      <c r="CL39" s="1">
        <v>6</v>
      </c>
      <c r="CM39" s="1">
        <v>6</v>
      </c>
      <c r="CN39" s="1">
        <v>6</v>
      </c>
      <c r="CO39" s="1">
        <v>6</v>
      </c>
      <c r="CP39" s="1">
        <v>2</v>
      </c>
      <c r="CQ39" s="1">
        <v>6</v>
      </c>
      <c r="CR39" s="1">
        <v>6</v>
      </c>
      <c r="CS39" s="1">
        <v>6</v>
      </c>
      <c r="CT39" s="1">
        <v>6</v>
      </c>
      <c r="CU39" s="1">
        <v>6</v>
      </c>
      <c r="CV39" s="1">
        <v>6</v>
      </c>
      <c r="CW39" s="1">
        <v>6</v>
      </c>
      <c r="CX39" s="1">
        <v>6</v>
      </c>
      <c r="CY39" s="1">
        <v>6</v>
      </c>
      <c r="CZ39" s="1">
        <v>7</v>
      </c>
      <c r="DA39" s="1">
        <v>7</v>
      </c>
      <c r="DB39" s="1">
        <v>7</v>
      </c>
      <c r="DC39" s="1">
        <v>6</v>
      </c>
      <c r="DD39" s="1">
        <v>6</v>
      </c>
      <c r="DE39" s="1">
        <v>6</v>
      </c>
      <c r="DF39" s="1">
        <v>1</v>
      </c>
      <c r="DG39" s="1">
        <v>1</v>
      </c>
      <c r="DH39" s="1">
        <v>1</v>
      </c>
      <c r="DI39" s="1">
        <v>1</v>
      </c>
      <c r="DJ39" s="1">
        <v>1</v>
      </c>
      <c r="DK39" s="1">
        <v>1</v>
      </c>
      <c r="DL39" s="1">
        <v>6</v>
      </c>
      <c r="DM39" s="19">
        <v>6</v>
      </c>
      <c r="DN39" s="19">
        <v>1</v>
      </c>
      <c r="DO39" s="1">
        <v>1</v>
      </c>
      <c r="DP39" s="1">
        <v>1</v>
      </c>
      <c r="DQ39" s="1">
        <v>5</v>
      </c>
      <c r="DR39" s="1">
        <v>7</v>
      </c>
      <c r="DS39" s="1">
        <v>6</v>
      </c>
      <c r="DT39" s="1">
        <v>6</v>
      </c>
      <c r="DU39" s="27">
        <v>6</v>
      </c>
      <c r="DV39" s="27">
        <v>7</v>
      </c>
      <c r="DW39" s="27">
        <v>2</v>
      </c>
      <c r="DX39" s="27">
        <v>2</v>
      </c>
      <c r="DY39" s="27">
        <v>2</v>
      </c>
      <c r="DZ39" s="27">
        <v>4</v>
      </c>
      <c r="EA39" s="27">
        <v>2</v>
      </c>
      <c r="EB39" s="27">
        <v>2</v>
      </c>
      <c r="EC39" s="27">
        <v>6</v>
      </c>
      <c r="ED39" s="27">
        <v>2</v>
      </c>
      <c r="EE39" s="27">
        <v>5</v>
      </c>
      <c r="EF39" s="27">
        <v>2</v>
      </c>
      <c r="EG39" s="27">
        <v>4</v>
      </c>
      <c r="EH39" s="27">
        <v>6</v>
      </c>
      <c r="EI39" s="27">
        <v>6</v>
      </c>
      <c r="EJ39" s="27">
        <v>6</v>
      </c>
      <c r="EK39" s="27">
        <v>6</v>
      </c>
      <c r="EL39" s="27">
        <v>6</v>
      </c>
      <c r="EM39" s="27">
        <v>2</v>
      </c>
      <c r="EN39" s="27">
        <v>2</v>
      </c>
      <c r="EO39" s="27">
        <v>6</v>
      </c>
      <c r="EP39" s="27">
        <v>6</v>
      </c>
      <c r="EQ39" s="27">
        <v>6</v>
      </c>
      <c r="ER39" s="27">
        <v>6</v>
      </c>
      <c r="ES39" s="27">
        <v>6</v>
      </c>
      <c r="ET39" s="27">
        <v>4</v>
      </c>
      <c r="EU39" s="27">
        <v>4</v>
      </c>
      <c r="EV39" s="1">
        <v>22</v>
      </c>
      <c r="EW39" s="1">
        <v>2</v>
      </c>
      <c r="EY39" s="1">
        <v>2</v>
      </c>
      <c r="EZ39" s="9"/>
      <c r="FA39" s="1">
        <v>2</v>
      </c>
      <c r="FB39" s="9" t="s">
        <v>803</v>
      </c>
      <c r="FC39" s="1">
        <v>0</v>
      </c>
      <c r="FD39" s="1">
        <v>5</v>
      </c>
      <c r="FE39" s="4"/>
      <c r="FF39" s="4"/>
      <c r="FG39" s="4"/>
      <c r="FH39" s="4"/>
      <c r="FI39" s="4"/>
      <c r="FJ39" s="23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26"/>
      <c r="GF39" s="26"/>
      <c r="GG39" s="4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S39" s="3"/>
      <c r="HU39" s="3"/>
      <c r="HX39" s="3"/>
      <c r="IA39" s="3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6"/>
      <c r="JP39" s="6"/>
      <c r="JQ39" s="6"/>
      <c r="JR39" s="6"/>
      <c r="JS39" s="6"/>
      <c r="JT39" s="8"/>
      <c r="JU39" s="8"/>
      <c r="JV39" s="8"/>
      <c r="JW39" s="8"/>
      <c r="JX39" s="8"/>
      <c r="JY39" s="8"/>
      <c r="JZ39" s="8"/>
      <c r="KA39" s="8"/>
      <c r="KB39" s="8"/>
      <c r="KC39" s="6"/>
      <c r="KD39" s="6"/>
      <c r="KE39" s="6"/>
      <c r="KF39" s="6"/>
      <c r="KG39" s="6"/>
      <c r="KH39" s="6"/>
      <c r="KI39" s="6"/>
      <c r="KJ39" s="6"/>
      <c r="KK39" s="6"/>
      <c r="KL39" s="4"/>
      <c r="KM39" s="4"/>
      <c r="KN39" s="6"/>
      <c r="KO39" s="4"/>
      <c r="KP39" s="4"/>
      <c r="KQ39" s="6"/>
      <c r="KR39" s="6"/>
      <c r="KS39" s="4"/>
      <c r="KU39" s="4"/>
      <c r="KV39" s="4"/>
      <c r="KW39" s="4"/>
      <c r="KX39" s="6"/>
      <c r="KY39" s="6"/>
      <c r="KZ39" s="6"/>
      <c r="LA39" s="4"/>
      <c r="LB39" s="6"/>
      <c r="LC39" s="6"/>
      <c r="LD39" s="4"/>
      <c r="LE39" s="4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4"/>
    </row>
    <row r="40" spans="1:374" s="1" customFormat="1" x14ac:dyDescent="0.35">
      <c r="A40" s="2">
        <v>43718</v>
      </c>
      <c r="B40" s="15" t="s">
        <v>98</v>
      </c>
      <c r="C40" s="15" t="s">
        <v>201</v>
      </c>
      <c r="D40" s="1">
        <v>39</v>
      </c>
      <c r="E40" s="3">
        <v>1</v>
      </c>
      <c r="F40" s="3">
        <v>4</v>
      </c>
      <c r="G40" s="3"/>
      <c r="H40" s="3">
        <v>10</v>
      </c>
      <c r="I40" s="3">
        <v>3</v>
      </c>
      <c r="J40" s="3"/>
      <c r="K40" s="18">
        <v>0</v>
      </c>
      <c r="L40" s="18">
        <v>0</v>
      </c>
      <c r="M40" s="18">
        <v>1</v>
      </c>
      <c r="N40" s="18">
        <v>1</v>
      </c>
      <c r="O40" s="18">
        <v>0</v>
      </c>
      <c r="P40" s="4">
        <v>0.4</v>
      </c>
      <c r="Q40" s="3">
        <v>70</v>
      </c>
      <c r="R40" s="3">
        <v>61</v>
      </c>
      <c r="S40" s="3">
        <v>49</v>
      </c>
      <c r="T40" s="3">
        <v>87</v>
      </c>
      <c r="U40" s="3">
        <v>111</v>
      </c>
      <c r="V40" s="3">
        <v>136</v>
      </c>
      <c r="W40" s="3">
        <v>122</v>
      </c>
      <c r="X40" s="3">
        <v>129</v>
      </c>
      <c r="Y40" s="3">
        <v>92</v>
      </c>
      <c r="Z40" s="3"/>
      <c r="AA40" s="3"/>
      <c r="AB40" s="3"/>
      <c r="AC40" s="3"/>
      <c r="AD40" s="3"/>
      <c r="AE40" s="3"/>
      <c r="AF40" s="3"/>
      <c r="AG40" s="3"/>
      <c r="AH40" s="3"/>
      <c r="AI40" s="4"/>
      <c r="AJ40" s="4"/>
      <c r="AK40" s="4"/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/>
      <c r="AY40"/>
      <c r="AZ40"/>
      <c r="BA40"/>
      <c r="BB40"/>
      <c r="BC40"/>
      <c r="BP40" s="4"/>
      <c r="BQ40" s="4"/>
      <c r="BR40" s="4"/>
      <c r="BS40" s="4"/>
      <c r="BT40" s="4"/>
      <c r="BU40" s="4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1">
        <v>6</v>
      </c>
      <c r="CJ40" s="1">
        <v>6</v>
      </c>
      <c r="CK40" s="1">
        <v>6</v>
      </c>
      <c r="CL40" s="1">
        <v>6</v>
      </c>
      <c r="CM40" s="1">
        <v>6</v>
      </c>
      <c r="CN40" s="1">
        <v>6</v>
      </c>
      <c r="CO40" s="1">
        <v>6</v>
      </c>
      <c r="CP40" s="1">
        <v>2</v>
      </c>
      <c r="CQ40" s="1">
        <v>6</v>
      </c>
      <c r="CR40" s="1">
        <v>6</v>
      </c>
      <c r="CS40" s="1">
        <v>6</v>
      </c>
      <c r="CT40" s="1">
        <v>6</v>
      </c>
      <c r="CU40" s="1">
        <v>6</v>
      </c>
      <c r="CV40" s="1">
        <v>6</v>
      </c>
      <c r="CW40" s="1">
        <v>4</v>
      </c>
      <c r="CX40" s="1">
        <v>6</v>
      </c>
      <c r="CY40" s="1">
        <v>6</v>
      </c>
      <c r="CZ40" s="1">
        <v>7</v>
      </c>
      <c r="DA40" s="1">
        <v>7</v>
      </c>
      <c r="DB40" s="1">
        <v>7</v>
      </c>
      <c r="DC40" s="1">
        <v>6</v>
      </c>
      <c r="DD40" s="1">
        <v>7</v>
      </c>
      <c r="DE40" s="1">
        <v>6</v>
      </c>
      <c r="DF40" s="1">
        <v>3</v>
      </c>
      <c r="DG40" s="1">
        <v>3</v>
      </c>
      <c r="DH40" s="1">
        <v>6</v>
      </c>
      <c r="DI40" s="1">
        <v>6</v>
      </c>
      <c r="DJ40" s="1">
        <v>6</v>
      </c>
      <c r="DK40" s="1">
        <v>6</v>
      </c>
      <c r="DL40" s="1">
        <v>7</v>
      </c>
      <c r="DM40" s="19">
        <v>7</v>
      </c>
      <c r="DN40" s="19">
        <v>6</v>
      </c>
      <c r="DO40" s="1">
        <v>5</v>
      </c>
      <c r="DP40" s="1">
        <v>6</v>
      </c>
      <c r="DQ40" s="1">
        <v>6</v>
      </c>
      <c r="DR40" s="1">
        <v>5</v>
      </c>
      <c r="DS40" s="1">
        <v>6</v>
      </c>
      <c r="DT40" s="1">
        <v>6</v>
      </c>
      <c r="DU40" s="27">
        <v>6</v>
      </c>
      <c r="DV40" s="27">
        <v>6</v>
      </c>
      <c r="DW40" s="27">
        <v>4</v>
      </c>
      <c r="DX40" s="27">
        <v>4</v>
      </c>
      <c r="DY40" s="27">
        <v>6</v>
      </c>
      <c r="DZ40" s="27">
        <v>2</v>
      </c>
      <c r="EA40" s="27">
        <v>2</v>
      </c>
      <c r="EB40" s="27">
        <v>2</v>
      </c>
      <c r="EC40" s="27">
        <v>6</v>
      </c>
      <c r="ED40" s="27">
        <v>3</v>
      </c>
      <c r="EE40" s="27">
        <v>2</v>
      </c>
      <c r="EF40" s="27">
        <v>3</v>
      </c>
      <c r="EG40" s="27">
        <v>6</v>
      </c>
      <c r="EH40" s="27">
        <v>6</v>
      </c>
      <c r="EI40" s="27">
        <v>6</v>
      </c>
      <c r="EJ40" s="27">
        <v>6</v>
      </c>
      <c r="EK40" s="27">
        <v>6</v>
      </c>
      <c r="EL40" s="27">
        <v>6</v>
      </c>
      <c r="EM40" s="27">
        <v>3</v>
      </c>
      <c r="EN40" s="27">
        <v>3</v>
      </c>
      <c r="EO40" s="27">
        <v>7</v>
      </c>
      <c r="EP40" s="27">
        <v>7</v>
      </c>
      <c r="EQ40" s="27">
        <v>6</v>
      </c>
      <c r="ER40" s="27">
        <v>7</v>
      </c>
      <c r="ES40" s="27">
        <v>4</v>
      </c>
      <c r="ET40" s="27">
        <v>4</v>
      </c>
      <c r="EU40" s="27">
        <v>4</v>
      </c>
      <c r="EV40" s="1">
        <v>19</v>
      </c>
      <c r="EW40" s="1">
        <v>2</v>
      </c>
      <c r="EY40" s="1">
        <v>1</v>
      </c>
      <c r="EZ40" s="9"/>
      <c r="FA40" s="1">
        <v>2</v>
      </c>
      <c r="FB40" s="9" t="s">
        <v>804</v>
      </c>
      <c r="FC40" s="1">
        <v>0</v>
      </c>
      <c r="FD40" s="1">
        <v>3</v>
      </c>
      <c r="FE40" s="4"/>
      <c r="FF40" s="4"/>
      <c r="FG40" s="4"/>
      <c r="FH40" s="4"/>
      <c r="FI40" s="4"/>
      <c r="FJ40" s="23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26"/>
      <c r="GF40" s="26"/>
      <c r="GG40" s="4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S40" s="3"/>
      <c r="HU40" s="3"/>
      <c r="HX40" s="3"/>
      <c r="IA40" s="3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6"/>
      <c r="JP40" s="6"/>
      <c r="JQ40" s="6"/>
      <c r="JR40" s="6"/>
      <c r="JS40" s="6"/>
      <c r="JT40" s="8"/>
      <c r="JU40" s="8"/>
      <c r="JV40" s="8"/>
      <c r="JW40" s="8"/>
      <c r="JX40" s="8"/>
      <c r="JY40" s="8"/>
      <c r="JZ40" s="8"/>
      <c r="KA40" s="8"/>
      <c r="KB40" s="8"/>
      <c r="KC40" s="6"/>
      <c r="KD40" s="6"/>
      <c r="KE40" s="6"/>
      <c r="KF40" s="6"/>
      <c r="KG40" s="6"/>
      <c r="KH40" s="6"/>
      <c r="KI40" s="6"/>
      <c r="KJ40" s="6"/>
      <c r="KK40" s="6"/>
      <c r="KL40" s="4"/>
      <c r="KM40" s="4"/>
      <c r="KN40" s="6"/>
      <c r="KO40" s="4"/>
      <c r="KP40" s="4"/>
      <c r="KQ40" s="6"/>
      <c r="KR40" s="6"/>
      <c r="KS40" s="4"/>
      <c r="KU40" s="4"/>
      <c r="KV40" s="4"/>
      <c r="KW40" s="4"/>
      <c r="KX40" s="6"/>
      <c r="KY40" s="6"/>
      <c r="KZ40" s="6"/>
      <c r="LA40" s="4"/>
      <c r="LB40" s="6"/>
      <c r="LC40" s="6"/>
      <c r="LD40" s="4"/>
      <c r="LE40" s="4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4"/>
    </row>
    <row r="41" spans="1:374" s="1" customFormat="1" x14ac:dyDescent="0.35">
      <c r="A41" s="2">
        <v>43718</v>
      </c>
      <c r="B41" s="15" t="s">
        <v>98</v>
      </c>
      <c r="C41" s="15" t="s">
        <v>202</v>
      </c>
      <c r="D41" s="1">
        <v>40</v>
      </c>
      <c r="E41" s="3">
        <v>1</v>
      </c>
      <c r="F41" s="3">
        <v>4</v>
      </c>
      <c r="G41" s="3"/>
      <c r="H41" s="3">
        <v>10</v>
      </c>
      <c r="I41" s="3">
        <v>4</v>
      </c>
      <c r="J41" s="3"/>
      <c r="K41" s="18">
        <v>1</v>
      </c>
      <c r="L41" s="18">
        <v>1</v>
      </c>
      <c r="M41" s="18">
        <v>1</v>
      </c>
      <c r="N41" s="18">
        <v>1</v>
      </c>
      <c r="O41" s="18">
        <v>0</v>
      </c>
      <c r="P41" s="4">
        <v>0.8</v>
      </c>
      <c r="Q41" s="3">
        <v>72</v>
      </c>
      <c r="R41" s="3">
        <v>87</v>
      </c>
      <c r="S41" s="3">
        <v>88</v>
      </c>
      <c r="T41" s="3">
        <v>134</v>
      </c>
      <c r="U41" s="3">
        <v>88</v>
      </c>
      <c r="V41" s="3">
        <v>106</v>
      </c>
      <c r="W41" s="3">
        <v>109</v>
      </c>
      <c r="X41" s="3">
        <v>92</v>
      </c>
      <c r="Y41" s="3">
        <v>107</v>
      </c>
      <c r="Z41" s="3"/>
      <c r="AA41" s="3"/>
      <c r="AB41" s="3"/>
      <c r="AC41" s="3"/>
      <c r="AD41" s="3"/>
      <c r="AE41" s="3"/>
      <c r="AF41" s="3"/>
      <c r="AG41" s="3"/>
      <c r="AH41" s="3"/>
      <c r="AI41" s="4"/>
      <c r="AJ41" s="4"/>
      <c r="AK41" s="4"/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/>
      <c r="AY41"/>
      <c r="AZ41"/>
      <c r="BA41"/>
      <c r="BB41"/>
      <c r="BC41"/>
      <c r="BP41" s="4"/>
      <c r="BQ41" s="4"/>
      <c r="BR41" s="4"/>
      <c r="BS41" s="4"/>
      <c r="BT41" s="4"/>
      <c r="BU41" s="4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1">
        <v>7</v>
      </c>
      <c r="CJ41" s="1">
        <v>7</v>
      </c>
      <c r="CK41" s="1">
        <v>7</v>
      </c>
      <c r="CL41" s="1">
        <v>7</v>
      </c>
      <c r="CM41" s="1">
        <v>7</v>
      </c>
      <c r="CN41" s="1">
        <v>7</v>
      </c>
      <c r="CO41" s="1">
        <v>7</v>
      </c>
      <c r="CP41" s="1">
        <v>1</v>
      </c>
      <c r="CQ41" s="1">
        <v>7</v>
      </c>
      <c r="CR41" s="1">
        <v>7</v>
      </c>
      <c r="CS41" s="1">
        <v>7</v>
      </c>
      <c r="CT41" s="1">
        <v>7</v>
      </c>
      <c r="CU41" s="1">
        <v>7</v>
      </c>
      <c r="CV41" s="1">
        <v>7</v>
      </c>
      <c r="CW41" s="1">
        <v>7</v>
      </c>
      <c r="CX41" s="1">
        <v>7</v>
      </c>
      <c r="CY41" s="1">
        <v>7</v>
      </c>
      <c r="CZ41" s="1">
        <v>7</v>
      </c>
      <c r="DA41" s="1">
        <v>7</v>
      </c>
      <c r="DB41" s="1">
        <v>7</v>
      </c>
      <c r="DC41" s="1">
        <v>7</v>
      </c>
      <c r="DD41" s="1">
        <v>7</v>
      </c>
      <c r="DE41" s="1">
        <v>7</v>
      </c>
      <c r="DF41" s="1">
        <v>7</v>
      </c>
      <c r="DG41" s="1">
        <v>1</v>
      </c>
      <c r="DH41" s="1">
        <v>7</v>
      </c>
      <c r="DI41" s="1">
        <v>7</v>
      </c>
      <c r="DJ41" s="1">
        <v>7</v>
      </c>
      <c r="DK41" s="1">
        <v>7</v>
      </c>
      <c r="DL41" s="1">
        <v>7</v>
      </c>
      <c r="DM41" s="19">
        <v>7</v>
      </c>
      <c r="DN41" s="19">
        <v>7</v>
      </c>
      <c r="DO41" s="1">
        <v>7</v>
      </c>
      <c r="DP41" s="1">
        <v>7</v>
      </c>
      <c r="DQ41" s="1">
        <v>7</v>
      </c>
      <c r="DR41" s="1">
        <v>7</v>
      </c>
      <c r="DS41" s="1">
        <v>7</v>
      </c>
      <c r="DT41" s="1">
        <v>7</v>
      </c>
      <c r="DU41" s="27">
        <v>7</v>
      </c>
      <c r="DV41" s="27">
        <v>7</v>
      </c>
      <c r="DW41" s="27">
        <v>1</v>
      </c>
      <c r="DX41" s="27">
        <v>1</v>
      </c>
      <c r="DY41" s="27">
        <v>1</v>
      </c>
      <c r="DZ41" s="27">
        <v>1</v>
      </c>
      <c r="EA41" s="27">
        <v>1</v>
      </c>
      <c r="EB41" s="27">
        <v>1</v>
      </c>
      <c r="EC41" s="27">
        <v>1</v>
      </c>
      <c r="ED41" s="27">
        <v>1</v>
      </c>
      <c r="EE41" s="27">
        <v>7</v>
      </c>
      <c r="EF41" s="27">
        <v>7</v>
      </c>
      <c r="EG41" s="27">
        <v>1</v>
      </c>
      <c r="EH41" s="27">
        <v>7</v>
      </c>
      <c r="EI41" s="27">
        <v>7</v>
      </c>
      <c r="EJ41" s="27">
        <v>1</v>
      </c>
      <c r="EK41" s="27">
        <v>1</v>
      </c>
      <c r="EL41" s="27">
        <v>1</v>
      </c>
      <c r="EM41" s="27">
        <v>1</v>
      </c>
      <c r="EN41" s="27">
        <v>1</v>
      </c>
      <c r="EO41" s="27">
        <v>7</v>
      </c>
      <c r="EP41" s="27">
        <v>7</v>
      </c>
      <c r="EQ41" s="27">
        <v>7</v>
      </c>
      <c r="ER41" s="27">
        <v>1</v>
      </c>
      <c r="ES41" s="27">
        <v>1</v>
      </c>
      <c r="ET41" s="27">
        <v>7</v>
      </c>
      <c r="EU41" s="27">
        <v>7</v>
      </c>
      <c r="EV41" s="1">
        <v>18</v>
      </c>
      <c r="EW41" s="1">
        <v>2</v>
      </c>
      <c r="EY41" s="1">
        <v>1</v>
      </c>
      <c r="EZ41" s="9"/>
      <c r="FA41" s="1">
        <v>1</v>
      </c>
      <c r="FB41" s="9" t="s">
        <v>784</v>
      </c>
      <c r="FC41" s="1">
        <v>1</v>
      </c>
      <c r="FD41" s="1">
        <v>8</v>
      </c>
      <c r="FE41" s="4"/>
      <c r="FF41" s="4"/>
      <c r="FG41" s="4"/>
      <c r="FH41" s="4"/>
      <c r="FI41" s="4"/>
      <c r="FJ41" s="23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26"/>
      <c r="GF41" s="26"/>
      <c r="GG41" s="4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S41" s="3"/>
      <c r="HU41" s="3"/>
      <c r="HX41" s="3"/>
      <c r="IA41" s="3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6"/>
      <c r="JP41" s="6"/>
      <c r="JQ41" s="6"/>
      <c r="JR41" s="6"/>
      <c r="JS41" s="6"/>
      <c r="JT41" s="8"/>
      <c r="JU41" s="8"/>
      <c r="JV41" s="8"/>
      <c r="JW41" s="8"/>
      <c r="JX41" s="8"/>
      <c r="JY41" s="8"/>
      <c r="JZ41" s="8"/>
      <c r="KA41" s="8"/>
      <c r="KB41" s="8"/>
      <c r="KC41" s="6"/>
      <c r="KD41" s="6"/>
      <c r="KE41" s="6"/>
      <c r="KF41" s="6"/>
      <c r="KG41" s="6"/>
      <c r="KH41" s="6"/>
      <c r="KI41" s="6"/>
      <c r="KJ41" s="6"/>
      <c r="KK41" s="6"/>
      <c r="KL41" s="4"/>
      <c r="KM41" s="4"/>
      <c r="KN41" s="6"/>
      <c r="KO41" s="4"/>
      <c r="KP41" s="4"/>
      <c r="KQ41" s="6"/>
      <c r="KR41" s="6"/>
      <c r="KS41" s="4"/>
      <c r="KU41" s="4"/>
      <c r="KV41" s="4"/>
      <c r="KW41" s="4"/>
      <c r="KX41" s="6"/>
      <c r="KY41" s="6"/>
      <c r="KZ41" s="6"/>
      <c r="LA41" s="4"/>
      <c r="LB41" s="6"/>
      <c r="LC41" s="6"/>
      <c r="LD41" s="4"/>
      <c r="LE41" s="4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4"/>
    </row>
    <row r="42" spans="1:374" s="1" customFormat="1" x14ac:dyDescent="0.35">
      <c r="A42" s="2">
        <v>43718</v>
      </c>
      <c r="B42" s="15" t="s">
        <v>99</v>
      </c>
      <c r="C42" s="15" t="s">
        <v>203</v>
      </c>
      <c r="D42" s="1">
        <v>41</v>
      </c>
      <c r="E42" s="3">
        <v>1</v>
      </c>
      <c r="F42" s="3">
        <v>4</v>
      </c>
      <c r="G42" s="3">
        <v>1</v>
      </c>
      <c r="H42" s="3">
        <v>11</v>
      </c>
      <c r="I42" s="3">
        <v>1</v>
      </c>
      <c r="J42" s="3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4">
        <v>1</v>
      </c>
      <c r="Q42" s="3">
        <v>65</v>
      </c>
      <c r="R42" s="3">
        <v>58</v>
      </c>
      <c r="S42" s="3">
        <v>52</v>
      </c>
      <c r="T42" s="3">
        <v>103</v>
      </c>
      <c r="U42" s="3">
        <v>116</v>
      </c>
      <c r="V42" s="3">
        <v>99</v>
      </c>
      <c r="W42" s="3">
        <v>118</v>
      </c>
      <c r="X42" s="3">
        <v>89</v>
      </c>
      <c r="Y42" s="3">
        <v>94</v>
      </c>
      <c r="Z42" s="3">
        <v>212</v>
      </c>
      <c r="AA42" s="3">
        <v>211</v>
      </c>
      <c r="AB42" s="3">
        <v>212</v>
      </c>
      <c r="AC42" s="3">
        <v>397</v>
      </c>
      <c r="AD42" s="3">
        <v>425</v>
      </c>
      <c r="AE42" s="3">
        <v>405</v>
      </c>
      <c r="AF42" s="3">
        <v>402</v>
      </c>
      <c r="AG42" s="3">
        <v>391</v>
      </c>
      <c r="AH42" s="3">
        <v>428</v>
      </c>
      <c r="AI42" s="4">
        <v>211.67</v>
      </c>
      <c r="AJ42" s="4">
        <v>409</v>
      </c>
      <c r="AK42" s="4">
        <v>407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f t="shared" ref="AX42:BC42" si="20">AL42+AL43+AL44+AL45</f>
        <v>0</v>
      </c>
      <c r="AY42" s="19">
        <f t="shared" si="20"/>
        <v>0</v>
      </c>
      <c r="AZ42" s="19">
        <f t="shared" si="20"/>
        <v>0</v>
      </c>
      <c r="BA42" s="19">
        <f t="shared" si="20"/>
        <v>0</v>
      </c>
      <c r="BB42" s="19">
        <f t="shared" si="20"/>
        <v>0</v>
      </c>
      <c r="BC42" s="19">
        <f t="shared" si="20"/>
        <v>0</v>
      </c>
      <c r="BD42" s="1">
        <f>AX42*3</f>
        <v>0</v>
      </c>
      <c r="BE42" s="1">
        <f t="shared" ref="BE42:BI42" si="21">AY42*3</f>
        <v>0</v>
      </c>
      <c r="BF42" s="1">
        <f t="shared" si="21"/>
        <v>0</v>
      </c>
      <c r="BG42" s="1">
        <f t="shared" si="21"/>
        <v>0</v>
      </c>
      <c r="BH42" s="1">
        <f t="shared" si="21"/>
        <v>0</v>
      </c>
      <c r="BI42" s="1">
        <f t="shared" si="21"/>
        <v>0</v>
      </c>
      <c r="BJ42" s="1">
        <f>AX42+AY42+AZ42</f>
        <v>0</v>
      </c>
      <c r="BK42" s="1">
        <f>BA42+BB42+BC42</f>
        <v>0</v>
      </c>
      <c r="BL42" s="1">
        <f>BJ42*3</f>
        <v>0</v>
      </c>
      <c r="BM42" s="1">
        <f>BK42*3</f>
        <v>0</v>
      </c>
      <c r="BN42" s="1">
        <f>BL42/3</f>
        <v>0</v>
      </c>
      <c r="BO42" s="1">
        <f>BM42/3</f>
        <v>0</v>
      </c>
      <c r="BP42" s="4">
        <v>211.66666666666666</v>
      </c>
      <c r="BQ42" s="4">
        <v>409</v>
      </c>
      <c r="BR42" s="4">
        <v>407</v>
      </c>
      <c r="BS42" s="4">
        <v>409</v>
      </c>
      <c r="BT42" s="4">
        <v>407</v>
      </c>
      <c r="BU42" s="4">
        <v>3.8</v>
      </c>
      <c r="BV42" s="3">
        <v>1</v>
      </c>
      <c r="BW42" s="3">
        <v>1</v>
      </c>
      <c r="BX42" s="3">
        <v>1</v>
      </c>
      <c r="BY42" s="3">
        <v>1</v>
      </c>
      <c r="BZ42" s="3">
        <v>2</v>
      </c>
      <c r="CA42" s="3">
        <v>2</v>
      </c>
      <c r="CB42" s="3">
        <v>2</v>
      </c>
      <c r="CC42" s="3">
        <v>2</v>
      </c>
      <c r="CD42" s="3">
        <v>2</v>
      </c>
      <c r="CE42" s="3">
        <v>2</v>
      </c>
      <c r="CF42" s="3">
        <v>2</v>
      </c>
      <c r="CG42" s="3">
        <v>2</v>
      </c>
      <c r="CH42" s="3">
        <v>1</v>
      </c>
      <c r="CI42" s="1">
        <v>6</v>
      </c>
      <c r="CJ42" s="1">
        <v>7</v>
      </c>
      <c r="CK42" s="1">
        <v>7</v>
      </c>
      <c r="CL42" s="1">
        <v>7</v>
      </c>
      <c r="CM42" s="1">
        <v>6</v>
      </c>
      <c r="CN42" s="1">
        <v>7</v>
      </c>
      <c r="CO42" s="1">
        <v>6</v>
      </c>
      <c r="CP42" s="1">
        <v>1</v>
      </c>
      <c r="CQ42" s="1">
        <v>7</v>
      </c>
      <c r="CR42" s="1">
        <v>7</v>
      </c>
      <c r="CS42" s="1">
        <v>7</v>
      </c>
      <c r="CT42" s="1">
        <v>7</v>
      </c>
      <c r="CU42" s="1">
        <v>6</v>
      </c>
      <c r="CV42" s="1">
        <v>7</v>
      </c>
      <c r="CW42" s="1">
        <v>6</v>
      </c>
      <c r="CX42" s="1">
        <v>7</v>
      </c>
      <c r="CY42" s="1">
        <v>7</v>
      </c>
      <c r="CZ42" s="1">
        <v>7</v>
      </c>
      <c r="DA42" s="1">
        <v>7</v>
      </c>
      <c r="DB42" s="1">
        <v>7</v>
      </c>
      <c r="DC42" s="1">
        <v>7</v>
      </c>
      <c r="DD42" s="1">
        <v>7</v>
      </c>
      <c r="DE42" s="1">
        <v>7</v>
      </c>
      <c r="DF42" s="1">
        <v>5</v>
      </c>
      <c r="DG42" s="1">
        <v>2</v>
      </c>
      <c r="DH42" s="1">
        <v>3</v>
      </c>
      <c r="DI42" s="1">
        <v>5</v>
      </c>
      <c r="DJ42" s="1">
        <v>5</v>
      </c>
      <c r="DK42" s="1">
        <v>2</v>
      </c>
      <c r="DL42" s="1">
        <v>7</v>
      </c>
      <c r="DM42" s="19">
        <v>7</v>
      </c>
      <c r="DN42" s="19">
        <v>7</v>
      </c>
      <c r="DO42" s="1">
        <v>6</v>
      </c>
      <c r="DP42" s="1">
        <v>7</v>
      </c>
      <c r="DQ42" s="1">
        <v>7</v>
      </c>
      <c r="DR42" s="1">
        <v>6</v>
      </c>
      <c r="DS42" s="1">
        <v>7</v>
      </c>
      <c r="DT42" s="1">
        <v>7</v>
      </c>
      <c r="DU42" s="27">
        <v>7</v>
      </c>
      <c r="DV42" s="27">
        <v>7</v>
      </c>
      <c r="DW42" s="27">
        <v>6</v>
      </c>
      <c r="DX42" s="27">
        <v>4</v>
      </c>
      <c r="DY42" s="27">
        <v>5</v>
      </c>
      <c r="DZ42" s="27">
        <v>3</v>
      </c>
      <c r="EA42" s="27">
        <v>4</v>
      </c>
      <c r="EB42" s="27">
        <v>4</v>
      </c>
      <c r="EC42" s="27">
        <v>4</v>
      </c>
      <c r="ED42" s="27">
        <v>4</v>
      </c>
      <c r="EE42" s="27">
        <v>7</v>
      </c>
      <c r="EF42" s="27">
        <v>4</v>
      </c>
      <c r="EG42" s="27">
        <v>6</v>
      </c>
      <c r="EH42" s="27">
        <v>7</v>
      </c>
      <c r="EI42" s="27">
        <v>7</v>
      </c>
      <c r="EJ42" s="27">
        <v>4</v>
      </c>
      <c r="EK42" s="27">
        <v>4</v>
      </c>
      <c r="EL42" s="27">
        <v>4</v>
      </c>
      <c r="EM42" s="27">
        <v>4</v>
      </c>
      <c r="EN42" s="27">
        <v>4</v>
      </c>
      <c r="EO42" s="27">
        <v>7</v>
      </c>
      <c r="EP42" s="27">
        <v>7</v>
      </c>
      <c r="EQ42" s="27">
        <v>7</v>
      </c>
      <c r="ER42" s="27">
        <v>4</v>
      </c>
      <c r="ES42" s="27">
        <v>4</v>
      </c>
      <c r="ET42" s="27">
        <v>4</v>
      </c>
      <c r="EU42" s="27">
        <v>4</v>
      </c>
      <c r="EV42" s="1">
        <v>19</v>
      </c>
      <c r="EW42" s="1">
        <v>1</v>
      </c>
      <c r="EY42" s="1">
        <v>1</v>
      </c>
      <c r="EZ42" s="9"/>
      <c r="FA42" s="1">
        <v>2</v>
      </c>
      <c r="FB42" s="9" t="s">
        <v>805</v>
      </c>
      <c r="FC42" s="1">
        <v>0</v>
      </c>
      <c r="FD42" s="1">
        <v>6</v>
      </c>
      <c r="FE42" s="4">
        <v>6</v>
      </c>
      <c r="FF42" s="4">
        <v>6.38</v>
      </c>
      <c r="FG42" s="4">
        <v>7.63</v>
      </c>
      <c r="FH42" s="4">
        <v>6.83</v>
      </c>
      <c r="FI42" s="4">
        <v>6.38</v>
      </c>
      <c r="FJ42" s="23">
        <v>6.5</v>
      </c>
      <c r="FK42" s="4">
        <v>3.46</v>
      </c>
      <c r="FL42" s="4">
        <v>6.75</v>
      </c>
      <c r="FM42" s="4">
        <v>6.13</v>
      </c>
      <c r="FN42" s="4">
        <v>5</v>
      </c>
      <c r="FO42" s="4">
        <v>5.42</v>
      </c>
      <c r="FP42" s="4">
        <v>6</v>
      </c>
      <c r="FQ42" s="4">
        <v>4</v>
      </c>
      <c r="FR42" s="4">
        <v>2.75</v>
      </c>
      <c r="FS42" s="4">
        <v>4</v>
      </c>
      <c r="FT42" s="4">
        <v>5.5</v>
      </c>
      <c r="FU42" s="4">
        <v>2.5</v>
      </c>
      <c r="FV42" s="4">
        <v>6</v>
      </c>
      <c r="FW42" s="4">
        <v>5</v>
      </c>
      <c r="FX42" s="4">
        <v>5.25</v>
      </c>
      <c r="FY42" s="4">
        <v>7</v>
      </c>
      <c r="FZ42" s="4">
        <v>5.92</v>
      </c>
      <c r="GA42" s="4">
        <v>2.63</v>
      </c>
      <c r="GB42" s="4">
        <v>6.92</v>
      </c>
      <c r="GC42" s="4">
        <v>5.63</v>
      </c>
      <c r="GD42" s="4">
        <v>4.63</v>
      </c>
      <c r="GE42" s="26"/>
      <c r="GF42" s="26"/>
      <c r="GG42" s="4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S42" s="3"/>
      <c r="HU42" s="3"/>
      <c r="HX42" s="3"/>
      <c r="IA42" s="3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3"/>
      <c r="JP42" s="3"/>
      <c r="JQ42" s="4"/>
      <c r="JR42" s="5"/>
      <c r="JS42" s="5"/>
      <c r="JT42" s="8"/>
      <c r="JU42" s="8"/>
      <c r="JV42" s="8"/>
      <c r="JW42" s="8"/>
      <c r="JX42" s="8"/>
      <c r="JY42" s="8"/>
      <c r="JZ42" s="8"/>
      <c r="KA42" s="8"/>
      <c r="KB42" s="8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</row>
    <row r="43" spans="1:374" s="1" customFormat="1" x14ac:dyDescent="0.35">
      <c r="A43" s="2">
        <v>43718</v>
      </c>
      <c r="B43" s="15" t="s">
        <v>99</v>
      </c>
      <c r="C43" s="15" t="s">
        <v>204</v>
      </c>
      <c r="D43" s="1">
        <v>42</v>
      </c>
      <c r="E43" s="3">
        <v>1</v>
      </c>
      <c r="F43" s="3">
        <v>4</v>
      </c>
      <c r="G43" s="3"/>
      <c r="H43" s="3">
        <v>11</v>
      </c>
      <c r="I43" s="3">
        <v>2</v>
      </c>
      <c r="J43" s="3"/>
      <c r="K43" s="18">
        <v>0</v>
      </c>
      <c r="L43" s="18">
        <v>1</v>
      </c>
      <c r="M43" s="18">
        <v>1</v>
      </c>
      <c r="N43" s="18">
        <v>1</v>
      </c>
      <c r="O43" s="18">
        <v>0</v>
      </c>
      <c r="P43" s="4">
        <v>0.6</v>
      </c>
      <c r="Q43" s="3">
        <v>58</v>
      </c>
      <c r="R43" s="3">
        <v>55</v>
      </c>
      <c r="S43" s="3">
        <v>55</v>
      </c>
      <c r="T43" s="3">
        <v>93</v>
      </c>
      <c r="U43" s="3">
        <v>118</v>
      </c>
      <c r="V43" s="3">
        <v>99</v>
      </c>
      <c r="W43" s="3">
        <v>99</v>
      </c>
      <c r="X43" s="3">
        <v>111</v>
      </c>
      <c r="Y43" s="3">
        <v>112</v>
      </c>
      <c r="Z43" s="3"/>
      <c r="AA43" s="3"/>
      <c r="AB43" s="3"/>
      <c r="AC43" s="3"/>
      <c r="AD43" s="3"/>
      <c r="AE43" s="3"/>
      <c r="AF43" s="3"/>
      <c r="AG43" s="3"/>
      <c r="AH43" s="3"/>
      <c r="AI43" s="4"/>
      <c r="AJ43" s="4"/>
      <c r="AK43" s="4"/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/>
      <c r="AY43"/>
      <c r="AZ43"/>
      <c r="BA43"/>
      <c r="BB43"/>
      <c r="BC43"/>
      <c r="BP43" s="4"/>
      <c r="BQ43" s="4"/>
      <c r="BR43" s="4"/>
      <c r="BS43" s="4"/>
      <c r="BT43" s="4"/>
      <c r="BU43" s="4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1">
        <v>6</v>
      </c>
      <c r="CJ43" s="1">
        <v>6</v>
      </c>
      <c r="CK43" s="1">
        <v>6</v>
      </c>
      <c r="CL43" s="1">
        <v>7</v>
      </c>
      <c r="CM43" s="1">
        <v>7</v>
      </c>
      <c r="CN43" s="1">
        <v>7</v>
      </c>
      <c r="CO43" s="1">
        <v>6</v>
      </c>
      <c r="CP43" s="1">
        <v>2</v>
      </c>
      <c r="CQ43" s="1">
        <v>6</v>
      </c>
      <c r="CR43" s="1">
        <v>7</v>
      </c>
      <c r="CS43" s="1">
        <v>7</v>
      </c>
      <c r="CT43" s="1">
        <v>6</v>
      </c>
      <c r="CU43" s="1">
        <v>6</v>
      </c>
      <c r="CV43" s="1">
        <v>7</v>
      </c>
      <c r="CW43" s="1">
        <v>6</v>
      </c>
      <c r="CX43" s="1">
        <v>6</v>
      </c>
      <c r="CY43" s="1">
        <v>6</v>
      </c>
      <c r="CZ43" s="1">
        <v>7</v>
      </c>
      <c r="DA43" s="1">
        <v>7</v>
      </c>
      <c r="DB43" s="1">
        <v>7</v>
      </c>
      <c r="DC43" s="1">
        <v>7</v>
      </c>
      <c r="DD43" s="1">
        <v>7</v>
      </c>
      <c r="DE43" s="1">
        <v>7</v>
      </c>
      <c r="DF43" s="1">
        <v>3</v>
      </c>
      <c r="DG43" s="1">
        <v>5</v>
      </c>
      <c r="DH43" s="1">
        <v>4</v>
      </c>
      <c r="DI43" s="1">
        <v>5</v>
      </c>
      <c r="DJ43" s="1">
        <v>6</v>
      </c>
      <c r="DK43" s="1">
        <v>1</v>
      </c>
      <c r="DL43" s="1">
        <v>7</v>
      </c>
      <c r="DM43" s="19">
        <v>7</v>
      </c>
      <c r="DN43" s="19">
        <v>7</v>
      </c>
      <c r="DO43" s="1">
        <v>7</v>
      </c>
      <c r="DP43" s="1">
        <v>7</v>
      </c>
      <c r="DQ43" s="1">
        <v>7</v>
      </c>
      <c r="DR43" s="1">
        <v>5</v>
      </c>
      <c r="DS43" s="1">
        <v>6</v>
      </c>
      <c r="DT43" s="1">
        <v>7</v>
      </c>
      <c r="DU43" s="27">
        <v>7</v>
      </c>
      <c r="DV43" s="27">
        <v>7</v>
      </c>
      <c r="DW43" s="27">
        <v>7</v>
      </c>
      <c r="DX43" s="27">
        <v>2</v>
      </c>
      <c r="DY43" s="27">
        <v>2</v>
      </c>
      <c r="DZ43" s="27">
        <v>1</v>
      </c>
      <c r="EA43" s="27">
        <v>2</v>
      </c>
      <c r="EB43" s="27">
        <v>1</v>
      </c>
      <c r="EC43" s="27">
        <v>6</v>
      </c>
      <c r="ED43" s="27">
        <v>2</v>
      </c>
      <c r="EE43" s="27">
        <v>7</v>
      </c>
      <c r="EF43" s="27">
        <v>7</v>
      </c>
      <c r="EG43" s="27">
        <v>6</v>
      </c>
      <c r="EH43" s="27">
        <v>7</v>
      </c>
      <c r="EI43" s="27">
        <v>7</v>
      </c>
      <c r="EJ43" s="27">
        <v>7</v>
      </c>
      <c r="EK43" s="27">
        <v>7</v>
      </c>
      <c r="EL43" s="27">
        <v>7</v>
      </c>
      <c r="EM43" s="27">
        <v>2</v>
      </c>
      <c r="EN43" s="27">
        <v>3</v>
      </c>
      <c r="EO43" s="27">
        <v>7</v>
      </c>
      <c r="EP43" s="27">
        <v>7</v>
      </c>
      <c r="EQ43" s="27">
        <v>7</v>
      </c>
      <c r="ER43" s="27">
        <v>4</v>
      </c>
      <c r="ES43" s="27">
        <v>6</v>
      </c>
      <c r="ET43" s="27">
        <v>7</v>
      </c>
      <c r="EU43" s="27">
        <v>6</v>
      </c>
      <c r="EV43" s="1">
        <v>18</v>
      </c>
      <c r="EW43" s="1">
        <v>2</v>
      </c>
      <c r="EY43" s="1">
        <v>2</v>
      </c>
      <c r="EZ43" s="9"/>
      <c r="FA43" s="1">
        <v>1</v>
      </c>
      <c r="FB43" s="9" t="s">
        <v>806</v>
      </c>
      <c r="FC43" s="1">
        <v>1</v>
      </c>
      <c r="FD43" s="1">
        <v>5</v>
      </c>
      <c r="FE43" s="4"/>
      <c r="FF43" s="4"/>
      <c r="FG43" s="4"/>
      <c r="FH43" s="4"/>
      <c r="FI43" s="4"/>
      <c r="FJ43" s="23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26"/>
      <c r="GF43" s="26"/>
      <c r="GG43" s="4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S43" s="3"/>
      <c r="HU43" s="3"/>
      <c r="HX43" s="3"/>
      <c r="IA43" s="3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6"/>
      <c r="JP43" s="6"/>
      <c r="JQ43" s="6"/>
      <c r="JR43" s="6"/>
      <c r="JS43" s="6"/>
      <c r="JT43" s="8"/>
      <c r="JU43" s="8"/>
      <c r="JV43" s="8"/>
      <c r="JW43" s="8"/>
      <c r="JX43" s="8"/>
      <c r="JY43" s="8"/>
      <c r="JZ43" s="8"/>
      <c r="KA43" s="8"/>
      <c r="KB43" s="8"/>
      <c r="KC43" s="6"/>
      <c r="KD43" s="6"/>
      <c r="KE43" s="6"/>
      <c r="KF43" s="6"/>
      <c r="KG43" s="6"/>
      <c r="KH43" s="6"/>
      <c r="KI43" s="6"/>
      <c r="KJ43" s="6"/>
      <c r="KK43" s="6"/>
      <c r="KL43" s="4"/>
      <c r="KM43" s="4"/>
      <c r="KN43" s="6"/>
      <c r="KO43" s="4"/>
      <c r="KP43" s="4"/>
      <c r="KQ43" s="6"/>
      <c r="KR43" s="6"/>
      <c r="KS43" s="4"/>
      <c r="KU43" s="4"/>
      <c r="KV43" s="4"/>
      <c r="KW43" s="4"/>
      <c r="KX43" s="6"/>
      <c r="KY43" s="6"/>
      <c r="KZ43" s="6"/>
      <c r="LA43" s="4"/>
      <c r="LB43" s="6"/>
      <c r="LC43" s="6"/>
      <c r="LD43" s="4"/>
      <c r="LE43" s="4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4"/>
    </row>
    <row r="44" spans="1:374" s="1" customFormat="1" x14ac:dyDescent="0.35">
      <c r="A44" s="2">
        <v>43718</v>
      </c>
      <c r="B44" s="15" t="s">
        <v>99</v>
      </c>
      <c r="C44" s="15" t="s">
        <v>205</v>
      </c>
      <c r="D44" s="1">
        <v>43</v>
      </c>
      <c r="E44" s="3">
        <v>1</v>
      </c>
      <c r="F44" s="3">
        <v>4</v>
      </c>
      <c r="G44" s="3"/>
      <c r="H44" s="3">
        <v>11</v>
      </c>
      <c r="I44" s="3">
        <v>3</v>
      </c>
      <c r="J44" s="3"/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4">
        <v>1</v>
      </c>
      <c r="Q44" s="3">
        <v>44</v>
      </c>
      <c r="R44" s="3">
        <v>56</v>
      </c>
      <c r="S44" s="3">
        <v>63</v>
      </c>
      <c r="T44" s="3">
        <v>108</v>
      </c>
      <c r="U44" s="3">
        <v>74</v>
      </c>
      <c r="V44" s="3">
        <v>110</v>
      </c>
      <c r="W44" s="3">
        <v>93</v>
      </c>
      <c r="X44" s="3">
        <v>101</v>
      </c>
      <c r="Y44" s="3">
        <v>112</v>
      </c>
      <c r="Z44" s="3"/>
      <c r="AA44" s="3"/>
      <c r="AB44" s="3"/>
      <c r="AC44" s="3"/>
      <c r="AD44" s="3"/>
      <c r="AE44" s="3"/>
      <c r="AF44" s="3"/>
      <c r="AG44" s="3"/>
      <c r="AH44" s="3"/>
      <c r="AI44" s="4"/>
      <c r="AJ44" s="4"/>
      <c r="AK44" s="4"/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/>
      <c r="AY44"/>
      <c r="AZ44"/>
      <c r="BA44"/>
      <c r="BB44"/>
      <c r="BC44"/>
      <c r="BP44" s="4"/>
      <c r="BQ44" s="4"/>
      <c r="BR44" s="4"/>
      <c r="BS44" s="4"/>
      <c r="BT44" s="4"/>
      <c r="BU44" s="4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1">
        <v>6</v>
      </c>
      <c r="CJ44" s="1">
        <v>6</v>
      </c>
      <c r="CK44" s="1">
        <v>6</v>
      </c>
      <c r="CL44" s="1">
        <v>5</v>
      </c>
      <c r="CM44" s="1">
        <v>2</v>
      </c>
      <c r="CN44" s="1">
        <v>6</v>
      </c>
      <c r="CO44" s="1">
        <v>2</v>
      </c>
      <c r="CP44" s="1">
        <v>2</v>
      </c>
      <c r="CQ44" s="1">
        <v>6</v>
      </c>
      <c r="CR44" s="1">
        <v>6</v>
      </c>
      <c r="CS44" s="1">
        <v>5</v>
      </c>
      <c r="CT44" s="1">
        <v>6</v>
      </c>
      <c r="CU44" s="1">
        <v>6</v>
      </c>
      <c r="CV44" s="1">
        <v>6</v>
      </c>
      <c r="CW44" s="1">
        <v>6</v>
      </c>
      <c r="CX44" s="1">
        <v>4</v>
      </c>
      <c r="CY44" s="1">
        <v>6</v>
      </c>
      <c r="CZ44" s="1">
        <v>7</v>
      </c>
      <c r="DA44" s="1">
        <v>7</v>
      </c>
      <c r="DB44" s="1">
        <v>7</v>
      </c>
      <c r="DC44" s="1">
        <v>6</v>
      </c>
      <c r="DD44" s="1">
        <v>5</v>
      </c>
      <c r="DE44" s="1">
        <v>6</v>
      </c>
      <c r="DF44" s="1">
        <v>7</v>
      </c>
      <c r="DG44" s="1">
        <v>6</v>
      </c>
      <c r="DH44" s="1">
        <v>7</v>
      </c>
      <c r="DI44" s="1">
        <v>3</v>
      </c>
      <c r="DJ44" s="1">
        <v>2</v>
      </c>
      <c r="DK44" s="1">
        <v>2</v>
      </c>
      <c r="DL44" s="1">
        <v>7</v>
      </c>
      <c r="DM44" s="19">
        <v>7</v>
      </c>
      <c r="DN44" s="19">
        <v>7</v>
      </c>
      <c r="DO44" s="1">
        <v>7</v>
      </c>
      <c r="DP44" s="1">
        <v>6</v>
      </c>
      <c r="DQ44" s="1">
        <v>3</v>
      </c>
      <c r="DR44" s="1">
        <v>3</v>
      </c>
      <c r="DS44" s="1">
        <v>6</v>
      </c>
      <c r="DT44" s="1">
        <v>6</v>
      </c>
      <c r="DU44" s="27">
        <v>7</v>
      </c>
      <c r="DV44" s="27">
        <v>6</v>
      </c>
      <c r="DW44" s="27">
        <v>2</v>
      </c>
      <c r="DX44" s="27">
        <v>6</v>
      </c>
      <c r="DY44" s="27">
        <v>6</v>
      </c>
      <c r="DZ44" s="27">
        <v>6</v>
      </c>
      <c r="EA44" s="27">
        <v>4</v>
      </c>
      <c r="EB44" s="27">
        <v>6</v>
      </c>
      <c r="EC44" s="27">
        <v>5</v>
      </c>
      <c r="ED44" s="27">
        <v>2</v>
      </c>
      <c r="EE44" s="27">
        <v>5</v>
      </c>
      <c r="EF44" s="27">
        <v>4</v>
      </c>
      <c r="EG44" s="27">
        <v>6</v>
      </c>
      <c r="EH44" s="27">
        <v>7</v>
      </c>
      <c r="EI44" s="27">
        <v>7</v>
      </c>
      <c r="EJ44" s="27">
        <v>6</v>
      </c>
      <c r="EK44" s="27">
        <v>5</v>
      </c>
      <c r="EL44" s="27">
        <v>6</v>
      </c>
      <c r="EM44" s="27">
        <v>5</v>
      </c>
      <c r="EN44" s="27">
        <v>1</v>
      </c>
      <c r="EO44" s="27">
        <v>7</v>
      </c>
      <c r="EP44" s="27">
        <v>7</v>
      </c>
      <c r="EQ44" s="27">
        <v>6</v>
      </c>
      <c r="ER44" s="27">
        <v>6</v>
      </c>
      <c r="ES44" s="27">
        <v>7</v>
      </c>
      <c r="ET44" s="27">
        <v>4</v>
      </c>
      <c r="EU44" s="27">
        <v>4</v>
      </c>
      <c r="EV44" s="1">
        <v>18</v>
      </c>
      <c r="EW44" s="1">
        <v>1</v>
      </c>
      <c r="EY44" s="1">
        <v>1</v>
      </c>
      <c r="EZ44" s="9"/>
      <c r="FA44" s="1">
        <v>1</v>
      </c>
      <c r="FB44" s="9" t="s">
        <v>807</v>
      </c>
      <c r="FC44" s="1">
        <v>1</v>
      </c>
      <c r="FD44" s="1">
        <v>6</v>
      </c>
      <c r="FE44" s="4"/>
      <c r="FF44" s="4"/>
      <c r="FG44" s="4"/>
      <c r="FH44" s="4"/>
      <c r="FI44" s="4"/>
      <c r="FJ44" s="23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26"/>
      <c r="GF44" s="26"/>
      <c r="GG44" s="4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S44" s="3"/>
      <c r="HU44" s="3"/>
      <c r="HX44" s="3"/>
      <c r="IA44" s="3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6"/>
      <c r="JP44" s="6"/>
      <c r="JQ44" s="6"/>
      <c r="JR44" s="6"/>
      <c r="JS44" s="6"/>
      <c r="JT44" s="8"/>
      <c r="JU44" s="8"/>
      <c r="JV44" s="8"/>
      <c r="JW44" s="8"/>
      <c r="JX44" s="8"/>
      <c r="JY44" s="8"/>
      <c r="JZ44" s="8"/>
      <c r="KA44" s="8"/>
      <c r="KB44" s="8"/>
      <c r="KC44" s="6"/>
      <c r="KD44" s="6"/>
      <c r="KE44" s="6"/>
      <c r="KF44" s="6"/>
      <c r="KG44" s="6"/>
      <c r="KH44" s="6"/>
      <c r="KI44" s="6"/>
      <c r="KJ44" s="6"/>
      <c r="KK44" s="6"/>
      <c r="KL44" s="4"/>
      <c r="KM44" s="4"/>
      <c r="KN44" s="6"/>
      <c r="KO44" s="4"/>
      <c r="KP44" s="4"/>
      <c r="KQ44" s="6"/>
      <c r="KR44" s="6"/>
      <c r="KS44" s="4"/>
      <c r="KU44" s="4"/>
      <c r="KV44" s="4"/>
      <c r="KW44" s="4"/>
      <c r="KX44" s="6"/>
      <c r="KY44" s="6"/>
      <c r="KZ44" s="6"/>
      <c r="LA44" s="4"/>
      <c r="LB44" s="6"/>
      <c r="LC44" s="6"/>
      <c r="LD44" s="4"/>
      <c r="LE44" s="4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4"/>
    </row>
    <row r="45" spans="1:374" s="1" customFormat="1" x14ac:dyDescent="0.35">
      <c r="A45" s="2">
        <v>43718</v>
      </c>
      <c r="B45" s="15" t="s">
        <v>99</v>
      </c>
      <c r="C45" s="15" t="s">
        <v>206</v>
      </c>
      <c r="D45" s="1">
        <v>44</v>
      </c>
      <c r="E45" s="3">
        <v>1</v>
      </c>
      <c r="F45" s="3">
        <v>4</v>
      </c>
      <c r="G45" s="3"/>
      <c r="H45" s="3">
        <v>11</v>
      </c>
      <c r="I45" s="3">
        <v>4</v>
      </c>
      <c r="J45" s="3"/>
      <c r="K45" s="18">
        <v>1</v>
      </c>
      <c r="L45" s="18">
        <v>1</v>
      </c>
      <c r="M45" s="18">
        <v>1</v>
      </c>
      <c r="N45" s="18">
        <v>1</v>
      </c>
      <c r="O45" s="18">
        <v>1</v>
      </c>
      <c r="P45" s="4">
        <v>1</v>
      </c>
      <c r="Q45" s="3">
        <v>45</v>
      </c>
      <c r="R45" s="3">
        <v>42</v>
      </c>
      <c r="S45" s="3">
        <v>42</v>
      </c>
      <c r="T45" s="3">
        <v>93</v>
      </c>
      <c r="U45" s="3">
        <v>117</v>
      </c>
      <c r="V45" s="3">
        <v>97</v>
      </c>
      <c r="W45" s="3">
        <v>92</v>
      </c>
      <c r="X45" s="3">
        <v>90</v>
      </c>
      <c r="Y45" s="3">
        <v>110</v>
      </c>
      <c r="Z45" s="3"/>
      <c r="AA45" s="3"/>
      <c r="AB45" s="3"/>
      <c r="AC45" s="3"/>
      <c r="AD45" s="3"/>
      <c r="AE45" s="3"/>
      <c r="AF45" s="3"/>
      <c r="AG45" s="3"/>
      <c r="AH45" s="3"/>
      <c r="AI45" s="4"/>
      <c r="AJ45" s="4"/>
      <c r="AK45" s="4"/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/>
      <c r="AY45"/>
      <c r="AZ45"/>
      <c r="BA45"/>
      <c r="BB45"/>
      <c r="BC45"/>
      <c r="BP45" s="4"/>
      <c r="BQ45" s="4"/>
      <c r="BR45" s="4"/>
      <c r="BS45" s="4"/>
      <c r="BT45" s="4"/>
      <c r="BU45" s="4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1">
        <v>7</v>
      </c>
      <c r="CJ45" s="1">
        <v>7</v>
      </c>
      <c r="CK45" s="1">
        <v>7</v>
      </c>
      <c r="CL45" s="1">
        <v>6</v>
      </c>
      <c r="CM45" s="1">
        <v>6</v>
      </c>
      <c r="CN45" s="1">
        <v>6</v>
      </c>
      <c r="CO45" s="1">
        <v>5</v>
      </c>
      <c r="CP45" s="1">
        <v>2</v>
      </c>
      <c r="CQ45" s="1">
        <v>7</v>
      </c>
      <c r="CR45" s="1">
        <v>6</v>
      </c>
      <c r="CS45" s="1">
        <v>6</v>
      </c>
      <c r="CT45" s="1">
        <v>6</v>
      </c>
      <c r="CU45" s="1">
        <v>6</v>
      </c>
      <c r="CV45" s="1">
        <v>6</v>
      </c>
      <c r="CW45" s="1">
        <v>6</v>
      </c>
      <c r="CX45" s="1">
        <v>6</v>
      </c>
      <c r="CY45" s="1">
        <v>6</v>
      </c>
      <c r="CZ45" s="1">
        <v>6</v>
      </c>
      <c r="DA45" s="1">
        <v>6</v>
      </c>
      <c r="DB45" s="1">
        <v>7</v>
      </c>
      <c r="DC45" s="1">
        <v>6</v>
      </c>
      <c r="DD45" s="1">
        <v>6</v>
      </c>
      <c r="DE45" s="1">
        <v>6</v>
      </c>
      <c r="DF45" s="1">
        <v>2</v>
      </c>
      <c r="DG45" s="1">
        <v>1</v>
      </c>
      <c r="DH45" s="1">
        <v>2</v>
      </c>
      <c r="DI45" s="1">
        <v>1</v>
      </c>
      <c r="DJ45" s="1">
        <v>3</v>
      </c>
      <c r="DK45" s="1">
        <v>1</v>
      </c>
      <c r="DL45" s="1">
        <v>6</v>
      </c>
      <c r="DM45" s="19">
        <v>6</v>
      </c>
      <c r="DN45" s="19">
        <v>5</v>
      </c>
      <c r="DO45" s="1">
        <v>3</v>
      </c>
      <c r="DP45" s="1">
        <v>1</v>
      </c>
      <c r="DQ45" s="1">
        <v>2</v>
      </c>
      <c r="DR45" s="1">
        <v>4</v>
      </c>
      <c r="DS45" s="1">
        <v>5</v>
      </c>
      <c r="DT45" s="1">
        <v>3</v>
      </c>
      <c r="DU45" s="27">
        <v>7</v>
      </c>
      <c r="DV45" s="27">
        <v>7</v>
      </c>
      <c r="DW45" s="27">
        <v>2</v>
      </c>
      <c r="DX45" s="27">
        <v>2</v>
      </c>
      <c r="DY45" s="27">
        <v>5</v>
      </c>
      <c r="DZ45" s="27">
        <v>2</v>
      </c>
      <c r="EA45" s="27">
        <v>1</v>
      </c>
      <c r="EB45" s="27">
        <v>5</v>
      </c>
      <c r="EC45" s="27">
        <v>7</v>
      </c>
      <c r="ED45" s="27">
        <v>2</v>
      </c>
      <c r="EE45" s="27">
        <v>5</v>
      </c>
      <c r="EF45" s="27">
        <v>5</v>
      </c>
      <c r="EG45" s="27">
        <v>3</v>
      </c>
      <c r="EH45" s="27">
        <v>7</v>
      </c>
      <c r="EI45" s="27">
        <v>7</v>
      </c>
      <c r="EJ45" s="27">
        <v>7</v>
      </c>
      <c r="EK45" s="27">
        <v>7</v>
      </c>
      <c r="EL45" s="27">
        <v>7</v>
      </c>
      <c r="EM45" s="27">
        <v>1</v>
      </c>
      <c r="EN45" s="27">
        <v>1</v>
      </c>
      <c r="EO45" s="27">
        <v>7</v>
      </c>
      <c r="EP45" s="27">
        <v>7</v>
      </c>
      <c r="EQ45" s="27">
        <v>7</v>
      </c>
      <c r="ER45" s="27">
        <v>7</v>
      </c>
      <c r="ES45" s="27">
        <v>7</v>
      </c>
      <c r="ET45" s="27">
        <v>4</v>
      </c>
      <c r="EU45" s="27">
        <v>4</v>
      </c>
      <c r="EV45" s="1">
        <v>18</v>
      </c>
      <c r="EW45" s="1">
        <v>1</v>
      </c>
      <c r="EY45" s="1">
        <v>1</v>
      </c>
      <c r="EZ45" s="9"/>
      <c r="FA45" s="1">
        <v>1</v>
      </c>
      <c r="FB45" s="9" t="s">
        <v>808</v>
      </c>
      <c r="FC45" s="1">
        <v>0</v>
      </c>
      <c r="FD45" s="1">
        <v>7</v>
      </c>
      <c r="FE45" s="4"/>
      <c r="FF45" s="4"/>
      <c r="FG45" s="4"/>
      <c r="FH45" s="4"/>
      <c r="FI45" s="4"/>
      <c r="FJ45" s="23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26"/>
      <c r="GF45" s="26"/>
      <c r="GG45" s="4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S45" s="3"/>
      <c r="HU45" s="3"/>
      <c r="HX45" s="3"/>
      <c r="IA45" s="3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6"/>
      <c r="JP45" s="6"/>
      <c r="JQ45" s="6"/>
      <c r="JR45" s="6"/>
      <c r="JS45" s="6"/>
      <c r="JT45" s="8"/>
      <c r="JU45" s="8"/>
      <c r="JV45" s="8"/>
      <c r="JW45" s="8"/>
      <c r="JX45" s="8"/>
      <c r="JY45" s="8"/>
      <c r="JZ45" s="8"/>
      <c r="KA45" s="8"/>
      <c r="KB45" s="8"/>
      <c r="KC45" s="6"/>
      <c r="KD45" s="6"/>
      <c r="KE45" s="6"/>
      <c r="KF45" s="6"/>
      <c r="KG45" s="6"/>
      <c r="KH45" s="6"/>
      <c r="KI45" s="6"/>
      <c r="KJ45" s="6"/>
      <c r="KK45" s="6"/>
      <c r="KL45" s="4"/>
      <c r="KM45" s="4"/>
      <c r="KN45" s="6"/>
      <c r="KO45" s="4"/>
      <c r="KP45" s="4"/>
      <c r="KQ45" s="6"/>
      <c r="KR45" s="6"/>
      <c r="KS45" s="4"/>
      <c r="KU45" s="4"/>
      <c r="KV45" s="4"/>
      <c r="KW45" s="4"/>
      <c r="KX45" s="6"/>
      <c r="KY45" s="6"/>
      <c r="KZ45" s="6"/>
      <c r="LA45" s="4"/>
      <c r="LB45" s="6"/>
      <c r="LC45" s="6"/>
      <c r="LD45" s="4"/>
      <c r="LE45" s="4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4"/>
    </row>
    <row r="46" spans="1:374" s="1" customFormat="1" x14ac:dyDescent="0.35">
      <c r="A46" s="2">
        <v>43728</v>
      </c>
      <c r="B46" s="15" t="s">
        <v>100</v>
      </c>
      <c r="C46" s="15" t="s">
        <v>207</v>
      </c>
      <c r="D46" s="1">
        <v>45</v>
      </c>
      <c r="E46" s="3">
        <v>1</v>
      </c>
      <c r="F46" s="3">
        <v>4</v>
      </c>
      <c r="G46" s="3">
        <v>1</v>
      </c>
      <c r="H46" s="3">
        <v>12</v>
      </c>
      <c r="I46" s="3">
        <v>1</v>
      </c>
      <c r="J46" s="3">
        <v>1</v>
      </c>
      <c r="K46" s="18">
        <v>1</v>
      </c>
      <c r="L46" s="18">
        <v>1</v>
      </c>
      <c r="M46" s="18">
        <v>1</v>
      </c>
      <c r="N46" s="18">
        <v>1</v>
      </c>
      <c r="O46" s="18">
        <v>0</v>
      </c>
      <c r="P46" s="4">
        <v>0.8</v>
      </c>
      <c r="Q46" s="3">
        <v>106</v>
      </c>
      <c r="R46" s="3">
        <v>115</v>
      </c>
      <c r="S46" s="3">
        <v>140</v>
      </c>
      <c r="T46" s="3">
        <v>119</v>
      </c>
      <c r="U46" s="3">
        <v>151</v>
      </c>
      <c r="V46" s="3">
        <v>119</v>
      </c>
      <c r="W46" s="3">
        <v>138</v>
      </c>
      <c r="X46" s="3">
        <v>120</v>
      </c>
      <c r="Y46" s="3">
        <v>121</v>
      </c>
      <c r="Z46" s="3">
        <v>265</v>
      </c>
      <c r="AA46" s="3">
        <v>308</v>
      </c>
      <c r="AB46" s="3">
        <v>356</v>
      </c>
      <c r="AC46" s="3">
        <v>479</v>
      </c>
      <c r="AD46" s="3">
        <v>480</v>
      </c>
      <c r="AE46" s="3">
        <v>422</v>
      </c>
      <c r="AF46" s="3">
        <v>448</v>
      </c>
      <c r="AG46" s="3">
        <v>440</v>
      </c>
      <c r="AH46" s="3">
        <v>430</v>
      </c>
      <c r="AI46" s="4">
        <v>309.67</v>
      </c>
      <c r="AJ46" s="4">
        <v>460.33</v>
      </c>
      <c r="AK46" s="4">
        <v>439.33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f t="shared" ref="AX46:BC46" si="22">AL46+AL47+AL48+AL49</f>
        <v>0</v>
      </c>
      <c r="AY46" s="19">
        <f t="shared" si="22"/>
        <v>0</v>
      </c>
      <c r="AZ46" s="19">
        <f t="shared" si="22"/>
        <v>0</v>
      </c>
      <c r="BA46" s="19">
        <f t="shared" si="22"/>
        <v>0</v>
      </c>
      <c r="BB46" s="19">
        <f t="shared" si="22"/>
        <v>0</v>
      </c>
      <c r="BC46" s="19">
        <f t="shared" si="22"/>
        <v>0</v>
      </c>
      <c r="BD46" s="1">
        <f>AX46*3</f>
        <v>0</v>
      </c>
      <c r="BE46" s="1">
        <f t="shared" ref="BE46:BI46" si="23">AY46*3</f>
        <v>0</v>
      </c>
      <c r="BF46" s="1">
        <f t="shared" si="23"/>
        <v>0</v>
      </c>
      <c r="BG46" s="1">
        <f t="shared" si="23"/>
        <v>0</v>
      </c>
      <c r="BH46" s="1">
        <f t="shared" si="23"/>
        <v>0</v>
      </c>
      <c r="BI46" s="1">
        <f t="shared" si="23"/>
        <v>0</v>
      </c>
      <c r="BJ46" s="1">
        <f>AX46+AY46+AZ46</f>
        <v>0</v>
      </c>
      <c r="BK46" s="1">
        <f>BA46+BB46+BC46</f>
        <v>0</v>
      </c>
      <c r="BL46" s="1">
        <f>BJ46*3</f>
        <v>0</v>
      </c>
      <c r="BM46" s="1">
        <f>BK46*3</f>
        <v>0</v>
      </c>
      <c r="BN46" s="1">
        <f>BL46/3</f>
        <v>0</v>
      </c>
      <c r="BO46" s="1">
        <f>BM46/3</f>
        <v>0</v>
      </c>
      <c r="BP46" s="4">
        <v>309.66666666666669</v>
      </c>
      <c r="BQ46" s="4">
        <v>460.33333333333331</v>
      </c>
      <c r="BR46" s="4">
        <v>439.33333333333331</v>
      </c>
      <c r="BS46" s="4">
        <v>460.33</v>
      </c>
      <c r="BT46" s="4">
        <v>439.33</v>
      </c>
      <c r="BU46" s="4">
        <v>3.33</v>
      </c>
      <c r="BV46" s="3">
        <v>4</v>
      </c>
      <c r="BW46" s="3">
        <v>4</v>
      </c>
      <c r="BX46" s="3">
        <v>4</v>
      </c>
      <c r="BY46" s="3">
        <v>4</v>
      </c>
      <c r="BZ46" s="3">
        <v>0</v>
      </c>
      <c r="CA46" s="3">
        <v>0</v>
      </c>
      <c r="CB46" s="3">
        <v>0</v>
      </c>
      <c r="CC46" s="3">
        <v>0</v>
      </c>
      <c r="CD46" s="3">
        <v>1</v>
      </c>
      <c r="CE46" s="3">
        <v>1</v>
      </c>
      <c r="CF46" s="3">
        <v>1</v>
      </c>
      <c r="CG46" s="3">
        <v>1</v>
      </c>
      <c r="CH46" s="3">
        <v>0</v>
      </c>
      <c r="CI46" s="1">
        <v>7</v>
      </c>
      <c r="CJ46" s="1">
        <v>6</v>
      </c>
      <c r="CK46" s="1">
        <v>7</v>
      </c>
      <c r="CL46" s="1">
        <v>6</v>
      </c>
      <c r="CM46" s="1">
        <v>5</v>
      </c>
      <c r="CN46" s="1">
        <v>6</v>
      </c>
      <c r="CO46" s="1">
        <v>5</v>
      </c>
      <c r="CP46" s="1">
        <v>2</v>
      </c>
      <c r="CQ46" s="1">
        <v>7</v>
      </c>
      <c r="CR46" s="1">
        <v>7</v>
      </c>
      <c r="CS46" s="1">
        <v>7</v>
      </c>
      <c r="CT46" s="1">
        <v>6</v>
      </c>
      <c r="CU46" s="1">
        <v>7</v>
      </c>
      <c r="CV46" s="1">
        <v>7</v>
      </c>
      <c r="CW46" s="1">
        <v>6</v>
      </c>
      <c r="CX46" s="1">
        <v>4</v>
      </c>
      <c r="CY46" s="1">
        <v>6</v>
      </c>
      <c r="CZ46" s="1">
        <v>7</v>
      </c>
      <c r="DA46" s="1">
        <v>7</v>
      </c>
      <c r="DB46" s="1">
        <v>7</v>
      </c>
      <c r="DC46" s="1">
        <v>7</v>
      </c>
      <c r="DD46" s="1">
        <v>6</v>
      </c>
      <c r="DE46" s="1">
        <v>7</v>
      </c>
      <c r="DF46" s="1">
        <v>6</v>
      </c>
      <c r="DG46" s="1">
        <v>4</v>
      </c>
      <c r="DH46" s="1">
        <v>6</v>
      </c>
      <c r="DI46" s="1">
        <v>6</v>
      </c>
      <c r="DJ46" s="1">
        <v>6</v>
      </c>
      <c r="DK46" s="1">
        <v>5</v>
      </c>
      <c r="DL46" s="1">
        <v>5</v>
      </c>
      <c r="DM46" s="19">
        <v>5</v>
      </c>
      <c r="DN46" s="19">
        <v>5</v>
      </c>
      <c r="DO46" s="1">
        <v>3</v>
      </c>
      <c r="DP46" s="1">
        <v>4</v>
      </c>
      <c r="DQ46" s="1">
        <v>6</v>
      </c>
      <c r="DR46" s="1">
        <v>6</v>
      </c>
      <c r="DS46" s="1">
        <v>7</v>
      </c>
      <c r="DT46" s="1">
        <v>7</v>
      </c>
      <c r="DU46" s="27">
        <v>6</v>
      </c>
      <c r="DV46" s="27">
        <v>6</v>
      </c>
      <c r="DW46" s="27">
        <v>6</v>
      </c>
      <c r="DX46" s="27">
        <v>4</v>
      </c>
      <c r="DY46" s="27">
        <v>2</v>
      </c>
      <c r="DZ46" s="27">
        <v>1</v>
      </c>
      <c r="EA46" s="27">
        <v>1</v>
      </c>
      <c r="EB46" s="27">
        <v>4</v>
      </c>
      <c r="EC46" s="27">
        <v>5</v>
      </c>
      <c r="ED46" s="27">
        <v>6</v>
      </c>
      <c r="EE46" s="27">
        <v>2</v>
      </c>
      <c r="EF46" s="27">
        <v>3</v>
      </c>
      <c r="EG46" s="27">
        <v>5</v>
      </c>
      <c r="EH46" s="27">
        <v>7</v>
      </c>
      <c r="EI46" s="27">
        <v>7</v>
      </c>
      <c r="EJ46" s="27">
        <v>6</v>
      </c>
      <c r="EK46" s="27">
        <v>6</v>
      </c>
      <c r="EL46" s="27">
        <v>6</v>
      </c>
      <c r="EM46" s="27">
        <v>2</v>
      </c>
      <c r="EN46" s="27">
        <v>4</v>
      </c>
      <c r="EO46" s="27">
        <v>7</v>
      </c>
      <c r="EP46" s="27">
        <v>7</v>
      </c>
      <c r="EQ46" s="27">
        <v>7</v>
      </c>
      <c r="ER46" s="27">
        <v>6</v>
      </c>
      <c r="ES46" s="27">
        <v>6</v>
      </c>
      <c r="ET46" s="27">
        <v>4</v>
      </c>
      <c r="EU46" s="27">
        <v>4</v>
      </c>
      <c r="EV46" s="1">
        <v>18</v>
      </c>
      <c r="EW46" s="1">
        <v>1</v>
      </c>
      <c r="EY46" s="1">
        <v>1</v>
      </c>
      <c r="EZ46" s="9"/>
      <c r="FA46" s="1">
        <v>1</v>
      </c>
      <c r="FB46" s="9" t="s">
        <v>809</v>
      </c>
      <c r="FC46" s="1">
        <v>0</v>
      </c>
      <c r="FD46" s="1">
        <v>7</v>
      </c>
      <c r="FE46" s="4">
        <v>6.46</v>
      </c>
      <c r="FF46" s="4">
        <v>6.69</v>
      </c>
      <c r="FG46" s="4">
        <v>8</v>
      </c>
      <c r="FH46" s="4">
        <v>7</v>
      </c>
      <c r="FI46" s="4">
        <v>6.38</v>
      </c>
      <c r="FJ46" s="23">
        <v>7</v>
      </c>
      <c r="FK46" s="4">
        <v>5.08</v>
      </c>
      <c r="FL46" s="4">
        <v>6.5</v>
      </c>
      <c r="FM46" s="4">
        <v>4.25</v>
      </c>
      <c r="FN46" s="4">
        <v>6</v>
      </c>
      <c r="FO46" s="4">
        <v>6.08</v>
      </c>
      <c r="FP46" s="4">
        <v>5.75</v>
      </c>
      <c r="FQ46" s="4">
        <v>3</v>
      </c>
      <c r="FR46" s="4">
        <v>1.75</v>
      </c>
      <c r="FS46" s="4">
        <v>4.25</v>
      </c>
      <c r="FT46" s="4">
        <v>5.75</v>
      </c>
      <c r="FU46" s="4">
        <v>5.25</v>
      </c>
      <c r="FV46" s="4">
        <v>4.5</v>
      </c>
      <c r="FW46" s="4">
        <v>4.5</v>
      </c>
      <c r="FX46" s="4">
        <v>5.75</v>
      </c>
      <c r="FY46" s="4">
        <v>7</v>
      </c>
      <c r="FZ46" s="4">
        <v>6</v>
      </c>
      <c r="GA46" s="4">
        <v>2.25</v>
      </c>
      <c r="GB46" s="4">
        <v>7</v>
      </c>
      <c r="GC46" s="4">
        <v>6</v>
      </c>
      <c r="GD46" s="4">
        <v>4.75</v>
      </c>
      <c r="GE46" s="26"/>
      <c r="GF46" s="26"/>
      <c r="GG46" s="4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S46" s="3"/>
      <c r="HU46" s="3"/>
      <c r="HX46" s="3"/>
      <c r="IA46" s="3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3"/>
      <c r="JP46" s="3"/>
      <c r="JQ46" s="4"/>
      <c r="JR46" s="5"/>
      <c r="JS46" s="5"/>
      <c r="JT46" s="8"/>
      <c r="JU46" s="8"/>
      <c r="JV46" s="8"/>
      <c r="JW46" s="8"/>
      <c r="JX46" s="8"/>
      <c r="JY46" s="8"/>
      <c r="JZ46" s="8"/>
      <c r="KA46" s="8"/>
      <c r="KB46" s="8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</row>
    <row r="47" spans="1:374" s="1" customFormat="1" x14ac:dyDescent="0.35">
      <c r="A47" s="2">
        <v>43728</v>
      </c>
      <c r="B47" s="15" t="s">
        <v>100</v>
      </c>
      <c r="C47" s="15" t="s">
        <v>208</v>
      </c>
      <c r="D47" s="1">
        <v>46</v>
      </c>
      <c r="E47" s="3">
        <v>1</v>
      </c>
      <c r="F47" s="3">
        <v>4</v>
      </c>
      <c r="G47" s="3"/>
      <c r="H47" s="3">
        <v>12</v>
      </c>
      <c r="I47" s="3">
        <v>2</v>
      </c>
      <c r="J47" s="3"/>
      <c r="K47" s="18">
        <v>0</v>
      </c>
      <c r="L47" s="18">
        <v>1</v>
      </c>
      <c r="M47" s="18">
        <v>0</v>
      </c>
      <c r="N47" s="18">
        <v>1</v>
      </c>
      <c r="O47" s="18">
        <v>0</v>
      </c>
      <c r="P47" s="4">
        <v>0.4</v>
      </c>
      <c r="Q47" s="3">
        <v>24</v>
      </c>
      <c r="R47" s="3">
        <v>63</v>
      </c>
      <c r="S47" s="3">
        <v>56</v>
      </c>
      <c r="T47" s="3">
        <v>113</v>
      </c>
      <c r="U47" s="3">
        <v>100</v>
      </c>
      <c r="V47" s="3">
        <v>128</v>
      </c>
      <c r="W47" s="3">
        <v>107</v>
      </c>
      <c r="X47" s="3">
        <v>94</v>
      </c>
      <c r="Y47" s="3">
        <v>110</v>
      </c>
      <c r="Z47" s="3"/>
      <c r="AA47" s="3"/>
      <c r="AB47" s="3"/>
      <c r="AC47" s="3"/>
      <c r="AD47" s="3"/>
      <c r="AE47" s="3"/>
      <c r="AF47" s="3"/>
      <c r="AG47" s="3"/>
      <c r="AH47" s="3"/>
      <c r="AI47" s="4"/>
      <c r="AJ47" s="4"/>
      <c r="AK47" s="4"/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/>
      <c r="AY47"/>
      <c r="AZ47"/>
      <c r="BA47"/>
      <c r="BB47"/>
      <c r="BC47"/>
      <c r="BP47" s="4"/>
      <c r="BQ47" s="4"/>
      <c r="BR47" s="4"/>
      <c r="BS47" s="4"/>
      <c r="BT47" s="4"/>
      <c r="BU47" s="4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1">
        <v>7</v>
      </c>
      <c r="CJ47" s="1">
        <v>7</v>
      </c>
      <c r="CK47" s="1">
        <v>7</v>
      </c>
      <c r="CL47" s="1">
        <v>6</v>
      </c>
      <c r="CM47" s="1">
        <v>5</v>
      </c>
      <c r="CN47" s="1">
        <v>5</v>
      </c>
      <c r="CO47" s="1">
        <v>5</v>
      </c>
      <c r="CP47" s="1">
        <v>1</v>
      </c>
      <c r="CQ47" s="1">
        <v>6</v>
      </c>
      <c r="CR47" s="1">
        <v>6</v>
      </c>
      <c r="CS47" s="1">
        <v>6</v>
      </c>
      <c r="CT47" s="1">
        <v>7</v>
      </c>
      <c r="CU47" s="1">
        <v>6</v>
      </c>
      <c r="CV47" s="1">
        <v>7</v>
      </c>
      <c r="CW47" s="1">
        <v>6</v>
      </c>
      <c r="CX47" s="1">
        <v>6</v>
      </c>
      <c r="CY47" s="1">
        <v>6</v>
      </c>
      <c r="CZ47" s="1">
        <v>7</v>
      </c>
      <c r="DA47" s="1">
        <v>7</v>
      </c>
      <c r="DB47" s="1">
        <v>7</v>
      </c>
      <c r="DC47" s="1">
        <v>6</v>
      </c>
      <c r="DD47" s="1">
        <v>6</v>
      </c>
      <c r="DE47" s="1">
        <v>7</v>
      </c>
      <c r="DF47" s="1">
        <v>5</v>
      </c>
      <c r="DG47" s="1">
        <v>5</v>
      </c>
      <c r="DH47" s="1">
        <v>6</v>
      </c>
      <c r="DI47" s="1">
        <v>6</v>
      </c>
      <c r="DJ47" s="1">
        <v>7</v>
      </c>
      <c r="DK47" s="1">
        <v>5</v>
      </c>
      <c r="DL47" s="1">
        <v>7</v>
      </c>
      <c r="DM47" s="19">
        <v>7</v>
      </c>
      <c r="DN47" s="19">
        <v>6</v>
      </c>
      <c r="DO47" s="1">
        <v>5</v>
      </c>
      <c r="DP47" s="1">
        <v>6</v>
      </c>
      <c r="DQ47" s="1">
        <v>6</v>
      </c>
      <c r="DR47" s="1">
        <v>5</v>
      </c>
      <c r="DS47" s="1">
        <v>6</v>
      </c>
      <c r="DT47" s="1">
        <v>6</v>
      </c>
      <c r="DU47" s="27">
        <v>4</v>
      </c>
      <c r="DV47" s="27">
        <v>4</v>
      </c>
      <c r="DW47" s="27">
        <v>4</v>
      </c>
      <c r="DX47" s="27">
        <v>4</v>
      </c>
      <c r="DY47" s="27">
        <v>4</v>
      </c>
      <c r="DZ47" s="27">
        <v>4</v>
      </c>
      <c r="EA47" s="27">
        <v>4</v>
      </c>
      <c r="EB47" s="27">
        <v>4</v>
      </c>
      <c r="EC47" s="27">
        <v>4</v>
      </c>
      <c r="ED47" s="27">
        <v>4</v>
      </c>
      <c r="EE47" s="27">
        <v>4</v>
      </c>
      <c r="EF47" s="27">
        <v>4</v>
      </c>
      <c r="EG47" s="27">
        <v>4</v>
      </c>
      <c r="EH47" s="27">
        <v>7</v>
      </c>
      <c r="EI47" s="27">
        <v>7</v>
      </c>
      <c r="EJ47" s="27">
        <v>4</v>
      </c>
      <c r="EK47" s="27">
        <v>4</v>
      </c>
      <c r="EL47" s="27">
        <v>4</v>
      </c>
      <c r="EM47" s="27">
        <v>4</v>
      </c>
      <c r="EN47" s="27">
        <v>4</v>
      </c>
      <c r="EO47" s="27">
        <v>7</v>
      </c>
      <c r="EP47" s="27">
        <v>7</v>
      </c>
      <c r="EQ47" s="27">
        <v>7</v>
      </c>
      <c r="ER47" s="27">
        <v>4</v>
      </c>
      <c r="ES47" s="27">
        <v>4</v>
      </c>
      <c r="ET47" s="27">
        <v>4</v>
      </c>
      <c r="EU47" s="27">
        <v>4</v>
      </c>
      <c r="EV47" s="1">
        <v>19</v>
      </c>
      <c r="EW47" s="1">
        <v>1</v>
      </c>
      <c r="EY47" s="1">
        <v>1</v>
      </c>
      <c r="EZ47" s="9"/>
      <c r="FA47" s="1">
        <v>1</v>
      </c>
      <c r="FB47" s="9" t="s">
        <v>785</v>
      </c>
      <c r="FC47" s="1">
        <v>1</v>
      </c>
      <c r="FD47" s="1">
        <v>4</v>
      </c>
      <c r="FE47" s="4"/>
      <c r="FF47" s="4"/>
      <c r="FG47" s="4"/>
      <c r="FH47" s="4"/>
      <c r="FI47" s="4"/>
      <c r="FJ47" s="23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26"/>
      <c r="GF47" s="26"/>
      <c r="GG47" s="4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S47" s="3"/>
      <c r="HU47" s="3"/>
      <c r="HX47" s="3"/>
      <c r="IA47" s="3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6"/>
      <c r="JP47" s="6"/>
      <c r="JQ47" s="6"/>
      <c r="JR47" s="6"/>
      <c r="JS47" s="6"/>
      <c r="JT47" s="8"/>
      <c r="JU47" s="8"/>
      <c r="JV47" s="8"/>
      <c r="JW47" s="8"/>
      <c r="JX47" s="8"/>
      <c r="JY47" s="8"/>
      <c r="JZ47" s="8"/>
      <c r="KA47" s="8"/>
      <c r="KB47" s="8"/>
      <c r="KC47" s="6"/>
      <c r="KD47" s="6"/>
      <c r="KE47" s="6"/>
      <c r="KF47" s="6"/>
      <c r="KG47" s="6"/>
      <c r="KH47" s="6"/>
      <c r="KI47" s="6"/>
      <c r="KJ47" s="6"/>
      <c r="KK47" s="6"/>
      <c r="KL47" s="4"/>
      <c r="KM47" s="4"/>
      <c r="KN47" s="6"/>
      <c r="KO47" s="4"/>
      <c r="KP47" s="4"/>
      <c r="KQ47" s="6"/>
      <c r="KR47" s="6"/>
      <c r="KS47" s="4"/>
      <c r="KU47" s="4"/>
      <c r="KV47" s="4"/>
      <c r="KW47" s="4"/>
      <c r="KX47" s="6"/>
      <c r="KY47" s="6"/>
      <c r="KZ47" s="6"/>
      <c r="LA47" s="4"/>
      <c r="LB47" s="6"/>
      <c r="LC47" s="6"/>
      <c r="LD47" s="4"/>
      <c r="LE47" s="4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4"/>
    </row>
    <row r="48" spans="1:374" s="1" customFormat="1" x14ac:dyDescent="0.35">
      <c r="A48" s="2">
        <v>43728</v>
      </c>
      <c r="B48" s="15" t="s">
        <v>100</v>
      </c>
      <c r="C48" s="15" t="s">
        <v>209</v>
      </c>
      <c r="D48" s="1">
        <v>47</v>
      </c>
      <c r="E48" s="3">
        <v>1</v>
      </c>
      <c r="F48" s="3">
        <v>4</v>
      </c>
      <c r="G48" s="3"/>
      <c r="H48" s="3">
        <v>12</v>
      </c>
      <c r="I48" s="3">
        <v>3</v>
      </c>
      <c r="J48" s="3"/>
      <c r="K48" s="18">
        <v>1</v>
      </c>
      <c r="L48" s="18">
        <v>1</v>
      </c>
      <c r="M48" s="18">
        <v>1</v>
      </c>
      <c r="N48" s="18">
        <v>1</v>
      </c>
      <c r="O48" s="18">
        <v>0</v>
      </c>
      <c r="P48" s="4">
        <v>0.8</v>
      </c>
      <c r="Q48" s="3">
        <v>64</v>
      </c>
      <c r="R48" s="3">
        <v>48</v>
      </c>
      <c r="S48" s="3">
        <v>64</v>
      </c>
      <c r="T48" s="3">
        <v>127</v>
      </c>
      <c r="U48" s="3">
        <v>106</v>
      </c>
      <c r="V48" s="3">
        <v>84</v>
      </c>
      <c r="W48" s="3">
        <v>76</v>
      </c>
      <c r="X48" s="3">
        <v>96</v>
      </c>
      <c r="Y48" s="3">
        <v>81</v>
      </c>
      <c r="Z48" s="3"/>
      <c r="AA48" s="3"/>
      <c r="AB48" s="3"/>
      <c r="AC48" s="3"/>
      <c r="AD48" s="3"/>
      <c r="AE48" s="3"/>
      <c r="AF48" s="3"/>
      <c r="AG48" s="3"/>
      <c r="AH48" s="3"/>
      <c r="AI48" s="4"/>
      <c r="AJ48" s="4"/>
      <c r="AK48" s="4"/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/>
      <c r="AY48"/>
      <c r="AZ48"/>
      <c r="BA48"/>
      <c r="BB48"/>
      <c r="BC48"/>
      <c r="BP48" s="4"/>
      <c r="BQ48" s="4"/>
      <c r="BR48" s="4"/>
      <c r="BS48" s="4"/>
      <c r="BT48" s="4"/>
      <c r="BU48" s="4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1">
        <v>7</v>
      </c>
      <c r="CJ48" s="1">
        <v>7</v>
      </c>
      <c r="CK48" s="1">
        <v>7</v>
      </c>
      <c r="CL48" s="1">
        <v>7</v>
      </c>
      <c r="CM48" s="1">
        <v>7</v>
      </c>
      <c r="CN48" s="1">
        <v>7</v>
      </c>
      <c r="CO48" s="1">
        <v>7</v>
      </c>
      <c r="CP48" s="1">
        <v>1</v>
      </c>
      <c r="CQ48" s="1">
        <v>7</v>
      </c>
      <c r="CR48" s="1">
        <v>7</v>
      </c>
      <c r="CS48" s="1">
        <v>7</v>
      </c>
      <c r="CT48" s="1">
        <v>7</v>
      </c>
      <c r="CU48" s="1">
        <v>5</v>
      </c>
      <c r="CV48" s="1">
        <v>7</v>
      </c>
      <c r="CW48" s="1">
        <v>7</v>
      </c>
      <c r="CX48" s="1">
        <v>7</v>
      </c>
      <c r="CY48" s="1">
        <v>7</v>
      </c>
      <c r="CZ48" s="1">
        <v>7</v>
      </c>
      <c r="DA48" s="1">
        <v>7</v>
      </c>
      <c r="DB48" s="1">
        <v>7</v>
      </c>
      <c r="DC48" s="1">
        <v>6</v>
      </c>
      <c r="DD48" s="1">
        <v>7</v>
      </c>
      <c r="DE48" s="1">
        <v>7</v>
      </c>
      <c r="DF48" s="1">
        <v>1</v>
      </c>
      <c r="DG48" s="1">
        <v>4</v>
      </c>
      <c r="DH48" s="1">
        <v>5</v>
      </c>
      <c r="DI48" s="1">
        <v>5</v>
      </c>
      <c r="DJ48" s="1">
        <v>6</v>
      </c>
      <c r="DK48" s="1">
        <v>6</v>
      </c>
      <c r="DL48" s="1">
        <v>7</v>
      </c>
      <c r="DM48" s="19">
        <v>7</v>
      </c>
      <c r="DN48" s="19">
        <v>4</v>
      </c>
      <c r="DO48" s="1">
        <v>3</v>
      </c>
      <c r="DP48" s="1">
        <v>7</v>
      </c>
      <c r="DQ48" s="1">
        <v>6</v>
      </c>
      <c r="DR48" s="1">
        <v>5</v>
      </c>
      <c r="DS48" s="1">
        <v>7</v>
      </c>
      <c r="DT48" s="1">
        <v>7</v>
      </c>
      <c r="DU48" s="27">
        <v>7</v>
      </c>
      <c r="DV48" s="27">
        <v>7</v>
      </c>
      <c r="DW48" s="27">
        <v>7</v>
      </c>
      <c r="DX48" s="27">
        <v>4</v>
      </c>
      <c r="DY48" s="27">
        <v>1</v>
      </c>
      <c r="DZ48" s="27">
        <v>1</v>
      </c>
      <c r="EA48" s="27">
        <v>1</v>
      </c>
      <c r="EB48" s="27">
        <v>7</v>
      </c>
      <c r="EC48" s="27">
        <v>7</v>
      </c>
      <c r="ED48" s="27">
        <v>6</v>
      </c>
      <c r="EE48" s="27">
        <v>7</v>
      </c>
      <c r="EF48" s="27">
        <v>7</v>
      </c>
      <c r="EG48" s="27">
        <v>7</v>
      </c>
      <c r="EH48" s="27">
        <v>7</v>
      </c>
      <c r="EI48" s="27">
        <v>7</v>
      </c>
      <c r="EJ48" s="27">
        <v>7</v>
      </c>
      <c r="EK48" s="27">
        <v>7</v>
      </c>
      <c r="EL48" s="27">
        <v>7</v>
      </c>
      <c r="EM48" s="27">
        <v>1</v>
      </c>
      <c r="EN48" s="27">
        <v>1</v>
      </c>
      <c r="EO48" s="27">
        <v>7</v>
      </c>
      <c r="EP48" s="27">
        <v>7</v>
      </c>
      <c r="EQ48" s="27">
        <v>7</v>
      </c>
      <c r="ER48" s="27">
        <v>7</v>
      </c>
      <c r="ES48" s="27">
        <v>7</v>
      </c>
      <c r="ET48" s="27">
        <v>7</v>
      </c>
      <c r="EU48" s="27">
        <v>7</v>
      </c>
      <c r="EV48" s="1">
        <v>18</v>
      </c>
      <c r="EW48" s="1">
        <v>1</v>
      </c>
      <c r="EY48" s="1">
        <v>1</v>
      </c>
      <c r="EZ48" s="9"/>
      <c r="FA48" s="1">
        <v>1</v>
      </c>
      <c r="FB48" s="9" t="s">
        <v>784</v>
      </c>
      <c r="FC48" s="1">
        <v>1</v>
      </c>
      <c r="FD48" s="1">
        <v>6</v>
      </c>
      <c r="FE48" s="4"/>
      <c r="FF48" s="4"/>
      <c r="FG48" s="4"/>
      <c r="FH48" s="4"/>
      <c r="FI48" s="4"/>
      <c r="FJ48" s="23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26"/>
      <c r="GF48" s="26"/>
      <c r="GG48" s="4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S48" s="3"/>
      <c r="HU48" s="3"/>
      <c r="HX48" s="3"/>
      <c r="IA48" s="3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6"/>
      <c r="JP48" s="6"/>
      <c r="JQ48" s="6"/>
      <c r="JR48" s="6"/>
      <c r="JS48" s="6"/>
      <c r="JT48" s="8"/>
      <c r="JU48" s="8"/>
      <c r="JV48" s="8"/>
      <c r="JW48" s="8"/>
      <c r="JX48" s="8"/>
      <c r="JY48" s="8"/>
      <c r="JZ48" s="8"/>
      <c r="KA48" s="8"/>
      <c r="KB48" s="8"/>
      <c r="KC48" s="6"/>
      <c r="KD48" s="6"/>
      <c r="KE48" s="6"/>
      <c r="KF48" s="6"/>
      <c r="KG48" s="6"/>
      <c r="KH48" s="6"/>
      <c r="KI48" s="6"/>
      <c r="KJ48" s="6"/>
      <c r="KK48" s="6"/>
      <c r="KL48" s="4"/>
      <c r="KM48" s="4"/>
      <c r="KN48" s="6"/>
      <c r="KO48" s="4"/>
      <c r="KP48" s="4"/>
      <c r="KQ48" s="6"/>
      <c r="KR48" s="6"/>
      <c r="KS48" s="4"/>
      <c r="KU48" s="4"/>
      <c r="KV48" s="4"/>
      <c r="KW48" s="4"/>
      <c r="KX48" s="6"/>
      <c r="KY48" s="6"/>
      <c r="KZ48" s="6"/>
      <c r="LA48" s="4"/>
      <c r="LB48" s="6"/>
      <c r="LC48" s="6"/>
      <c r="LD48" s="4"/>
      <c r="LE48" s="4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4"/>
    </row>
    <row r="49" spans="1:374" s="1" customFormat="1" x14ac:dyDescent="0.35">
      <c r="A49" s="2">
        <v>43728</v>
      </c>
      <c r="B49" s="15" t="s">
        <v>100</v>
      </c>
      <c r="C49" s="15" t="s">
        <v>210</v>
      </c>
      <c r="D49" s="1">
        <v>48</v>
      </c>
      <c r="E49" s="3">
        <v>1</v>
      </c>
      <c r="F49" s="3">
        <v>4</v>
      </c>
      <c r="G49" s="3"/>
      <c r="H49" s="3">
        <v>12</v>
      </c>
      <c r="I49" s="3">
        <v>4</v>
      </c>
      <c r="J49" s="3"/>
      <c r="K49" s="18">
        <v>1</v>
      </c>
      <c r="L49" s="18">
        <v>1</v>
      </c>
      <c r="M49" s="18">
        <v>1</v>
      </c>
      <c r="N49" s="18">
        <v>1</v>
      </c>
      <c r="O49" s="18">
        <v>1</v>
      </c>
      <c r="P49" s="4">
        <v>1</v>
      </c>
      <c r="Q49" s="3">
        <v>71</v>
      </c>
      <c r="R49" s="3">
        <v>82</v>
      </c>
      <c r="S49" s="3">
        <v>96</v>
      </c>
      <c r="T49" s="3">
        <v>120</v>
      </c>
      <c r="U49" s="3">
        <v>123</v>
      </c>
      <c r="V49" s="3">
        <v>91</v>
      </c>
      <c r="W49" s="3">
        <v>127</v>
      </c>
      <c r="X49" s="3">
        <v>130</v>
      </c>
      <c r="Y49" s="3">
        <v>118</v>
      </c>
      <c r="Z49" s="3"/>
      <c r="AA49" s="3"/>
      <c r="AB49" s="3"/>
      <c r="AC49" s="3"/>
      <c r="AD49" s="3"/>
      <c r="AE49" s="3"/>
      <c r="AF49" s="3"/>
      <c r="AG49" s="3"/>
      <c r="AH49" s="3"/>
      <c r="AI49" s="4"/>
      <c r="AJ49" s="4"/>
      <c r="AK49" s="4"/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/>
      <c r="AY49"/>
      <c r="AZ49"/>
      <c r="BA49"/>
      <c r="BB49"/>
      <c r="BC49"/>
      <c r="BP49" s="4"/>
      <c r="BQ49" s="4"/>
      <c r="BR49" s="4"/>
      <c r="BS49" s="4"/>
      <c r="BT49" s="4"/>
      <c r="BU49" s="4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1">
        <v>7</v>
      </c>
      <c r="CJ49" s="1">
        <v>7</v>
      </c>
      <c r="CK49" s="1">
        <v>7</v>
      </c>
      <c r="CL49" s="1">
        <v>7</v>
      </c>
      <c r="CM49" s="1">
        <v>7</v>
      </c>
      <c r="CN49" s="1">
        <v>7</v>
      </c>
      <c r="CO49" s="1">
        <v>6</v>
      </c>
      <c r="CP49" s="1">
        <v>2</v>
      </c>
      <c r="CQ49" s="1">
        <v>7</v>
      </c>
      <c r="CR49" s="1">
        <v>7</v>
      </c>
      <c r="CS49" s="1">
        <v>7</v>
      </c>
      <c r="CT49" s="1">
        <v>6</v>
      </c>
      <c r="CU49" s="1">
        <v>7</v>
      </c>
      <c r="CV49" s="1">
        <v>6</v>
      </c>
      <c r="CW49" s="1">
        <v>7</v>
      </c>
      <c r="CX49" s="1">
        <v>7</v>
      </c>
      <c r="CY49" s="1">
        <v>7</v>
      </c>
      <c r="CZ49" s="1">
        <v>7</v>
      </c>
      <c r="DA49" s="1">
        <v>7</v>
      </c>
      <c r="DB49" s="1">
        <v>7</v>
      </c>
      <c r="DC49" s="1">
        <v>7</v>
      </c>
      <c r="DD49" s="1">
        <v>6</v>
      </c>
      <c r="DE49" s="1">
        <v>7</v>
      </c>
      <c r="DF49" s="1">
        <v>4</v>
      </c>
      <c r="DG49" s="1">
        <v>5</v>
      </c>
      <c r="DH49" s="1">
        <v>6</v>
      </c>
      <c r="DI49" s="1">
        <v>5</v>
      </c>
      <c r="DJ49" s="1">
        <v>3</v>
      </c>
      <c r="DK49" s="1">
        <v>5</v>
      </c>
      <c r="DL49" s="1">
        <v>7</v>
      </c>
      <c r="DM49" s="19">
        <v>7</v>
      </c>
      <c r="DN49" s="19">
        <v>5</v>
      </c>
      <c r="DO49" s="1">
        <v>3</v>
      </c>
      <c r="DP49" s="1">
        <v>6</v>
      </c>
      <c r="DQ49" s="1">
        <v>7</v>
      </c>
      <c r="DR49" s="1">
        <v>5</v>
      </c>
      <c r="DS49" s="1">
        <v>6</v>
      </c>
      <c r="DT49" s="1">
        <v>6</v>
      </c>
      <c r="DU49" s="27">
        <v>7</v>
      </c>
      <c r="DV49" s="27">
        <v>7</v>
      </c>
      <c r="DW49" s="27">
        <v>4</v>
      </c>
      <c r="DX49" s="27">
        <v>4</v>
      </c>
      <c r="DY49" s="27">
        <v>1</v>
      </c>
      <c r="DZ49" s="27">
        <v>1</v>
      </c>
      <c r="EA49" s="27">
        <v>1</v>
      </c>
      <c r="EB49" s="27">
        <v>2</v>
      </c>
      <c r="EC49" s="27">
        <v>7</v>
      </c>
      <c r="ED49" s="27">
        <v>5</v>
      </c>
      <c r="EE49" s="27">
        <v>5</v>
      </c>
      <c r="EF49" s="27">
        <v>4</v>
      </c>
      <c r="EG49" s="27">
        <v>7</v>
      </c>
      <c r="EH49" s="27">
        <v>7</v>
      </c>
      <c r="EI49" s="27">
        <v>7</v>
      </c>
      <c r="EJ49" s="27">
        <v>7</v>
      </c>
      <c r="EK49" s="27">
        <v>7</v>
      </c>
      <c r="EL49" s="27">
        <v>7</v>
      </c>
      <c r="EM49" s="27">
        <v>1</v>
      </c>
      <c r="EN49" s="27">
        <v>1</v>
      </c>
      <c r="EO49" s="27">
        <v>7</v>
      </c>
      <c r="EP49" s="27">
        <v>7</v>
      </c>
      <c r="EQ49" s="27">
        <v>7</v>
      </c>
      <c r="ER49" s="27">
        <v>7</v>
      </c>
      <c r="ES49" s="27">
        <v>7</v>
      </c>
      <c r="ET49" s="27">
        <v>4</v>
      </c>
      <c r="EU49" s="27">
        <v>4</v>
      </c>
      <c r="EV49" s="1">
        <v>19</v>
      </c>
      <c r="EW49" s="1">
        <v>1</v>
      </c>
      <c r="EY49" s="1">
        <v>1</v>
      </c>
      <c r="EZ49" s="9"/>
      <c r="FA49" s="1">
        <v>2</v>
      </c>
      <c r="FB49" s="9" t="s">
        <v>810</v>
      </c>
      <c r="FC49" s="1">
        <v>1</v>
      </c>
      <c r="FD49" s="1">
        <v>7</v>
      </c>
      <c r="FE49" s="4"/>
      <c r="FF49" s="4"/>
      <c r="FG49" s="4"/>
      <c r="FH49" s="4"/>
      <c r="FI49" s="4"/>
      <c r="FJ49" s="23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26"/>
      <c r="GF49" s="26"/>
      <c r="GG49" s="4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S49" s="3"/>
      <c r="HU49" s="3"/>
      <c r="HX49" s="3"/>
      <c r="IA49" s="3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6"/>
      <c r="JP49" s="6"/>
      <c r="JQ49" s="6"/>
      <c r="JR49" s="6"/>
      <c r="JS49" s="6"/>
      <c r="JT49" s="8"/>
      <c r="JU49" s="8"/>
      <c r="JV49" s="8"/>
      <c r="JW49" s="8"/>
      <c r="JX49" s="8"/>
      <c r="JY49" s="8"/>
      <c r="JZ49" s="8"/>
      <c r="KA49" s="8"/>
      <c r="KB49" s="8"/>
      <c r="KC49" s="6"/>
      <c r="KD49" s="6"/>
      <c r="KE49" s="6"/>
      <c r="KF49" s="6"/>
      <c r="KG49" s="6"/>
      <c r="KH49" s="6"/>
      <c r="KI49" s="6"/>
      <c r="KJ49" s="6"/>
      <c r="KK49" s="6"/>
      <c r="KL49" s="4"/>
      <c r="KM49" s="4"/>
      <c r="KN49" s="6"/>
      <c r="KO49" s="4"/>
      <c r="KP49" s="4"/>
      <c r="KQ49" s="6"/>
      <c r="KR49" s="6"/>
      <c r="KS49" s="4"/>
      <c r="KU49" s="4"/>
      <c r="KV49" s="4"/>
      <c r="KW49" s="4"/>
      <c r="KX49" s="6"/>
      <c r="KY49" s="6"/>
      <c r="KZ49" s="6"/>
      <c r="LA49" s="4"/>
      <c r="LB49" s="6"/>
      <c r="LC49" s="6"/>
      <c r="LD49" s="4"/>
      <c r="LE49" s="4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4"/>
    </row>
    <row r="50" spans="1:374" s="1" customFormat="1" x14ac:dyDescent="0.35">
      <c r="A50" s="2">
        <v>43728</v>
      </c>
      <c r="B50" s="15" t="s">
        <v>101</v>
      </c>
      <c r="C50" s="15" t="s">
        <v>211</v>
      </c>
      <c r="D50" s="1">
        <v>49</v>
      </c>
      <c r="E50" s="3">
        <v>1</v>
      </c>
      <c r="F50" s="3">
        <v>4</v>
      </c>
      <c r="G50" s="3">
        <v>1</v>
      </c>
      <c r="H50" s="3">
        <v>13</v>
      </c>
      <c r="I50" s="3">
        <v>1</v>
      </c>
      <c r="J50" s="3">
        <v>1</v>
      </c>
      <c r="K50" s="18">
        <v>0</v>
      </c>
      <c r="L50" s="18">
        <v>1</v>
      </c>
      <c r="M50" s="18">
        <v>1</v>
      </c>
      <c r="N50" s="18">
        <v>1</v>
      </c>
      <c r="O50" s="18">
        <v>1</v>
      </c>
      <c r="P50" s="4">
        <v>0.8</v>
      </c>
      <c r="Q50" s="3">
        <v>95</v>
      </c>
      <c r="R50" s="3">
        <v>86</v>
      </c>
      <c r="S50" s="3">
        <v>68</v>
      </c>
      <c r="T50" s="3">
        <v>96</v>
      </c>
      <c r="U50" s="3">
        <v>88</v>
      </c>
      <c r="V50" s="3">
        <v>102</v>
      </c>
      <c r="W50" s="3">
        <v>91</v>
      </c>
      <c r="X50" s="3">
        <v>77</v>
      </c>
      <c r="Y50" s="3">
        <v>62</v>
      </c>
      <c r="Z50" s="3">
        <v>245</v>
      </c>
      <c r="AA50" s="3">
        <v>242</v>
      </c>
      <c r="AB50" s="3">
        <v>235</v>
      </c>
      <c r="AC50" s="3">
        <v>374</v>
      </c>
      <c r="AD50" s="3">
        <v>392</v>
      </c>
      <c r="AE50" s="3">
        <v>367</v>
      </c>
      <c r="AF50" s="3">
        <v>236</v>
      </c>
      <c r="AG50" s="3">
        <v>229</v>
      </c>
      <c r="AH50" s="3">
        <v>214</v>
      </c>
      <c r="AI50" s="4">
        <v>240.67</v>
      </c>
      <c r="AJ50" s="4">
        <v>377.67</v>
      </c>
      <c r="AK50" s="4">
        <v>226.33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2</v>
      </c>
      <c r="AX50" s="19">
        <f t="shared" ref="AX50:BC50" si="24">AL50+AL51+AL52+AL53</f>
        <v>0</v>
      </c>
      <c r="AY50" s="19">
        <f t="shared" si="24"/>
        <v>0</v>
      </c>
      <c r="AZ50" s="19">
        <f t="shared" si="24"/>
        <v>0</v>
      </c>
      <c r="BA50" s="19">
        <f t="shared" si="24"/>
        <v>0</v>
      </c>
      <c r="BB50" s="19">
        <f t="shared" si="24"/>
        <v>0</v>
      </c>
      <c r="BC50" s="19">
        <f t="shared" si="24"/>
        <v>1</v>
      </c>
      <c r="BD50" s="1">
        <f>AX50*3</f>
        <v>0</v>
      </c>
      <c r="BE50" s="1">
        <f t="shared" ref="BE50:BI50" si="25">AY50*3</f>
        <v>0</v>
      </c>
      <c r="BF50" s="1">
        <f t="shared" si="25"/>
        <v>0</v>
      </c>
      <c r="BG50" s="1">
        <f t="shared" si="25"/>
        <v>0</v>
      </c>
      <c r="BH50" s="1">
        <f t="shared" si="25"/>
        <v>0</v>
      </c>
      <c r="BI50" s="1">
        <f t="shared" si="25"/>
        <v>3</v>
      </c>
      <c r="BJ50" s="1">
        <f>AX50+AY50+AZ50</f>
        <v>0</v>
      </c>
      <c r="BK50" s="1">
        <f>BA50+BB50+BC50</f>
        <v>1</v>
      </c>
      <c r="BL50" s="1">
        <f>BJ50*3</f>
        <v>0</v>
      </c>
      <c r="BM50" s="1">
        <f>BK50*3</f>
        <v>3</v>
      </c>
      <c r="BN50" s="1">
        <f>BL50/3</f>
        <v>0</v>
      </c>
      <c r="BO50" s="1">
        <f>BM50/3</f>
        <v>1</v>
      </c>
      <c r="BP50" s="4">
        <v>240.66666666666666</v>
      </c>
      <c r="BQ50" s="4">
        <v>376.66666666666669</v>
      </c>
      <c r="BR50" s="4">
        <v>226.33333333333334</v>
      </c>
      <c r="BS50" s="4">
        <v>376.67</v>
      </c>
      <c r="BT50" s="4">
        <v>226.33</v>
      </c>
      <c r="BU50" s="4">
        <v>3.67</v>
      </c>
      <c r="BV50" s="3">
        <v>1</v>
      </c>
      <c r="BW50" s="3">
        <v>1</v>
      </c>
      <c r="BX50" s="3">
        <v>1</v>
      </c>
      <c r="BY50" s="3">
        <v>1</v>
      </c>
      <c r="BZ50" s="3">
        <v>0</v>
      </c>
      <c r="CA50" s="3">
        <v>0</v>
      </c>
      <c r="CB50" s="3">
        <v>0</v>
      </c>
      <c r="CC50" s="3">
        <v>0</v>
      </c>
      <c r="CD50" s="3">
        <v>2</v>
      </c>
      <c r="CE50" s="3">
        <v>2</v>
      </c>
      <c r="CF50" s="3">
        <v>2</v>
      </c>
      <c r="CG50" s="3">
        <v>2</v>
      </c>
      <c r="CH50" s="3">
        <v>1</v>
      </c>
      <c r="CI50" s="1">
        <v>7</v>
      </c>
      <c r="CJ50" s="1">
        <v>7</v>
      </c>
      <c r="CK50" s="1">
        <v>7</v>
      </c>
      <c r="CL50" s="1">
        <v>7</v>
      </c>
      <c r="CM50" s="1">
        <v>5</v>
      </c>
      <c r="CN50" s="1">
        <v>6</v>
      </c>
      <c r="CO50" s="1">
        <v>7</v>
      </c>
      <c r="CP50" s="1">
        <v>2</v>
      </c>
      <c r="CQ50" s="1">
        <v>7</v>
      </c>
      <c r="CR50" s="1">
        <v>7</v>
      </c>
      <c r="CS50" s="1">
        <v>7</v>
      </c>
      <c r="CT50" s="1">
        <v>6</v>
      </c>
      <c r="CU50" s="1">
        <v>7</v>
      </c>
      <c r="CV50" s="1">
        <v>7</v>
      </c>
      <c r="CW50" s="1">
        <v>7</v>
      </c>
      <c r="CX50" s="1">
        <v>7</v>
      </c>
      <c r="CY50" s="1">
        <v>7</v>
      </c>
      <c r="CZ50" s="1">
        <v>7</v>
      </c>
      <c r="DA50" s="1">
        <v>7</v>
      </c>
      <c r="DB50" s="1">
        <v>7</v>
      </c>
      <c r="DC50" s="1">
        <v>5</v>
      </c>
      <c r="DD50" s="1">
        <v>6</v>
      </c>
      <c r="DE50" s="1">
        <v>7</v>
      </c>
      <c r="DF50" s="1">
        <v>2</v>
      </c>
      <c r="DG50" s="1">
        <v>2</v>
      </c>
      <c r="DH50" s="1">
        <v>2</v>
      </c>
      <c r="DI50" s="1">
        <v>3</v>
      </c>
      <c r="DJ50" s="1">
        <v>3</v>
      </c>
      <c r="DK50" s="1">
        <v>3</v>
      </c>
      <c r="DL50" s="1">
        <v>7</v>
      </c>
      <c r="DM50" s="19">
        <v>7</v>
      </c>
      <c r="DN50" s="19">
        <v>6</v>
      </c>
      <c r="DO50" s="1">
        <v>5</v>
      </c>
      <c r="DP50" s="1">
        <v>5</v>
      </c>
      <c r="DQ50" s="1">
        <v>7</v>
      </c>
      <c r="DR50" s="1">
        <v>7</v>
      </c>
      <c r="DS50" s="1">
        <v>7</v>
      </c>
      <c r="DT50" s="1">
        <v>7</v>
      </c>
      <c r="DU50" s="27">
        <v>6</v>
      </c>
      <c r="DV50" s="27">
        <v>7</v>
      </c>
      <c r="DW50" s="27">
        <v>1</v>
      </c>
      <c r="DX50" s="27">
        <v>4</v>
      </c>
      <c r="DY50" s="27">
        <v>4</v>
      </c>
      <c r="DZ50" s="27">
        <v>1</v>
      </c>
      <c r="EA50" s="27">
        <v>1</v>
      </c>
      <c r="EB50" s="27">
        <v>6</v>
      </c>
      <c r="EC50" s="27">
        <v>1</v>
      </c>
      <c r="ED50" s="27">
        <v>1</v>
      </c>
      <c r="EE50" s="27">
        <v>6</v>
      </c>
      <c r="EF50" s="27">
        <v>6</v>
      </c>
      <c r="EG50" s="27">
        <v>4</v>
      </c>
      <c r="EH50" s="27">
        <v>6</v>
      </c>
      <c r="EI50" s="27">
        <v>6</v>
      </c>
      <c r="EJ50" s="27">
        <v>4</v>
      </c>
      <c r="EK50" s="27">
        <v>6</v>
      </c>
      <c r="EL50" s="27">
        <v>6</v>
      </c>
      <c r="EM50" s="27">
        <v>1</v>
      </c>
      <c r="EN50" s="27">
        <v>1</v>
      </c>
      <c r="EO50" s="27">
        <v>6</v>
      </c>
      <c r="EP50" s="27">
        <v>6</v>
      </c>
      <c r="EQ50" s="27">
        <v>6</v>
      </c>
      <c r="ER50" s="27">
        <v>6</v>
      </c>
      <c r="ES50" s="27">
        <v>5</v>
      </c>
      <c r="ET50" s="27">
        <v>6</v>
      </c>
      <c r="EU50" s="27">
        <v>6</v>
      </c>
      <c r="EV50" s="1">
        <v>18</v>
      </c>
      <c r="EW50" s="1">
        <v>1</v>
      </c>
      <c r="EY50" s="1">
        <v>1</v>
      </c>
      <c r="EZ50" s="9"/>
      <c r="FA50" s="1">
        <v>1</v>
      </c>
      <c r="FB50" s="9" t="s">
        <v>809</v>
      </c>
      <c r="FC50" s="1">
        <v>0</v>
      </c>
      <c r="FD50" s="1">
        <v>9</v>
      </c>
      <c r="FE50" s="4">
        <v>6.61</v>
      </c>
      <c r="FF50" s="4">
        <v>6.81</v>
      </c>
      <c r="FG50" s="4">
        <v>8.5</v>
      </c>
      <c r="FH50" s="4">
        <v>7</v>
      </c>
      <c r="FI50" s="4">
        <v>6.38</v>
      </c>
      <c r="FJ50" s="23">
        <v>7</v>
      </c>
      <c r="FK50" s="4">
        <v>4.29</v>
      </c>
      <c r="FL50" s="4">
        <v>7</v>
      </c>
      <c r="FM50" s="4">
        <v>5.88</v>
      </c>
      <c r="FN50" s="4">
        <v>6.13</v>
      </c>
      <c r="FO50" s="4">
        <v>6.25</v>
      </c>
      <c r="FP50" s="4">
        <v>4.92</v>
      </c>
      <c r="FQ50" s="4">
        <v>4.75</v>
      </c>
      <c r="FR50" s="4">
        <v>1.5</v>
      </c>
      <c r="FS50" s="4">
        <v>4.5</v>
      </c>
      <c r="FT50" s="4">
        <v>5.25</v>
      </c>
      <c r="FU50" s="4">
        <v>2.5</v>
      </c>
      <c r="FV50" s="4">
        <v>5</v>
      </c>
      <c r="FW50" s="4">
        <v>5.25</v>
      </c>
      <c r="FX50" s="4">
        <v>5.75</v>
      </c>
      <c r="FY50" s="4">
        <v>6.75</v>
      </c>
      <c r="FZ50" s="4">
        <v>6.42</v>
      </c>
      <c r="GA50" s="4">
        <v>1.1299999999999999</v>
      </c>
      <c r="GB50" s="4">
        <v>6.25</v>
      </c>
      <c r="GC50" s="4">
        <v>6.63</v>
      </c>
      <c r="GD50" s="4">
        <v>4.25</v>
      </c>
      <c r="GE50" s="26"/>
      <c r="GF50" s="26"/>
      <c r="GG50" s="4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S50" s="3"/>
      <c r="HU50" s="3"/>
      <c r="HX50" s="3"/>
      <c r="IA50" s="3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3"/>
      <c r="JP50" s="3"/>
      <c r="JQ50" s="4"/>
      <c r="JR50" s="5"/>
      <c r="JS50" s="5"/>
      <c r="JT50" s="8"/>
      <c r="JU50" s="8"/>
      <c r="JV50" s="8"/>
      <c r="JW50" s="8"/>
      <c r="JX50" s="8"/>
      <c r="JY50" s="8"/>
      <c r="JZ50" s="8"/>
      <c r="KA50" s="8"/>
      <c r="KB50" s="8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</row>
    <row r="51" spans="1:374" s="1" customFormat="1" x14ac:dyDescent="0.35">
      <c r="A51" s="2">
        <v>43728</v>
      </c>
      <c r="B51" s="15" t="s">
        <v>101</v>
      </c>
      <c r="C51" s="15" t="s">
        <v>212</v>
      </c>
      <c r="D51" s="1">
        <v>50</v>
      </c>
      <c r="E51" s="3">
        <v>1</v>
      </c>
      <c r="F51" s="3">
        <v>4</v>
      </c>
      <c r="G51" s="3"/>
      <c r="H51" s="3">
        <v>13</v>
      </c>
      <c r="I51" s="3">
        <v>2</v>
      </c>
      <c r="J51" s="3"/>
      <c r="K51" s="18">
        <v>1</v>
      </c>
      <c r="L51" s="18">
        <v>1</v>
      </c>
      <c r="M51" s="18">
        <v>1</v>
      </c>
      <c r="N51" s="18">
        <v>1</v>
      </c>
      <c r="O51" s="18">
        <v>1</v>
      </c>
      <c r="P51" s="4">
        <v>1</v>
      </c>
      <c r="Q51" s="3">
        <v>32</v>
      </c>
      <c r="R51" s="3">
        <v>46</v>
      </c>
      <c r="S51" s="3">
        <v>48</v>
      </c>
      <c r="T51" s="3">
        <v>91</v>
      </c>
      <c r="U51" s="3">
        <v>110</v>
      </c>
      <c r="V51" s="3">
        <v>97</v>
      </c>
      <c r="W51" s="3">
        <v>42</v>
      </c>
      <c r="X51" s="3">
        <v>63</v>
      </c>
      <c r="Y51" s="3">
        <v>58</v>
      </c>
      <c r="Z51" s="3"/>
      <c r="AA51" s="3"/>
      <c r="AB51" s="3"/>
      <c r="AC51" s="3"/>
      <c r="AD51" s="3"/>
      <c r="AE51" s="3"/>
      <c r="AF51" s="3"/>
      <c r="AG51" s="3"/>
      <c r="AH51" s="3"/>
      <c r="AI51" s="4"/>
      <c r="AJ51" s="4"/>
      <c r="AK51" s="4"/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/>
      <c r="AY51"/>
      <c r="AZ51"/>
      <c r="BA51"/>
      <c r="BB51"/>
      <c r="BC51"/>
      <c r="BP51" s="4"/>
      <c r="BQ51" s="4"/>
      <c r="BR51" s="4"/>
      <c r="BS51" s="4"/>
      <c r="BT51" s="4"/>
      <c r="BU51" s="4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1">
        <v>7</v>
      </c>
      <c r="CJ51" s="1">
        <v>7</v>
      </c>
      <c r="CK51" s="1">
        <v>7</v>
      </c>
      <c r="CL51" s="1">
        <v>7</v>
      </c>
      <c r="CM51" s="1">
        <v>7</v>
      </c>
      <c r="CN51" s="1">
        <v>7</v>
      </c>
      <c r="CO51" s="1">
        <v>4</v>
      </c>
      <c r="CP51" s="1">
        <v>1</v>
      </c>
      <c r="CQ51" s="1">
        <v>7</v>
      </c>
      <c r="CR51" s="1">
        <v>7</v>
      </c>
      <c r="CS51" s="1">
        <v>7</v>
      </c>
      <c r="CT51" s="1">
        <v>7</v>
      </c>
      <c r="CU51" s="1">
        <v>7</v>
      </c>
      <c r="CV51" s="1">
        <v>7</v>
      </c>
      <c r="CW51" s="1">
        <v>7</v>
      </c>
      <c r="CX51" s="1">
        <v>7</v>
      </c>
      <c r="CY51" s="1">
        <v>7</v>
      </c>
      <c r="CZ51" s="1">
        <v>7</v>
      </c>
      <c r="DA51" s="1">
        <v>7</v>
      </c>
      <c r="DB51" s="1">
        <v>7</v>
      </c>
      <c r="DC51" s="1">
        <v>7</v>
      </c>
      <c r="DD51" s="1">
        <v>7</v>
      </c>
      <c r="DE51" s="1">
        <v>7</v>
      </c>
      <c r="DF51" s="1">
        <v>7</v>
      </c>
      <c r="DG51" s="1">
        <v>1</v>
      </c>
      <c r="DH51" s="1">
        <v>7</v>
      </c>
      <c r="DI51" s="1">
        <v>7</v>
      </c>
      <c r="DJ51" s="1">
        <v>7</v>
      </c>
      <c r="DK51" s="1">
        <v>6</v>
      </c>
      <c r="DL51" s="1">
        <v>7</v>
      </c>
      <c r="DM51" s="19">
        <v>7</v>
      </c>
      <c r="DN51" s="19">
        <v>7</v>
      </c>
      <c r="DO51" s="1">
        <v>7</v>
      </c>
      <c r="DP51" s="1">
        <v>5</v>
      </c>
      <c r="DQ51" s="1">
        <v>7</v>
      </c>
      <c r="DR51" s="1">
        <v>7</v>
      </c>
      <c r="DS51" s="1">
        <v>7</v>
      </c>
      <c r="DT51" s="1">
        <v>1</v>
      </c>
      <c r="DU51" s="27">
        <v>7</v>
      </c>
      <c r="DV51" s="27">
        <v>7</v>
      </c>
      <c r="DW51" s="27">
        <v>1</v>
      </c>
      <c r="DX51" s="27">
        <v>7</v>
      </c>
      <c r="DY51" s="27">
        <v>1</v>
      </c>
      <c r="DZ51" s="27">
        <v>1</v>
      </c>
      <c r="EA51" s="27">
        <v>1</v>
      </c>
      <c r="EB51" s="27">
        <v>5</v>
      </c>
      <c r="EC51" s="27">
        <v>7</v>
      </c>
      <c r="ED51" s="27">
        <v>1</v>
      </c>
      <c r="EE51" s="27">
        <v>5</v>
      </c>
      <c r="EF51" s="27">
        <v>5</v>
      </c>
      <c r="EG51" s="27">
        <v>7</v>
      </c>
      <c r="EH51" s="27">
        <v>7</v>
      </c>
      <c r="EI51" s="27">
        <v>7</v>
      </c>
      <c r="EJ51" s="27">
        <v>7</v>
      </c>
      <c r="EK51" s="27">
        <v>7</v>
      </c>
      <c r="EL51" s="27">
        <v>7</v>
      </c>
      <c r="EM51" s="27">
        <v>1</v>
      </c>
      <c r="EN51" s="27">
        <v>1</v>
      </c>
      <c r="EO51" s="27">
        <v>7</v>
      </c>
      <c r="EP51" s="27">
        <v>7</v>
      </c>
      <c r="EQ51" s="27">
        <v>7</v>
      </c>
      <c r="ER51" s="27">
        <v>7</v>
      </c>
      <c r="ES51" s="27">
        <v>7</v>
      </c>
      <c r="ET51" s="27">
        <v>4</v>
      </c>
      <c r="EU51" s="27">
        <v>4</v>
      </c>
      <c r="EV51" s="1">
        <v>19</v>
      </c>
      <c r="EW51" s="1">
        <v>2</v>
      </c>
      <c r="EY51" s="1">
        <v>2</v>
      </c>
      <c r="EZ51" s="9"/>
      <c r="FA51" s="1">
        <v>2</v>
      </c>
      <c r="FB51" s="9" t="s">
        <v>811</v>
      </c>
      <c r="FC51" s="1">
        <v>1</v>
      </c>
      <c r="FD51" s="1">
        <v>2</v>
      </c>
      <c r="FE51" s="4"/>
      <c r="FF51" s="4"/>
      <c r="FG51" s="4"/>
      <c r="FH51" s="4"/>
      <c r="FI51" s="4"/>
      <c r="FJ51" s="23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26"/>
      <c r="GF51" s="26"/>
      <c r="GG51" s="4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S51" s="3"/>
      <c r="HU51" s="3"/>
      <c r="HX51" s="3"/>
      <c r="IA51" s="3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6"/>
      <c r="JP51" s="6"/>
      <c r="JQ51" s="6"/>
      <c r="JR51" s="6"/>
      <c r="JS51" s="6"/>
      <c r="JT51" s="8"/>
      <c r="JU51" s="8"/>
      <c r="JV51" s="8"/>
      <c r="JW51" s="8"/>
      <c r="JX51" s="8"/>
      <c r="JY51" s="8"/>
      <c r="JZ51" s="8"/>
      <c r="KA51" s="8"/>
      <c r="KB51" s="8"/>
      <c r="KC51" s="6"/>
      <c r="KD51" s="6"/>
      <c r="KE51" s="6"/>
      <c r="KF51" s="6"/>
      <c r="KG51" s="6"/>
      <c r="KH51" s="6"/>
      <c r="KI51" s="6"/>
      <c r="KJ51" s="6"/>
      <c r="KK51" s="6"/>
      <c r="KL51" s="4"/>
      <c r="KM51" s="4"/>
      <c r="KN51" s="6"/>
      <c r="KO51" s="4"/>
      <c r="KP51" s="4"/>
      <c r="KQ51" s="6"/>
      <c r="KR51" s="6"/>
      <c r="KS51" s="4"/>
      <c r="KU51" s="4"/>
      <c r="KV51" s="4"/>
      <c r="KW51" s="4"/>
      <c r="KX51" s="6"/>
      <c r="KY51" s="6"/>
      <c r="KZ51" s="6"/>
      <c r="LA51" s="4"/>
      <c r="LB51" s="6"/>
      <c r="LC51" s="6"/>
      <c r="LD51" s="4"/>
      <c r="LE51" s="4"/>
      <c r="LF51" s="6"/>
      <c r="LG51" s="6"/>
      <c r="LH51" s="6"/>
      <c r="LI51" s="6"/>
      <c r="LJ51" s="6"/>
      <c r="LK51" s="6"/>
      <c r="LL51" s="6"/>
      <c r="LM51" s="6"/>
      <c r="LN51" s="6"/>
      <c r="LO51" s="6"/>
      <c r="LP51" s="6"/>
      <c r="LQ51" s="6"/>
      <c r="LR51" s="6"/>
      <c r="LS51" s="6"/>
      <c r="LT51" s="6"/>
      <c r="LU51" s="6"/>
      <c r="LV51" s="6"/>
      <c r="LW51" s="6"/>
      <c r="LX51" s="6"/>
      <c r="LY51" s="6"/>
      <c r="LZ51" s="6"/>
      <c r="MA51" s="6"/>
      <c r="MB51" s="6"/>
      <c r="MC51" s="6"/>
      <c r="MD51" s="6"/>
      <c r="ME51" s="6"/>
      <c r="MF51" s="6"/>
      <c r="MG51" s="6"/>
      <c r="MH51" s="6"/>
      <c r="MI51" s="6"/>
      <c r="MJ51" s="6"/>
      <c r="MK51" s="6"/>
      <c r="ML51" s="6"/>
      <c r="MM51" s="6"/>
      <c r="MN51" s="6"/>
      <c r="MO51" s="6"/>
      <c r="MP51" s="6"/>
      <c r="MQ51" s="6"/>
      <c r="MR51" s="6"/>
      <c r="MS51" s="6"/>
      <c r="MT51" s="6"/>
      <c r="MU51" s="6"/>
      <c r="MV51" s="6"/>
      <c r="MW51" s="6"/>
      <c r="MX51" s="6"/>
      <c r="MY51" s="6"/>
      <c r="MZ51" s="6"/>
      <c r="NA51" s="6"/>
      <c r="NB51" s="6"/>
      <c r="NC51" s="6"/>
      <c r="ND51" s="6"/>
      <c r="NE51" s="6"/>
      <c r="NF51" s="6"/>
      <c r="NG51" s="6"/>
      <c r="NH51" s="6"/>
      <c r="NI51" s="6"/>
      <c r="NJ51" s="4"/>
    </row>
    <row r="52" spans="1:374" s="1" customFormat="1" x14ac:dyDescent="0.35">
      <c r="A52" s="2">
        <v>43728</v>
      </c>
      <c r="B52" s="15" t="s">
        <v>101</v>
      </c>
      <c r="C52" s="15" t="s">
        <v>213</v>
      </c>
      <c r="D52" s="1">
        <v>51</v>
      </c>
      <c r="E52" s="3">
        <v>1</v>
      </c>
      <c r="F52" s="3">
        <v>4</v>
      </c>
      <c r="G52" s="3"/>
      <c r="H52" s="3">
        <v>13</v>
      </c>
      <c r="I52" s="3">
        <v>3</v>
      </c>
      <c r="J52" s="3"/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4">
        <v>1</v>
      </c>
      <c r="Q52" s="3">
        <v>73</v>
      </c>
      <c r="R52" s="3">
        <v>54</v>
      </c>
      <c r="S52" s="3">
        <v>43</v>
      </c>
      <c r="T52" s="3">
        <v>96</v>
      </c>
      <c r="U52" s="3">
        <v>89</v>
      </c>
      <c r="V52" s="3">
        <v>99</v>
      </c>
      <c r="W52" s="3">
        <v>40</v>
      </c>
      <c r="X52" s="3">
        <v>35</v>
      </c>
      <c r="Y52" s="3">
        <v>36</v>
      </c>
      <c r="Z52" s="3"/>
      <c r="AA52" s="3"/>
      <c r="AB52" s="3"/>
      <c r="AC52" s="3"/>
      <c r="AD52" s="3"/>
      <c r="AE52" s="3"/>
      <c r="AF52" s="3"/>
      <c r="AG52" s="3"/>
      <c r="AH52" s="3"/>
      <c r="AI52" s="4"/>
      <c r="AJ52" s="4"/>
      <c r="AK52" s="4"/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1</v>
      </c>
      <c r="AR52" s="1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/>
      <c r="AY52"/>
      <c r="AZ52"/>
      <c r="BA52"/>
      <c r="BB52"/>
      <c r="BC52"/>
      <c r="BP52" s="4"/>
      <c r="BQ52" s="4"/>
      <c r="BR52" s="4"/>
      <c r="BS52" s="4"/>
      <c r="BT52" s="4"/>
      <c r="BU52" s="4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1">
        <v>7</v>
      </c>
      <c r="CJ52" s="1">
        <v>7</v>
      </c>
      <c r="CK52" s="1">
        <v>7</v>
      </c>
      <c r="CL52" s="1">
        <v>5</v>
      </c>
      <c r="CM52" s="1">
        <v>6</v>
      </c>
      <c r="CN52" s="1">
        <v>7</v>
      </c>
      <c r="CO52" s="1">
        <v>6</v>
      </c>
      <c r="CP52" s="1">
        <v>2</v>
      </c>
      <c r="CQ52" s="1">
        <v>7</v>
      </c>
      <c r="CR52" s="1">
        <v>7</v>
      </c>
      <c r="CS52" s="1">
        <v>7</v>
      </c>
      <c r="CT52" s="1">
        <v>6</v>
      </c>
      <c r="CU52" s="1">
        <v>7</v>
      </c>
      <c r="CV52" s="1">
        <v>6</v>
      </c>
      <c r="CW52" s="1">
        <v>6</v>
      </c>
      <c r="CX52" s="1">
        <v>6</v>
      </c>
      <c r="CY52" s="1">
        <v>6</v>
      </c>
      <c r="CZ52" s="1">
        <v>7</v>
      </c>
      <c r="DA52" s="1">
        <v>7</v>
      </c>
      <c r="DB52" s="1">
        <v>7</v>
      </c>
      <c r="DC52" s="1">
        <v>6</v>
      </c>
      <c r="DD52" s="1">
        <v>6</v>
      </c>
      <c r="DE52" s="1">
        <v>7</v>
      </c>
      <c r="DF52" s="1">
        <v>5</v>
      </c>
      <c r="DG52" s="1">
        <v>3</v>
      </c>
      <c r="DH52" s="1">
        <v>7</v>
      </c>
      <c r="DI52" s="1">
        <v>6</v>
      </c>
      <c r="DJ52" s="1">
        <v>5</v>
      </c>
      <c r="DK52" s="1">
        <v>6</v>
      </c>
      <c r="DL52" s="1">
        <v>7</v>
      </c>
      <c r="DM52" s="19">
        <v>7</v>
      </c>
      <c r="DN52" s="19">
        <v>5</v>
      </c>
      <c r="DO52" s="1">
        <v>5</v>
      </c>
      <c r="DP52" s="1">
        <v>5</v>
      </c>
      <c r="DQ52" s="1">
        <v>6</v>
      </c>
      <c r="DR52" s="1">
        <v>6</v>
      </c>
      <c r="DS52" s="1">
        <v>7</v>
      </c>
      <c r="DT52" s="1">
        <v>6</v>
      </c>
      <c r="DU52" s="27">
        <v>5</v>
      </c>
      <c r="DV52" s="27">
        <v>3</v>
      </c>
      <c r="DW52" s="27">
        <v>3</v>
      </c>
      <c r="DX52" s="27">
        <v>5</v>
      </c>
      <c r="DY52" s="27">
        <v>5</v>
      </c>
      <c r="DZ52" s="27">
        <v>3</v>
      </c>
      <c r="EA52" s="27">
        <v>3</v>
      </c>
      <c r="EB52" s="27">
        <v>5</v>
      </c>
      <c r="EC52" s="27">
        <v>6</v>
      </c>
      <c r="ED52" s="27">
        <v>6</v>
      </c>
      <c r="EE52" s="27">
        <v>3</v>
      </c>
      <c r="EF52" s="27">
        <v>5</v>
      </c>
      <c r="EG52" s="27">
        <v>5</v>
      </c>
      <c r="EH52" s="27">
        <v>7</v>
      </c>
      <c r="EI52" s="27">
        <v>7</v>
      </c>
      <c r="EJ52" s="27">
        <v>7</v>
      </c>
      <c r="EK52" s="27">
        <v>6</v>
      </c>
      <c r="EL52" s="27">
        <v>6</v>
      </c>
      <c r="EM52" s="27">
        <v>1</v>
      </c>
      <c r="EN52" s="27">
        <v>2</v>
      </c>
      <c r="EO52" s="27">
        <v>6</v>
      </c>
      <c r="EP52" s="27">
        <v>6</v>
      </c>
      <c r="EQ52" s="27">
        <v>6</v>
      </c>
      <c r="ER52" s="27">
        <v>7</v>
      </c>
      <c r="ES52" s="27">
        <v>7</v>
      </c>
      <c r="ET52" s="27">
        <v>3</v>
      </c>
      <c r="EU52" s="27">
        <v>3</v>
      </c>
      <c r="EV52" s="1">
        <v>18</v>
      </c>
      <c r="EW52" s="1">
        <v>1</v>
      </c>
      <c r="EY52" s="1">
        <v>1</v>
      </c>
      <c r="EZ52" s="9"/>
      <c r="FA52" s="1">
        <v>1</v>
      </c>
      <c r="FB52" s="9" t="s">
        <v>812</v>
      </c>
      <c r="FC52" s="1">
        <v>1</v>
      </c>
      <c r="FD52" s="1">
        <v>6</v>
      </c>
      <c r="FE52" s="4"/>
      <c r="FF52" s="4"/>
      <c r="FG52" s="4"/>
      <c r="FH52" s="4"/>
      <c r="FI52" s="4"/>
      <c r="FJ52" s="23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26"/>
      <c r="GF52" s="26"/>
      <c r="GG52" s="4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S52" s="3"/>
      <c r="HU52" s="3"/>
      <c r="HX52" s="3"/>
      <c r="IA52" s="3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6"/>
      <c r="JP52" s="6"/>
      <c r="JQ52" s="6"/>
      <c r="JR52" s="6"/>
      <c r="JS52" s="6"/>
      <c r="JT52" s="8"/>
      <c r="JU52" s="8"/>
      <c r="JV52" s="8"/>
      <c r="JW52" s="8"/>
      <c r="JX52" s="8"/>
      <c r="JY52" s="8"/>
      <c r="JZ52" s="8"/>
      <c r="KA52" s="8"/>
      <c r="KB52" s="8"/>
      <c r="KC52" s="6"/>
      <c r="KD52" s="6"/>
      <c r="KE52" s="6"/>
      <c r="KF52" s="6"/>
      <c r="KG52" s="6"/>
      <c r="KH52" s="6"/>
      <c r="KI52" s="6"/>
      <c r="KJ52" s="6"/>
      <c r="KK52" s="6"/>
      <c r="KL52" s="4"/>
      <c r="KM52" s="4"/>
      <c r="KN52" s="6"/>
      <c r="KO52" s="4"/>
      <c r="KP52" s="4"/>
      <c r="KQ52" s="6"/>
      <c r="KR52" s="6"/>
      <c r="KS52" s="4"/>
      <c r="KU52" s="4"/>
      <c r="KV52" s="4"/>
      <c r="KW52" s="4"/>
      <c r="KX52" s="6"/>
      <c r="KY52" s="6"/>
      <c r="KZ52" s="6"/>
      <c r="LA52" s="4"/>
      <c r="LB52" s="6"/>
      <c r="LC52" s="6"/>
      <c r="LD52" s="4"/>
      <c r="LE52" s="4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4"/>
    </row>
    <row r="53" spans="1:374" s="1" customFormat="1" x14ac:dyDescent="0.35">
      <c r="A53" s="2">
        <v>43728</v>
      </c>
      <c r="B53" s="15" t="s">
        <v>101</v>
      </c>
      <c r="C53" s="15" t="s">
        <v>214</v>
      </c>
      <c r="D53" s="1">
        <v>52</v>
      </c>
      <c r="E53" s="3">
        <v>1</v>
      </c>
      <c r="F53" s="3">
        <v>4</v>
      </c>
      <c r="G53" s="3"/>
      <c r="H53" s="3">
        <v>13</v>
      </c>
      <c r="I53" s="3">
        <v>4</v>
      </c>
      <c r="J53" s="3"/>
      <c r="K53" s="18">
        <v>1</v>
      </c>
      <c r="L53" s="18">
        <v>1</v>
      </c>
      <c r="M53" s="18">
        <v>1</v>
      </c>
      <c r="N53" s="18">
        <v>1</v>
      </c>
      <c r="O53" s="18">
        <v>0</v>
      </c>
      <c r="P53" s="4">
        <v>0.8</v>
      </c>
      <c r="Q53" s="3">
        <v>45</v>
      </c>
      <c r="R53" s="3">
        <v>56</v>
      </c>
      <c r="S53" s="3">
        <v>76</v>
      </c>
      <c r="T53" s="3">
        <v>91</v>
      </c>
      <c r="U53" s="3">
        <v>105</v>
      </c>
      <c r="V53" s="3">
        <v>69</v>
      </c>
      <c r="W53" s="3">
        <v>63</v>
      </c>
      <c r="X53" s="3">
        <v>54</v>
      </c>
      <c r="Y53" s="3">
        <v>58</v>
      </c>
      <c r="Z53" s="3"/>
      <c r="AA53" s="3"/>
      <c r="AB53" s="3"/>
      <c r="AC53" s="3"/>
      <c r="AD53" s="3"/>
      <c r="AE53" s="3"/>
      <c r="AF53" s="3"/>
      <c r="AG53" s="3"/>
      <c r="AH53" s="3"/>
      <c r="AI53" s="4"/>
      <c r="AJ53" s="4"/>
      <c r="AK53" s="4"/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/>
      <c r="AY53"/>
      <c r="AZ53"/>
      <c r="BA53"/>
      <c r="BB53"/>
      <c r="BC53"/>
      <c r="BP53" s="4"/>
      <c r="BQ53" s="4"/>
      <c r="BR53" s="4"/>
      <c r="BS53" s="4"/>
      <c r="BT53" s="4"/>
      <c r="BU53" s="4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1">
        <v>7</v>
      </c>
      <c r="CJ53" s="1">
        <v>7</v>
      </c>
      <c r="CK53" s="1">
        <v>7</v>
      </c>
      <c r="CL53" s="1">
        <v>7</v>
      </c>
      <c r="CM53" s="1">
        <v>6</v>
      </c>
      <c r="CN53" s="1">
        <v>7</v>
      </c>
      <c r="CO53" s="1">
        <v>7</v>
      </c>
      <c r="CP53" s="1">
        <v>2</v>
      </c>
      <c r="CQ53" s="1">
        <v>7</v>
      </c>
      <c r="CR53" s="1">
        <v>7</v>
      </c>
      <c r="CS53" s="1">
        <v>7</v>
      </c>
      <c r="CT53" s="1">
        <v>6</v>
      </c>
      <c r="CU53" s="1">
        <v>7</v>
      </c>
      <c r="CV53" s="1">
        <v>7</v>
      </c>
      <c r="CW53" s="1">
        <v>7</v>
      </c>
      <c r="CX53" s="1">
        <v>7</v>
      </c>
      <c r="CY53" s="1">
        <v>7</v>
      </c>
      <c r="CZ53" s="1">
        <v>7</v>
      </c>
      <c r="DA53" s="1">
        <v>7</v>
      </c>
      <c r="DB53" s="1">
        <v>7</v>
      </c>
      <c r="DC53" s="1">
        <v>7</v>
      </c>
      <c r="DD53" s="1">
        <v>7</v>
      </c>
      <c r="DE53" s="1">
        <v>7</v>
      </c>
      <c r="DF53" s="1">
        <v>3</v>
      </c>
      <c r="DG53" s="1">
        <v>2</v>
      </c>
      <c r="DH53" s="1">
        <v>6</v>
      </c>
      <c r="DI53" s="1">
        <v>5</v>
      </c>
      <c r="DJ53" s="1">
        <v>2</v>
      </c>
      <c r="DK53" s="1">
        <v>3</v>
      </c>
      <c r="DL53" s="1">
        <v>7</v>
      </c>
      <c r="DM53" s="19">
        <v>7</v>
      </c>
      <c r="DN53" s="19">
        <v>5</v>
      </c>
      <c r="DO53" s="1">
        <v>7</v>
      </c>
      <c r="DP53" s="1">
        <v>7</v>
      </c>
      <c r="DQ53" s="1">
        <v>7</v>
      </c>
      <c r="DR53" s="1">
        <v>6</v>
      </c>
      <c r="DS53" s="1">
        <v>7</v>
      </c>
      <c r="DT53" s="1">
        <v>7</v>
      </c>
      <c r="DU53" s="27">
        <v>7</v>
      </c>
      <c r="DV53" s="27">
        <v>7</v>
      </c>
      <c r="DW53" s="27">
        <v>5</v>
      </c>
      <c r="DX53" s="27">
        <v>6</v>
      </c>
      <c r="DY53" s="27">
        <v>6</v>
      </c>
      <c r="DZ53" s="27">
        <v>1</v>
      </c>
      <c r="EA53" s="27">
        <v>1</v>
      </c>
      <c r="EB53" s="27">
        <v>2</v>
      </c>
      <c r="EC53" s="27">
        <v>7</v>
      </c>
      <c r="ED53" s="27">
        <v>2</v>
      </c>
      <c r="EE53" s="27">
        <v>6</v>
      </c>
      <c r="EF53" s="27">
        <v>5</v>
      </c>
      <c r="EG53" s="27">
        <v>7</v>
      </c>
      <c r="EH53" s="27">
        <v>7</v>
      </c>
      <c r="EI53" s="27">
        <v>7</v>
      </c>
      <c r="EJ53" s="27">
        <v>7</v>
      </c>
      <c r="EK53" s="27">
        <v>7</v>
      </c>
      <c r="EL53" s="27">
        <v>7</v>
      </c>
      <c r="EM53" s="27">
        <v>1</v>
      </c>
      <c r="EN53" s="27">
        <v>1</v>
      </c>
      <c r="EO53" s="27">
        <v>7</v>
      </c>
      <c r="EP53" s="27">
        <v>7</v>
      </c>
      <c r="EQ53" s="27">
        <v>4</v>
      </c>
      <c r="ER53" s="27">
        <v>7</v>
      </c>
      <c r="ES53" s="27">
        <v>7</v>
      </c>
      <c r="ET53" s="27">
        <v>4</v>
      </c>
      <c r="EU53" s="27">
        <v>4</v>
      </c>
      <c r="EV53" s="1">
        <v>18</v>
      </c>
      <c r="EW53" s="1">
        <v>1</v>
      </c>
      <c r="EY53" s="1">
        <v>1</v>
      </c>
      <c r="EZ53" s="9"/>
      <c r="FA53" s="1">
        <v>1</v>
      </c>
      <c r="FB53" s="9" t="s">
        <v>813</v>
      </c>
      <c r="FC53" s="1">
        <v>0</v>
      </c>
      <c r="FD53" s="1">
        <v>4</v>
      </c>
      <c r="FE53" s="4"/>
      <c r="FF53" s="4"/>
      <c r="FG53" s="4"/>
      <c r="FH53" s="4"/>
      <c r="FI53" s="4"/>
      <c r="FJ53" s="23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26"/>
      <c r="GF53" s="26"/>
      <c r="GG53" s="4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S53" s="3"/>
      <c r="HU53" s="3"/>
      <c r="HX53" s="3"/>
      <c r="IA53" s="3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6"/>
      <c r="JP53" s="6"/>
      <c r="JQ53" s="6"/>
      <c r="JR53" s="6"/>
      <c r="JS53" s="6"/>
      <c r="JT53" s="8"/>
      <c r="JU53" s="8"/>
      <c r="JV53" s="8"/>
      <c r="JW53" s="8"/>
      <c r="JX53" s="8"/>
      <c r="JY53" s="8"/>
      <c r="JZ53" s="8"/>
      <c r="KA53" s="8"/>
      <c r="KB53" s="8"/>
      <c r="KC53" s="6"/>
      <c r="KD53" s="6"/>
      <c r="KE53" s="6"/>
      <c r="KF53" s="6"/>
      <c r="KG53" s="6"/>
      <c r="KH53" s="6"/>
      <c r="KI53" s="6"/>
      <c r="KJ53" s="6"/>
      <c r="KK53" s="6"/>
      <c r="KL53" s="4"/>
      <c r="KM53" s="4"/>
      <c r="KN53" s="6"/>
      <c r="KO53" s="4"/>
      <c r="KP53" s="4"/>
      <c r="KQ53" s="6"/>
      <c r="KR53" s="6"/>
      <c r="KS53" s="4"/>
      <c r="KU53" s="4"/>
      <c r="KV53" s="4"/>
      <c r="KW53" s="4"/>
      <c r="KX53" s="6"/>
      <c r="KY53" s="6"/>
      <c r="KZ53" s="6"/>
      <c r="LA53" s="4"/>
      <c r="LB53" s="6"/>
      <c r="LC53" s="6"/>
      <c r="LD53" s="4"/>
      <c r="LE53" s="4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4"/>
    </row>
    <row r="54" spans="1:374" s="1" customFormat="1" x14ac:dyDescent="0.35">
      <c r="A54" s="2">
        <v>43728</v>
      </c>
      <c r="B54" s="15" t="s">
        <v>102</v>
      </c>
      <c r="C54" s="15" t="s">
        <v>215</v>
      </c>
      <c r="D54" s="1">
        <v>53</v>
      </c>
      <c r="E54" s="3">
        <v>1</v>
      </c>
      <c r="F54" s="3">
        <v>4</v>
      </c>
      <c r="G54" s="3">
        <v>1</v>
      </c>
      <c r="H54" s="3">
        <v>14</v>
      </c>
      <c r="I54" s="3">
        <v>1</v>
      </c>
      <c r="J54" s="3">
        <v>1</v>
      </c>
      <c r="K54" s="18">
        <v>1</v>
      </c>
      <c r="L54" s="18">
        <v>1</v>
      </c>
      <c r="M54" s="18">
        <v>1</v>
      </c>
      <c r="N54" s="18">
        <v>1</v>
      </c>
      <c r="O54" s="18">
        <v>0</v>
      </c>
      <c r="P54" s="4">
        <v>0.8</v>
      </c>
      <c r="Q54" s="3">
        <v>21</v>
      </c>
      <c r="R54" s="3">
        <v>60</v>
      </c>
      <c r="S54" s="3">
        <v>60</v>
      </c>
      <c r="T54" s="3">
        <v>80</v>
      </c>
      <c r="U54" s="3">
        <v>101</v>
      </c>
      <c r="V54" s="3">
        <v>88</v>
      </c>
      <c r="W54" s="3">
        <v>97</v>
      </c>
      <c r="X54" s="3">
        <v>88</v>
      </c>
      <c r="Y54" s="3">
        <v>105</v>
      </c>
      <c r="Z54" s="3">
        <v>218</v>
      </c>
      <c r="AA54" s="3">
        <v>196</v>
      </c>
      <c r="AB54" s="3">
        <v>218</v>
      </c>
      <c r="AC54" s="3">
        <v>332</v>
      </c>
      <c r="AD54" s="3">
        <v>384</v>
      </c>
      <c r="AE54" s="3">
        <v>389</v>
      </c>
      <c r="AF54" s="3">
        <v>378</v>
      </c>
      <c r="AG54" s="3">
        <v>396</v>
      </c>
      <c r="AH54" s="3">
        <v>432</v>
      </c>
      <c r="AI54" s="4">
        <v>210.67</v>
      </c>
      <c r="AJ54" s="4">
        <v>368.33</v>
      </c>
      <c r="AK54" s="4">
        <v>402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f t="shared" ref="AX54:BC54" si="26">AL54+AL55+AL56+AL57</f>
        <v>0</v>
      </c>
      <c r="AY54" s="19">
        <f t="shared" si="26"/>
        <v>0</v>
      </c>
      <c r="AZ54" s="19">
        <f t="shared" si="26"/>
        <v>0</v>
      </c>
      <c r="BA54" s="19">
        <f t="shared" si="26"/>
        <v>0</v>
      </c>
      <c r="BB54" s="19">
        <f t="shared" si="26"/>
        <v>0</v>
      </c>
      <c r="BC54" s="19">
        <f t="shared" si="26"/>
        <v>0</v>
      </c>
      <c r="BD54" s="1">
        <f>AX54*3</f>
        <v>0</v>
      </c>
      <c r="BE54" s="1">
        <f t="shared" ref="BE54:BI54" si="27">AY54*3</f>
        <v>0</v>
      </c>
      <c r="BF54" s="1">
        <f t="shared" si="27"/>
        <v>0</v>
      </c>
      <c r="BG54" s="1">
        <f t="shared" si="27"/>
        <v>0</v>
      </c>
      <c r="BH54" s="1">
        <f t="shared" si="27"/>
        <v>0</v>
      </c>
      <c r="BI54" s="1">
        <f t="shared" si="27"/>
        <v>0</v>
      </c>
      <c r="BJ54" s="1">
        <f>AX54+AY54+AZ54</f>
        <v>0</v>
      </c>
      <c r="BK54" s="1">
        <f>BA54+BB54+BC54</f>
        <v>0</v>
      </c>
      <c r="BL54" s="1">
        <f>BJ54*3</f>
        <v>0</v>
      </c>
      <c r="BM54" s="1">
        <f>BK54*3</f>
        <v>0</v>
      </c>
      <c r="BN54" s="1">
        <f>BL54/3</f>
        <v>0</v>
      </c>
      <c r="BO54" s="1">
        <f>BM54/3</f>
        <v>0</v>
      </c>
      <c r="BP54" s="4">
        <v>210.66666666666666</v>
      </c>
      <c r="BQ54" s="4">
        <v>368.33333333333331</v>
      </c>
      <c r="BR54" s="4">
        <v>402</v>
      </c>
      <c r="BS54" s="4">
        <v>368.33</v>
      </c>
      <c r="BT54" s="4">
        <v>402</v>
      </c>
      <c r="BU54" s="4">
        <v>4</v>
      </c>
      <c r="BV54" s="3">
        <v>4</v>
      </c>
      <c r="BW54" s="3">
        <v>4</v>
      </c>
      <c r="BX54" s="3">
        <v>4</v>
      </c>
      <c r="BY54" s="3">
        <v>4</v>
      </c>
      <c r="BZ54" s="3">
        <v>0</v>
      </c>
      <c r="CA54" s="3">
        <v>0</v>
      </c>
      <c r="CB54" s="3">
        <v>0</v>
      </c>
      <c r="CC54" s="3">
        <v>0</v>
      </c>
      <c r="CD54" s="3">
        <v>1</v>
      </c>
      <c r="CE54" s="3">
        <v>1</v>
      </c>
      <c r="CF54" s="3">
        <v>1</v>
      </c>
      <c r="CG54" s="3">
        <v>1</v>
      </c>
      <c r="CH54" s="3">
        <v>0</v>
      </c>
      <c r="CI54" s="1">
        <v>7</v>
      </c>
      <c r="CJ54" s="1">
        <v>7</v>
      </c>
      <c r="CK54" s="1">
        <v>7</v>
      </c>
      <c r="CL54" s="1">
        <v>6</v>
      </c>
      <c r="CM54" s="1">
        <v>6</v>
      </c>
      <c r="CN54" s="1">
        <v>2</v>
      </c>
      <c r="CO54" s="1">
        <v>7</v>
      </c>
      <c r="CP54" s="1">
        <v>1</v>
      </c>
      <c r="CQ54" s="1">
        <v>7</v>
      </c>
      <c r="CR54" s="1">
        <v>7</v>
      </c>
      <c r="CS54" s="1">
        <v>7</v>
      </c>
      <c r="CT54" s="1">
        <v>7</v>
      </c>
      <c r="CU54" s="1">
        <v>7</v>
      </c>
      <c r="CV54" s="1">
        <v>7</v>
      </c>
      <c r="CW54" s="1">
        <v>7</v>
      </c>
      <c r="CX54" s="1">
        <v>7</v>
      </c>
      <c r="CY54" s="1">
        <v>7</v>
      </c>
      <c r="CZ54" s="1">
        <v>7</v>
      </c>
      <c r="DA54" s="1">
        <v>7</v>
      </c>
      <c r="DB54" s="1">
        <v>7</v>
      </c>
      <c r="DC54" s="1">
        <v>7</v>
      </c>
      <c r="DD54" s="1">
        <v>7</v>
      </c>
      <c r="DE54" s="1">
        <v>7</v>
      </c>
      <c r="DF54" s="1">
        <v>6</v>
      </c>
      <c r="DG54" s="1">
        <v>2</v>
      </c>
      <c r="DH54" s="1">
        <v>6</v>
      </c>
      <c r="DI54" s="1">
        <v>6</v>
      </c>
      <c r="DJ54" s="1">
        <v>2</v>
      </c>
      <c r="DK54" s="1">
        <v>3</v>
      </c>
      <c r="DL54" s="1">
        <v>7</v>
      </c>
      <c r="DM54" s="19">
        <v>7</v>
      </c>
      <c r="DN54" s="19">
        <v>6</v>
      </c>
      <c r="DO54" s="1">
        <v>2</v>
      </c>
      <c r="DP54" s="1">
        <v>7</v>
      </c>
      <c r="DQ54" s="1">
        <v>4</v>
      </c>
      <c r="DR54" s="1">
        <v>7</v>
      </c>
      <c r="DS54" s="1">
        <v>7</v>
      </c>
      <c r="DT54" s="1">
        <v>7</v>
      </c>
      <c r="DU54" s="27">
        <v>7</v>
      </c>
      <c r="DV54" s="27">
        <v>7</v>
      </c>
      <c r="DW54" s="27">
        <v>2</v>
      </c>
      <c r="DX54" s="27">
        <v>4</v>
      </c>
      <c r="DY54" s="27">
        <v>4</v>
      </c>
      <c r="DZ54" s="27">
        <v>2</v>
      </c>
      <c r="EA54" s="27">
        <v>1</v>
      </c>
      <c r="EB54" s="27">
        <v>2</v>
      </c>
      <c r="EC54" s="27">
        <v>7</v>
      </c>
      <c r="ED54" s="27">
        <v>7</v>
      </c>
      <c r="EE54" s="27">
        <v>7</v>
      </c>
      <c r="EF54" s="27">
        <v>7</v>
      </c>
      <c r="EG54" s="27">
        <v>6</v>
      </c>
      <c r="EH54" s="27">
        <v>4</v>
      </c>
      <c r="EI54" s="27">
        <v>4</v>
      </c>
      <c r="EJ54" s="27">
        <v>4</v>
      </c>
      <c r="EK54" s="27">
        <v>4</v>
      </c>
      <c r="EL54" s="27">
        <v>4</v>
      </c>
      <c r="EM54" s="27">
        <v>1</v>
      </c>
      <c r="EN54" s="27">
        <v>4</v>
      </c>
      <c r="EO54" s="27">
        <v>7</v>
      </c>
      <c r="EP54" s="27">
        <v>7</v>
      </c>
      <c r="EQ54" s="27">
        <v>7</v>
      </c>
      <c r="ER54" s="27">
        <v>4</v>
      </c>
      <c r="ES54" s="27">
        <v>4</v>
      </c>
      <c r="ET54" s="27">
        <v>4</v>
      </c>
      <c r="EU54" s="27">
        <v>4</v>
      </c>
      <c r="EV54" s="1">
        <v>20</v>
      </c>
      <c r="EW54" s="1">
        <v>1</v>
      </c>
      <c r="EY54" s="1">
        <v>2</v>
      </c>
      <c r="EZ54" s="9"/>
      <c r="FA54" s="1">
        <v>3</v>
      </c>
      <c r="FB54" s="9" t="s">
        <v>814</v>
      </c>
      <c r="FC54" s="1">
        <v>1</v>
      </c>
      <c r="FD54" s="1">
        <v>3</v>
      </c>
      <c r="FE54" s="4">
        <v>6.43</v>
      </c>
      <c r="FF54" s="4">
        <v>6.75</v>
      </c>
      <c r="FG54" s="4">
        <v>7.81</v>
      </c>
      <c r="FH54" s="4">
        <v>6.75</v>
      </c>
      <c r="FI54" s="4">
        <v>6.63</v>
      </c>
      <c r="FJ54" s="23">
        <v>6.75</v>
      </c>
      <c r="FK54" s="4">
        <v>4.04</v>
      </c>
      <c r="FL54" s="4">
        <v>7</v>
      </c>
      <c r="FM54" s="4">
        <v>3.75</v>
      </c>
      <c r="FN54" s="4">
        <v>5.5</v>
      </c>
      <c r="FO54" s="4">
        <v>6.08</v>
      </c>
      <c r="FP54" s="4">
        <v>5.67</v>
      </c>
      <c r="FQ54" s="4">
        <v>3.25</v>
      </c>
      <c r="FR54" s="4">
        <v>1.75</v>
      </c>
      <c r="FS54" s="4">
        <v>4.75</v>
      </c>
      <c r="FT54" s="4">
        <v>4.75</v>
      </c>
      <c r="FU54" s="4">
        <v>4.75</v>
      </c>
      <c r="FV54" s="4">
        <v>6.25</v>
      </c>
      <c r="FW54" s="4">
        <v>6.25</v>
      </c>
      <c r="FX54" s="4">
        <v>5.5</v>
      </c>
      <c r="FY54" s="4">
        <v>6</v>
      </c>
      <c r="FZ54" s="4">
        <v>5</v>
      </c>
      <c r="GA54" s="4">
        <v>2.13</v>
      </c>
      <c r="GB54" s="4">
        <v>6.42</v>
      </c>
      <c r="GC54" s="4">
        <v>5</v>
      </c>
      <c r="GD54" s="4">
        <v>3.5</v>
      </c>
      <c r="GE54" s="26"/>
      <c r="GF54" s="26"/>
      <c r="GG54" s="4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S54" s="3"/>
      <c r="HU54" s="3"/>
      <c r="HX54" s="3"/>
      <c r="IA54" s="3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3"/>
      <c r="JP54" s="3"/>
      <c r="JQ54" s="4"/>
      <c r="JR54" s="5"/>
      <c r="JS54" s="5"/>
      <c r="JT54" s="8"/>
      <c r="JU54" s="8"/>
      <c r="JV54" s="8"/>
      <c r="JW54" s="8"/>
      <c r="JX54" s="8"/>
      <c r="JY54" s="8"/>
      <c r="JZ54" s="8"/>
      <c r="KA54" s="8"/>
      <c r="KB54" s="8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</row>
    <row r="55" spans="1:374" s="1" customFormat="1" x14ac:dyDescent="0.35">
      <c r="A55" s="2">
        <v>43728</v>
      </c>
      <c r="B55" s="15" t="s">
        <v>102</v>
      </c>
      <c r="C55" s="15" t="s">
        <v>216</v>
      </c>
      <c r="D55" s="1">
        <v>54</v>
      </c>
      <c r="E55" s="3">
        <v>1</v>
      </c>
      <c r="F55" s="3">
        <v>4</v>
      </c>
      <c r="G55" s="3"/>
      <c r="H55" s="3">
        <v>14</v>
      </c>
      <c r="I55" s="3">
        <v>2</v>
      </c>
      <c r="J55" s="3"/>
      <c r="K55" s="18">
        <v>0</v>
      </c>
      <c r="L55" s="18">
        <v>0</v>
      </c>
      <c r="M55" s="18">
        <v>1</v>
      </c>
      <c r="N55" s="18">
        <v>1</v>
      </c>
      <c r="O55" s="18">
        <v>1</v>
      </c>
      <c r="P55" s="4">
        <v>0.6</v>
      </c>
      <c r="Q55" s="3">
        <v>57</v>
      </c>
      <c r="R55" s="3">
        <v>35</v>
      </c>
      <c r="S55" s="3">
        <v>46</v>
      </c>
      <c r="T55" s="3">
        <v>78</v>
      </c>
      <c r="U55" s="3">
        <v>91</v>
      </c>
      <c r="V55" s="3">
        <v>109</v>
      </c>
      <c r="W55" s="3">
        <v>92</v>
      </c>
      <c r="X55" s="3">
        <v>116</v>
      </c>
      <c r="Y55" s="3">
        <v>116</v>
      </c>
      <c r="Z55" s="3"/>
      <c r="AA55" s="3"/>
      <c r="AB55" s="3"/>
      <c r="AC55" s="3"/>
      <c r="AD55" s="3"/>
      <c r="AE55" s="3"/>
      <c r="AF55" s="3"/>
      <c r="AG55" s="3"/>
      <c r="AH55" s="3"/>
      <c r="AI55" s="4"/>
      <c r="AJ55" s="4"/>
      <c r="AK55" s="4"/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/>
      <c r="AY55"/>
      <c r="AZ55"/>
      <c r="BA55"/>
      <c r="BB55"/>
      <c r="BC55"/>
      <c r="BP55" s="4"/>
      <c r="BQ55" s="4"/>
      <c r="BR55" s="4"/>
      <c r="BS55" s="4"/>
      <c r="BT55" s="4"/>
      <c r="BU55" s="4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1">
        <v>7</v>
      </c>
      <c r="CJ55" s="1">
        <v>7</v>
      </c>
      <c r="CK55" s="1">
        <v>7</v>
      </c>
      <c r="CL55" s="1">
        <v>6</v>
      </c>
      <c r="CM55" s="1">
        <v>4</v>
      </c>
      <c r="CN55" s="1">
        <v>4</v>
      </c>
      <c r="CO55" s="1">
        <v>5</v>
      </c>
      <c r="CP55" s="1">
        <v>2</v>
      </c>
      <c r="CQ55" s="1">
        <v>6</v>
      </c>
      <c r="CR55" s="1">
        <v>6</v>
      </c>
      <c r="CS55" s="1">
        <v>6</v>
      </c>
      <c r="CT55" s="1">
        <v>6</v>
      </c>
      <c r="CU55" s="1">
        <v>4</v>
      </c>
      <c r="CV55" s="1">
        <v>6</v>
      </c>
      <c r="CW55" s="1">
        <v>5</v>
      </c>
      <c r="CX55" s="1">
        <v>4</v>
      </c>
      <c r="CY55" s="1">
        <v>4</v>
      </c>
      <c r="CZ55" s="1">
        <v>6</v>
      </c>
      <c r="DA55" s="1">
        <v>6</v>
      </c>
      <c r="DB55" s="1">
        <v>6</v>
      </c>
      <c r="DC55" s="1">
        <v>6</v>
      </c>
      <c r="DD55" s="1">
        <v>7</v>
      </c>
      <c r="DE55" s="1">
        <v>7</v>
      </c>
      <c r="DF55" s="1">
        <v>4</v>
      </c>
      <c r="DG55" s="1">
        <v>3</v>
      </c>
      <c r="DH55" s="1">
        <v>4</v>
      </c>
      <c r="DI55" s="1">
        <v>5</v>
      </c>
      <c r="DJ55" s="1">
        <v>4</v>
      </c>
      <c r="DK55" s="1">
        <v>3</v>
      </c>
      <c r="DL55" s="1">
        <v>7</v>
      </c>
      <c r="DM55" s="19">
        <v>7</v>
      </c>
      <c r="DN55" s="19">
        <v>3</v>
      </c>
      <c r="DO55" s="1">
        <v>3</v>
      </c>
      <c r="DP55" s="1">
        <v>2</v>
      </c>
      <c r="DQ55" s="1">
        <v>4</v>
      </c>
      <c r="DR55" s="1">
        <v>2</v>
      </c>
      <c r="DS55" s="1">
        <v>4</v>
      </c>
      <c r="DT55" s="1">
        <v>6</v>
      </c>
      <c r="DU55" s="27">
        <v>6</v>
      </c>
      <c r="DV55" s="27">
        <v>6</v>
      </c>
      <c r="DW55" s="27">
        <v>4</v>
      </c>
      <c r="DX55" s="27">
        <v>4</v>
      </c>
      <c r="DY55" s="27">
        <v>4</v>
      </c>
      <c r="DZ55" s="27">
        <v>4</v>
      </c>
      <c r="EA55" s="27">
        <v>4</v>
      </c>
      <c r="EB55" s="27">
        <v>4</v>
      </c>
      <c r="EC55" s="27">
        <v>4</v>
      </c>
      <c r="ED55" s="27">
        <v>4</v>
      </c>
      <c r="EE55" s="27">
        <v>4</v>
      </c>
      <c r="EF55" s="27">
        <v>4</v>
      </c>
      <c r="EG55" s="27">
        <v>4</v>
      </c>
      <c r="EH55" s="27">
        <v>6</v>
      </c>
      <c r="EI55" s="27">
        <v>6</v>
      </c>
      <c r="EJ55" s="27">
        <v>4</v>
      </c>
      <c r="EK55" s="27">
        <v>4</v>
      </c>
      <c r="EL55" s="27">
        <v>4</v>
      </c>
      <c r="EM55" s="27">
        <v>4</v>
      </c>
      <c r="EN55" s="27">
        <v>4</v>
      </c>
      <c r="EO55" s="27">
        <v>5</v>
      </c>
      <c r="EP55" s="27">
        <v>5</v>
      </c>
      <c r="EQ55" s="27">
        <v>4</v>
      </c>
      <c r="ER55" s="27">
        <v>4</v>
      </c>
      <c r="ES55" s="27">
        <v>6</v>
      </c>
      <c r="ET55" s="27">
        <v>4</v>
      </c>
      <c r="EU55" s="27">
        <v>4</v>
      </c>
      <c r="EV55" s="1">
        <v>18</v>
      </c>
      <c r="EW55" s="1">
        <v>1</v>
      </c>
      <c r="EY55" s="1">
        <v>1</v>
      </c>
      <c r="EZ55" s="9"/>
      <c r="FA55" s="1">
        <v>1</v>
      </c>
      <c r="FB55" s="9" t="s">
        <v>776</v>
      </c>
      <c r="FC55" s="1">
        <v>1</v>
      </c>
      <c r="FD55" s="1">
        <v>5</v>
      </c>
      <c r="FE55" s="4"/>
      <c r="FF55" s="4"/>
      <c r="FG55" s="4"/>
      <c r="FH55" s="4"/>
      <c r="FI55" s="4"/>
      <c r="FJ55" s="23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26"/>
      <c r="GF55" s="26"/>
      <c r="GG55" s="4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S55" s="3"/>
      <c r="HU55" s="3"/>
      <c r="HX55" s="3"/>
      <c r="IA55" s="3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6"/>
      <c r="JP55" s="6"/>
      <c r="JQ55" s="6"/>
      <c r="JR55" s="6"/>
      <c r="JS55" s="6"/>
      <c r="JT55" s="8"/>
      <c r="JU55" s="8"/>
      <c r="JV55" s="8"/>
      <c r="JW55" s="8"/>
      <c r="JX55" s="8"/>
      <c r="JY55" s="8"/>
      <c r="JZ55" s="8"/>
      <c r="KA55" s="8"/>
      <c r="KB55" s="8"/>
      <c r="KC55" s="6"/>
      <c r="KD55" s="6"/>
      <c r="KE55" s="6"/>
      <c r="KF55" s="6"/>
      <c r="KG55" s="6"/>
      <c r="KH55" s="6"/>
      <c r="KI55" s="6"/>
      <c r="KJ55" s="6"/>
      <c r="KK55" s="6"/>
      <c r="KL55" s="4"/>
      <c r="KM55" s="4"/>
      <c r="KN55" s="6"/>
      <c r="KO55" s="4"/>
      <c r="KP55" s="4"/>
      <c r="KQ55" s="6"/>
      <c r="KR55" s="6"/>
      <c r="KS55" s="4"/>
      <c r="KU55" s="4"/>
      <c r="KV55" s="4"/>
      <c r="KW55" s="4"/>
      <c r="KX55" s="6"/>
      <c r="KY55" s="6"/>
      <c r="KZ55" s="6"/>
      <c r="LA55" s="4"/>
      <c r="LB55" s="6"/>
      <c r="LC55" s="6"/>
      <c r="LD55" s="4"/>
      <c r="LE55" s="4"/>
      <c r="LF55" s="6"/>
      <c r="LG55" s="6"/>
      <c r="LH55" s="6"/>
      <c r="LI55" s="6"/>
      <c r="LJ55" s="6"/>
      <c r="LK55" s="6"/>
      <c r="LL55" s="6"/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6"/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/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4"/>
    </row>
    <row r="56" spans="1:374" s="1" customFormat="1" x14ac:dyDescent="0.35">
      <c r="A56" s="2">
        <v>43728</v>
      </c>
      <c r="B56" s="15" t="s">
        <v>102</v>
      </c>
      <c r="C56" s="15" t="s">
        <v>217</v>
      </c>
      <c r="D56" s="1">
        <v>55</v>
      </c>
      <c r="E56" s="3">
        <v>1</v>
      </c>
      <c r="F56" s="3">
        <v>4</v>
      </c>
      <c r="G56" s="3"/>
      <c r="H56" s="3">
        <v>14</v>
      </c>
      <c r="I56" s="3">
        <v>3</v>
      </c>
      <c r="J56" s="3"/>
      <c r="K56" s="18">
        <v>0</v>
      </c>
      <c r="L56" s="18">
        <v>1</v>
      </c>
      <c r="M56" s="18">
        <v>1</v>
      </c>
      <c r="N56" s="18">
        <v>1</v>
      </c>
      <c r="O56" s="18">
        <v>0</v>
      </c>
      <c r="P56" s="4">
        <v>0.6</v>
      </c>
      <c r="Q56" s="3">
        <v>73</v>
      </c>
      <c r="R56" s="3">
        <v>43</v>
      </c>
      <c r="S56" s="3">
        <v>55</v>
      </c>
      <c r="T56" s="3">
        <v>97</v>
      </c>
      <c r="U56" s="3">
        <v>103</v>
      </c>
      <c r="V56" s="3">
        <v>97</v>
      </c>
      <c r="W56" s="3">
        <v>118</v>
      </c>
      <c r="X56" s="3">
        <v>109</v>
      </c>
      <c r="Y56" s="3">
        <v>106</v>
      </c>
      <c r="Z56" s="3"/>
      <c r="AA56" s="3"/>
      <c r="AB56" s="3"/>
      <c r="AC56" s="3"/>
      <c r="AD56" s="3"/>
      <c r="AE56" s="3"/>
      <c r="AF56" s="3"/>
      <c r="AG56" s="3"/>
      <c r="AH56" s="3"/>
      <c r="AI56" s="4"/>
      <c r="AJ56" s="4"/>
      <c r="AK56" s="4"/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/>
      <c r="AY56"/>
      <c r="AZ56"/>
      <c r="BA56"/>
      <c r="BB56"/>
      <c r="BC56"/>
      <c r="BP56" s="4"/>
      <c r="BQ56" s="4"/>
      <c r="BR56" s="4"/>
      <c r="BS56" s="4"/>
      <c r="BT56" s="4"/>
      <c r="BU56" s="4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1">
        <v>7</v>
      </c>
      <c r="CJ56" s="1">
        <v>7</v>
      </c>
      <c r="CK56" s="1">
        <v>7</v>
      </c>
      <c r="CL56" s="1">
        <v>7</v>
      </c>
      <c r="CM56" s="1">
        <v>7</v>
      </c>
      <c r="CN56" s="1">
        <v>7</v>
      </c>
      <c r="CO56" s="1">
        <v>7</v>
      </c>
      <c r="CP56" s="1">
        <v>1</v>
      </c>
      <c r="CQ56" s="1">
        <v>7</v>
      </c>
      <c r="CR56" s="1">
        <v>7</v>
      </c>
      <c r="CS56" s="1">
        <v>7</v>
      </c>
      <c r="CT56" s="1">
        <v>7</v>
      </c>
      <c r="CU56" s="1">
        <v>7</v>
      </c>
      <c r="CV56" s="1">
        <v>7</v>
      </c>
      <c r="CW56" s="1">
        <v>7</v>
      </c>
      <c r="CX56" s="1">
        <v>7</v>
      </c>
      <c r="CY56" s="1">
        <v>7</v>
      </c>
      <c r="CZ56" s="1">
        <v>7</v>
      </c>
      <c r="DA56" s="1">
        <v>7</v>
      </c>
      <c r="DB56" s="1">
        <v>7</v>
      </c>
      <c r="DC56" s="1">
        <v>6</v>
      </c>
      <c r="DD56" s="1">
        <v>6</v>
      </c>
      <c r="DE56" s="1">
        <v>6</v>
      </c>
      <c r="DF56" s="1">
        <v>1</v>
      </c>
      <c r="DG56" s="1">
        <v>1</v>
      </c>
      <c r="DH56" s="1">
        <v>1</v>
      </c>
      <c r="DI56" s="1">
        <v>2</v>
      </c>
      <c r="DJ56" s="1">
        <v>1</v>
      </c>
      <c r="DK56" s="1">
        <v>1</v>
      </c>
      <c r="DL56" s="1">
        <v>7</v>
      </c>
      <c r="DM56" s="19">
        <v>7</v>
      </c>
      <c r="DN56" s="19">
        <v>1</v>
      </c>
      <c r="DO56" s="1">
        <v>1</v>
      </c>
      <c r="DP56" s="1">
        <v>7</v>
      </c>
      <c r="DQ56" s="1">
        <v>6</v>
      </c>
      <c r="DR56" s="1">
        <v>5</v>
      </c>
      <c r="DS56" s="1">
        <v>7</v>
      </c>
      <c r="DT56" s="1">
        <v>7</v>
      </c>
      <c r="DU56" s="27">
        <v>7</v>
      </c>
      <c r="DV56" s="27">
        <v>7</v>
      </c>
      <c r="DW56" s="27">
        <v>7</v>
      </c>
      <c r="DX56" s="27">
        <v>1</v>
      </c>
      <c r="DY56" s="27">
        <v>1</v>
      </c>
      <c r="DZ56" s="27">
        <v>1</v>
      </c>
      <c r="EA56" s="27">
        <v>1</v>
      </c>
      <c r="EB56" s="27">
        <v>6</v>
      </c>
      <c r="EC56" s="27">
        <v>1</v>
      </c>
      <c r="ED56" s="27">
        <v>7</v>
      </c>
      <c r="EE56" s="27">
        <v>7</v>
      </c>
      <c r="EF56" s="27">
        <v>7</v>
      </c>
      <c r="EG56" s="27">
        <v>6</v>
      </c>
      <c r="EH56" s="27">
        <v>7</v>
      </c>
      <c r="EI56" s="27">
        <v>7</v>
      </c>
      <c r="EJ56" s="27">
        <v>7</v>
      </c>
      <c r="EK56" s="27">
        <v>1</v>
      </c>
      <c r="EL56" s="27">
        <v>7</v>
      </c>
      <c r="EM56" s="27">
        <v>1</v>
      </c>
      <c r="EN56" s="27">
        <v>1</v>
      </c>
      <c r="EO56" s="27">
        <v>7</v>
      </c>
      <c r="EP56" s="27">
        <v>7</v>
      </c>
      <c r="EQ56" s="27">
        <v>7</v>
      </c>
      <c r="ER56" s="27">
        <v>7</v>
      </c>
      <c r="ES56" s="27">
        <v>1</v>
      </c>
      <c r="ET56" s="27">
        <v>1</v>
      </c>
      <c r="EU56" s="27">
        <v>1</v>
      </c>
      <c r="EV56" s="1">
        <v>18</v>
      </c>
      <c r="EW56" s="1">
        <v>1</v>
      </c>
      <c r="EY56" s="1">
        <v>1</v>
      </c>
      <c r="EZ56" s="9"/>
      <c r="FA56" s="1">
        <v>1</v>
      </c>
      <c r="FB56" s="9" t="s">
        <v>815</v>
      </c>
      <c r="FC56" s="1">
        <v>0</v>
      </c>
      <c r="FD56" s="1">
        <v>4</v>
      </c>
      <c r="FE56" s="4"/>
      <c r="FF56" s="4"/>
      <c r="FG56" s="4"/>
      <c r="FH56" s="4"/>
      <c r="FI56" s="4"/>
      <c r="FJ56" s="23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26"/>
      <c r="GF56" s="26"/>
      <c r="GG56" s="4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S56" s="3"/>
      <c r="HU56" s="3"/>
      <c r="HX56" s="3"/>
      <c r="IA56" s="3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6"/>
      <c r="JP56" s="6"/>
      <c r="JQ56" s="6"/>
      <c r="JR56" s="6"/>
      <c r="JS56" s="6"/>
      <c r="JT56" s="8"/>
      <c r="JU56" s="8"/>
      <c r="JV56" s="8"/>
      <c r="JW56" s="8"/>
      <c r="JX56" s="8"/>
      <c r="JY56" s="8"/>
      <c r="JZ56" s="8"/>
      <c r="KA56" s="8"/>
      <c r="KB56" s="8"/>
      <c r="KC56" s="6"/>
      <c r="KD56" s="6"/>
      <c r="KE56" s="6"/>
      <c r="KF56" s="6"/>
      <c r="KG56" s="6"/>
      <c r="KH56" s="6"/>
      <c r="KI56" s="6"/>
      <c r="KJ56" s="6"/>
      <c r="KK56" s="6"/>
      <c r="KL56" s="4"/>
      <c r="KM56" s="4"/>
      <c r="KN56" s="6"/>
      <c r="KO56" s="4"/>
      <c r="KP56" s="4"/>
      <c r="KQ56" s="6"/>
      <c r="KR56" s="6"/>
      <c r="KS56" s="4"/>
      <c r="KU56" s="4"/>
      <c r="KV56" s="4"/>
      <c r="KW56" s="4"/>
      <c r="KX56" s="6"/>
      <c r="KY56" s="6"/>
      <c r="KZ56" s="6"/>
      <c r="LA56" s="4"/>
      <c r="LB56" s="6"/>
      <c r="LC56" s="6"/>
      <c r="LD56" s="4"/>
      <c r="LE56" s="4"/>
      <c r="LF56" s="6"/>
      <c r="LG56" s="6"/>
      <c r="LH56" s="6"/>
      <c r="LI56" s="6"/>
      <c r="LJ56" s="6"/>
      <c r="LK56" s="6"/>
      <c r="LL56" s="6"/>
      <c r="LM56" s="6"/>
      <c r="LN56" s="6"/>
      <c r="LO56" s="6"/>
      <c r="LP56" s="6"/>
      <c r="LQ56" s="6"/>
      <c r="LR56" s="6"/>
      <c r="LS56" s="6"/>
      <c r="LT56" s="6"/>
      <c r="LU56" s="6"/>
      <c r="LV56" s="6"/>
      <c r="LW56" s="6"/>
      <c r="LX56" s="6"/>
      <c r="LY56" s="6"/>
      <c r="LZ56" s="6"/>
      <c r="MA56" s="6"/>
      <c r="MB56" s="6"/>
      <c r="MC56" s="6"/>
      <c r="MD56" s="6"/>
      <c r="ME56" s="6"/>
      <c r="MF56" s="6"/>
      <c r="MG56" s="6"/>
      <c r="MH56" s="6"/>
      <c r="MI56" s="6"/>
      <c r="MJ56" s="6"/>
      <c r="MK56" s="6"/>
      <c r="ML56" s="6"/>
      <c r="MM56" s="6"/>
      <c r="MN56" s="6"/>
      <c r="MO56" s="6"/>
      <c r="MP56" s="6"/>
      <c r="MQ56" s="6"/>
      <c r="MR56" s="6"/>
      <c r="MS56" s="6"/>
      <c r="MT56" s="6"/>
      <c r="MU56" s="6"/>
      <c r="MV56" s="6"/>
      <c r="MW56" s="6"/>
      <c r="MX56" s="6"/>
      <c r="MY56" s="6"/>
      <c r="MZ56" s="6"/>
      <c r="NA56" s="6"/>
      <c r="NB56" s="6"/>
      <c r="NC56" s="6"/>
      <c r="ND56" s="6"/>
      <c r="NE56" s="6"/>
      <c r="NF56" s="6"/>
      <c r="NG56" s="6"/>
      <c r="NH56" s="6"/>
      <c r="NI56" s="6"/>
      <c r="NJ56" s="4"/>
    </row>
    <row r="57" spans="1:374" s="1" customFormat="1" x14ac:dyDescent="0.35">
      <c r="A57" s="2">
        <v>43728</v>
      </c>
      <c r="B57" s="15" t="s">
        <v>102</v>
      </c>
      <c r="C57" s="15" t="s">
        <v>218</v>
      </c>
      <c r="D57" s="1">
        <v>56</v>
      </c>
      <c r="E57" s="3">
        <v>1</v>
      </c>
      <c r="F57" s="3">
        <v>4</v>
      </c>
      <c r="G57" s="3"/>
      <c r="H57" s="3">
        <v>14</v>
      </c>
      <c r="I57" s="3">
        <v>4</v>
      </c>
      <c r="J57" s="3"/>
      <c r="K57" s="18">
        <v>0</v>
      </c>
      <c r="L57" s="18">
        <v>0</v>
      </c>
      <c r="M57" s="18">
        <v>1</v>
      </c>
      <c r="N57" s="18">
        <v>1</v>
      </c>
      <c r="O57" s="18">
        <v>1</v>
      </c>
      <c r="P57" s="4">
        <v>0.6</v>
      </c>
      <c r="Q57" s="3">
        <v>67</v>
      </c>
      <c r="R57" s="3">
        <v>58</v>
      </c>
      <c r="S57" s="3">
        <v>57</v>
      </c>
      <c r="T57" s="3">
        <v>77</v>
      </c>
      <c r="U57" s="3">
        <v>89</v>
      </c>
      <c r="V57" s="3">
        <v>95</v>
      </c>
      <c r="W57" s="3">
        <v>71</v>
      </c>
      <c r="X57" s="3">
        <v>83</v>
      </c>
      <c r="Y57" s="3">
        <v>105</v>
      </c>
      <c r="Z57" s="3"/>
      <c r="AA57" s="3"/>
      <c r="AB57" s="3"/>
      <c r="AC57" s="3"/>
      <c r="AD57" s="3"/>
      <c r="AE57" s="3"/>
      <c r="AF57" s="3"/>
      <c r="AG57" s="3"/>
      <c r="AH57" s="3"/>
      <c r="AI57" s="4"/>
      <c r="AJ57" s="4"/>
      <c r="AK57" s="4"/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/>
      <c r="AY57"/>
      <c r="AZ57"/>
      <c r="BA57"/>
      <c r="BB57"/>
      <c r="BC57"/>
      <c r="BP57" s="4"/>
      <c r="BQ57" s="4"/>
      <c r="BR57" s="4"/>
      <c r="BS57" s="4"/>
      <c r="BT57" s="4"/>
      <c r="BU57" s="4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1">
        <v>7</v>
      </c>
      <c r="CJ57" s="1">
        <v>7</v>
      </c>
      <c r="CK57" s="1">
        <v>7</v>
      </c>
      <c r="CL57" s="1">
        <v>7</v>
      </c>
      <c r="CM57" s="1">
        <v>7</v>
      </c>
      <c r="CN57" s="1">
        <v>7</v>
      </c>
      <c r="CO57" s="1">
        <v>7</v>
      </c>
      <c r="CP57" s="1">
        <v>1</v>
      </c>
      <c r="CQ57" s="1">
        <v>7</v>
      </c>
      <c r="CR57" s="1">
        <v>7</v>
      </c>
      <c r="CS57" s="1">
        <v>7</v>
      </c>
      <c r="CT57" s="1">
        <v>7</v>
      </c>
      <c r="CU57" s="1">
        <v>7</v>
      </c>
      <c r="CV57" s="1">
        <v>7</v>
      </c>
      <c r="CW57" s="1">
        <v>4</v>
      </c>
      <c r="CX57" s="1">
        <v>7</v>
      </c>
      <c r="CY57" s="1">
        <v>7</v>
      </c>
      <c r="CZ57" s="1">
        <v>7</v>
      </c>
      <c r="DA57" s="1">
        <v>7</v>
      </c>
      <c r="DB57" s="1">
        <v>7</v>
      </c>
      <c r="DC57" s="1">
        <v>7</v>
      </c>
      <c r="DD57" s="1">
        <v>7</v>
      </c>
      <c r="DE57" s="1">
        <v>7</v>
      </c>
      <c r="DF57" s="1">
        <v>7</v>
      </c>
      <c r="DG57" s="1">
        <v>7</v>
      </c>
      <c r="DH57" s="1">
        <v>7</v>
      </c>
      <c r="DI57" s="1">
        <v>7</v>
      </c>
      <c r="DJ57" s="1">
        <v>7</v>
      </c>
      <c r="DK57" s="1">
        <v>7</v>
      </c>
      <c r="DL57" s="1">
        <v>7</v>
      </c>
      <c r="DM57" s="19">
        <v>7</v>
      </c>
      <c r="DN57" s="19">
        <v>7</v>
      </c>
      <c r="DO57" s="1">
        <v>7</v>
      </c>
      <c r="DP57" s="1">
        <v>7</v>
      </c>
      <c r="DQ57" s="1">
        <v>7</v>
      </c>
      <c r="DR57" s="1">
        <v>7</v>
      </c>
      <c r="DS57" s="1">
        <v>7</v>
      </c>
      <c r="DT57" s="1">
        <v>7</v>
      </c>
      <c r="DU57" s="27">
        <v>7</v>
      </c>
      <c r="DV57" s="27">
        <v>7</v>
      </c>
      <c r="DW57" s="27">
        <v>1</v>
      </c>
      <c r="DX57" s="27">
        <v>7</v>
      </c>
      <c r="DY57" s="27">
        <v>1</v>
      </c>
      <c r="DZ57" s="27">
        <v>1</v>
      </c>
      <c r="EA57" s="27">
        <v>1</v>
      </c>
      <c r="EB57" s="27">
        <v>7</v>
      </c>
      <c r="EC57" s="27">
        <v>7</v>
      </c>
      <c r="ED57" s="27">
        <v>1</v>
      </c>
      <c r="EE57" s="27">
        <v>7</v>
      </c>
      <c r="EF57" s="27">
        <v>7</v>
      </c>
      <c r="EG57" s="27">
        <v>6</v>
      </c>
      <c r="EH57" s="27">
        <v>7</v>
      </c>
      <c r="EI57" s="27">
        <v>7</v>
      </c>
      <c r="EJ57" s="27">
        <v>7</v>
      </c>
      <c r="EK57" s="27">
        <v>7</v>
      </c>
      <c r="EL57" s="27">
        <v>7</v>
      </c>
      <c r="EM57" s="27">
        <v>1</v>
      </c>
      <c r="EN57" s="27">
        <v>1</v>
      </c>
      <c r="EO57" s="27">
        <v>7</v>
      </c>
      <c r="EP57" s="27">
        <v>7</v>
      </c>
      <c r="EQ57" s="27">
        <v>7</v>
      </c>
      <c r="ER57" s="27">
        <v>7</v>
      </c>
      <c r="ES57" s="27">
        <v>7</v>
      </c>
      <c r="ET57" s="27">
        <v>4</v>
      </c>
      <c r="EU57" s="27">
        <v>6</v>
      </c>
      <c r="EV57" s="1">
        <v>19</v>
      </c>
      <c r="EW57" s="1">
        <v>2</v>
      </c>
      <c r="EY57" s="1">
        <v>1</v>
      </c>
      <c r="EZ57" s="9"/>
      <c r="FA57" s="1">
        <v>2</v>
      </c>
      <c r="FB57" s="9" t="s">
        <v>816</v>
      </c>
      <c r="FC57" s="1">
        <v>1</v>
      </c>
      <c r="FD57" s="1">
        <v>1</v>
      </c>
      <c r="FE57" s="4"/>
      <c r="FF57" s="4"/>
      <c r="FG57" s="4"/>
      <c r="FH57" s="4"/>
      <c r="FI57" s="4"/>
      <c r="FJ57" s="23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26"/>
      <c r="GF57" s="26"/>
      <c r="GG57" s="4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S57" s="3"/>
      <c r="HU57" s="3"/>
      <c r="HX57" s="3"/>
      <c r="IA57" s="3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6"/>
      <c r="JP57" s="6"/>
      <c r="JQ57" s="6"/>
      <c r="JR57" s="6"/>
      <c r="JS57" s="6"/>
      <c r="JT57" s="8"/>
      <c r="JU57" s="8"/>
      <c r="JV57" s="8"/>
      <c r="JW57" s="8"/>
      <c r="JX57" s="8"/>
      <c r="JY57" s="8"/>
      <c r="JZ57" s="8"/>
      <c r="KA57" s="8"/>
      <c r="KB57" s="8"/>
      <c r="KC57" s="6"/>
      <c r="KD57" s="6"/>
      <c r="KE57" s="6"/>
      <c r="KF57" s="6"/>
      <c r="KG57" s="6"/>
      <c r="KH57" s="6"/>
      <c r="KI57" s="6"/>
      <c r="KJ57" s="6"/>
      <c r="KK57" s="6"/>
      <c r="KL57" s="4"/>
      <c r="KM57" s="4"/>
      <c r="KN57" s="6"/>
      <c r="KO57" s="4"/>
      <c r="KP57" s="4"/>
      <c r="KQ57" s="6"/>
      <c r="KR57" s="6"/>
      <c r="KS57" s="4"/>
      <c r="KU57" s="4"/>
      <c r="KV57" s="4"/>
      <c r="KW57" s="4"/>
      <c r="KX57" s="6"/>
      <c r="KY57" s="6"/>
      <c r="KZ57" s="6"/>
      <c r="LA57" s="4"/>
      <c r="LB57" s="6"/>
      <c r="LC57" s="6"/>
      <c r="LD57" s="4"/>
      <c r="LE57" s="4"/>
      <c r="LF57" s="6"/>
      <c r="LG57" s="6"/>
      <c r="LH57" s="6"/>
      <c r="LI57" s="6"/>
      <c r="LJ57" s="6"/>
      <c r="LK57" s="6"/>
      <c r="LL57" s="6"/>
      <c r="LM57" s="6"/>
      <c r="LN57" s="6"/>
      <c r="LO57" s="6"/>
      <c r="LP57" s="6"/>
      <c r="LQ57" s="6"/>
      <c r="LR57" s="6"/>
      <c r="LS57" s="6"/>
      <c r="LT57" s="6"/>
      <c r="LU57" s="6"/>
      <c r="LV57" s="6"/>
      <c r="LW57" s="6"/>
      <c r="LX57" s="6"/>
      <c r="LY57" s="6"/>
      <c r="LZ57" s="6"/>
      <c r="MA57" s="6"/>
      <c r="MB57" s="6"/>
      <c r="MC57" s="6"/>
      <c r="MD57" s="6"/>
      <c r="ME57" s="6"/>
      <c r="MF57" s="6"/>
      <c r="MG57" s="6"/>
      <c r="MH57" s="6"/>
      <c r="MI57" s="6"/>
      <c r="MJ57" s="6"/>
      <c r="MK57" s="6"/>
      <c r="ML57" s="6"/>
      <c r="MM57" s="6"/>
      <c r="MN57" s="6"/>
      <c r="MO57" s="6"/>
      <c r="MP57" s="6"/>
      <c r="MQ57" s="6"/>
      <c r="MR57" s="6"/>
      <c r="MS57" s="6"/>
      <c r="MT57" s="6"/>
      <c r="MU57" s="6"/>
      <c r="MV57" s="6"/>
      <c r="MW57" s="6"/>
      <c r="MX57" s="6"/>
      <c r="MY57" s="6"/>
      <c r="MZ57" s="6"/>
      <c r="NA57" s="6"/>
      <c r="NB57" s="6"/>
      <c r="NC57" s="6"/>
      <c r="ND57" s="6"/>
      <c r="NE57" s="6"/>
      <c r="NF57" s="6"/>
      <c r="NG57" s="6"/>
      <c r="NH57" s="6"/>
      <c r="NI57" s="6"/>
      <c r="NJ57" s="4"/>
    </row>
    <row r="58" spans="1:374" s="1" customFormat="1" x14ac:dyDescent="0.35">
      <c r="A58" s="2">
        <v>43356</v>
      </c>
      <c r="B58" s="15" t="s">
        <v>103</v>
      </c>
      <c r="C58" s="15" t="s">
        <v>219</v>
      </c>
      <c r="D58" s="1">
        <v>57</v>
      </c>
      <c r="E58" s="3">
        <v>2</v>
      </c>
      <c r="F58" s="3">
        <v>2</v>
      </c>
      <c r="G58" s="3">
        <v>1</v>
      </c>
      <c r="H58" s="3">
        <v>15</v>
      </c>
      <c r="I58" s="3">
        <v>1</v>
      </c>
      <c r="J58" s="3">
        <v>1</v>
      </c>
      <c r="K58" s="18">
        <v>1</v>
      </c>
      <c r="L58" s="18">
        <v>1</v>
      </c>
      <c r="M58" s="18">
        <v>1</v>
      </c>
      <c r="N58" s="18">
        <v>1</v>
      </c>
      <c r="O58" s="18">
        <v>0</v>
      </c>
      <c r="P58" s="4">
        <v>0.8</v>
      </c>
      <c r="Q58" s="3">
        <v>54</v>
      </c>
      <c r="R58" s="3">
        <v>110</v>
      </c>
      <c r="S58" s="3">
        <v>83</v>
      </c>
      <c r="T58" s="3">
        <v>99</v>
      </c>
      <c r="U58" s="3">
        <v>101</v>
      </c>
      <c r="V58" s="3">
        <v>116</v>
      </c>
      <c r="W58" s="3">
        <v>116</v>
      </c>
      <c r="X58" s="3">
        <v>124</v>
      </c>
      <c r="Y58" s="3">
        <v>105</v>
      </c>
      <c r="Z58" s="3">
        <v>320</v>
      </c>
      <c r="AA58" s="3">
        <v>442</v>
      </c>
      <c r="AB58" s="3">
        <v>430</v>
      </c>
      <c r="AC58" s="3">
        <v>447</v>
      </c>
      <c r="AD58" s="3">
        <v>443</v>
      </c>
      <c r="AE58" s="3">
        <v>452</v>
      </c>
      <c r="AF58" s="3">
        <v>411</v>
      </c>
      <c r="AG58" s="3">
        <v>454</v>
      </c>
      <c r="AH58" s="3">
        <v>439</v>
      </c>
      <c r="AI58" s="4">
        <v>397.33</v>
      </c>
      <c r="AJ58" s="4">
        <v>447.33</v>
      </c>
      <c r="AK58" s="4">
        <v>434.67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f t="shared" ref="AX58:BC58" si="28">AL58+AL59+AL60+AL61</f>
        <v>0</v>
      </c>
      <c r="AY58" s="19">
        <f t="shared" si="28"/>
        <v>0</v>
      </c>
      <c r="AZ58" s="19">
        <f t="shared" si="28"/>
        <v>0</v>
      </c>
      <c r="BA58" s="19">
        <f t="shared" si="28"/>
        <v>0</v>
      </c>
      <c r="BB58" s="19">
        <f t="shared" si="28"/>
        <v>0</v>
      </c>
      <c r="BC58" s="19">
        <f t="shared" si="28"/>
        <v>0</v>
      </c>
      <c r="BD58" s="1">
        <f>AX58*3</f>
        <v>0</v>
      </c>
      <c r="BE58" s="1">
        <f t="shared" ref="BE58:BI58" si="29">AY58*3</f>
        <v>0</v>
      </c>
      <c r="BF58" s="1">
        <f t="shared" si="29"/>
        <v>0</v>
      </c>
      <c r="BG58" s="1">
        <f t="shared" si="29"/>
        <v>0</v>
      </c>
      <c r="BH58" s="1">
        <f t="shared" si="29"/>
        <v>0</v>
      </c>
      <c r="BI58" s="1">
        <f t="shared" si="29"/>
        <v>0</v>
      </c>
      <c r="BJ58" s="1">
        <f>AX58+AY58+AZ58</f>
        <v>0</v>
      </c>
      <c r="BK58" s="1">
        <f>BA58+BB58+BC58</f>
        <v>0</v>
      </c>
      <c r="BL58" s="1">
        <f>BJ58*3</f>
        <v>0</v>
      </c>
      <c r="BM58" s="1">
        <f>BK58*3</f>
        <v>0</v>
      </c>
      <c r="BN58" s="1">
        <f>BL58/3</f>
        <v>0</v>
      </c>
      <c r="BO58" s="1">
        <f>BM58/3</f>
        <v>0</v>
      </c>
      <c r="BP58" s="4">
        <v>397.33333333333331</v>
      </c>
      <c r="BQ58" s="4">
        <v>447.33333333333331</v>
      </c>
      <c r="BR58" s="4">
        <v>434.66666666666669</v>
      </c>
      <c r="BS58" s="4">
        <v>397.33</v>
      </c>
      <c r="BT58" s="4">
        <v>447.33</v>
      </c>
      <c r="BU58" s="4">
        <v>3.73</v>
      </c>
      <c r="BV58" s="3">
        <v>4</v>
      </c>
      <c r="BW58" s="3">
        <v>4</v>
      </c>
      <c r="BX58" s="3">
        <v>4</v>
      </c>
      <c r="BY58" s="3">
        <v>4</v>
      </c>
      <c r="BZ58" s="3">
        <v>2</v>
      </c>
      <c r="CA58" s="3">
        <v>2</v>
      </c>
      <c r="CB58" s="3">
        <v>2</v>
      </c>
      <c r="CC58" s="3">
        <v>2</v>
      </c>
      <c r="CD58" s="3">
        <v>2</v>
      </c>
      <c r="CE58" s="3">
        <v>2</v>
      </c>
      <c r="CF58" s="3">
        <v>2</v>
      </c>
      <c r="CG58" s="3">
        <v>2</v>
      </c>
      <c r="CH58" s="3">
        <v>1</v>
      </c>
      <c r="CI58" s="1">
        <v>7</v>
      </c>
      <c r="CJ58" s="1">
        <v>7</v>
      </c>
      <c r="CK58" s="1">
        <v>7</v>
      </c>
      <c r="CL58" s="1">
        <v>6</v>
      </c>
      <c r="CM58" s="1">
        <v>6</v>
      </c>
      <c r="CN58" s="1">
        <v>6</v>
      </c>
      <c r="CO58" s="1">
        <v>5</v>
      </c>
      <c r="CP58" s="1">
        <v>1</v>
      </c>
      <c r="CQ58" s="1">
        <v>7</v>
      </c>
      <c r="CR58" s="1">
        <v>7</v>
      </c>
      <c r="CS58" s="1">
        <v>7</v>
      </c>
      <c r="CT58" s="1">
        <v>7</v>
      </c>
      <c r="CU58" s="1">
        <v>6</v>
      </c>
      <c r="CV58" s="1">
        <v>5</v>
      </c>
      <c r="CW58" s="1">
        <v>6</v>
      </c>
      <c r="CX58" s="1">
        <v>6</v>
      </c>
      <c r="CY58" s="1">
        <v>6</v>
      </c>
      <c r="CZ58" s="1">
        <v>7</v>
      </c>
      <c r="DA58" s="1">
        <v>7</v>
      </c>
      <c r="DB58" s="1">
        <v>7</v>
      </c>
      <c r="DC58" s="1">
        <v>7</v>
      </c>
      <c r="DD58" s="1">
        <v>7</v>
      </c>
      <c r="DE58" s="1">
        <v>7</v>
      </c>
      <c r="DF58" s="1">
        <v>5</v>
      </c>
      <c r="DG58" s="1">
        <v>1</v>
      </c>
      <c r="DH58" s="1">
        <v>5</v>
      </c>
      <c r="DI58" s="1">
        <v>5</v>
      </c>
      <c r="DJ58" s="1">
        <v>5</v>
      </c>
      <c r="DK58" s="1">
        <v>4</v>
      </c>
      <c r="DL58" s="1">
        <v>7</v>
      </c>
      <c r="DM58" s="19">
        <v>7</v>
      </c>
      <c r="DN58" s="19">
        <v>6</v>
      </c>
      <c r="DO58" s="1">
        <v>6</v>
      </c>
      <c r="DP58" s="1">
        <v>1</v>
      </c>
      <c r="DQ58" s="1">
        <v>2</v>
      </c>
      <c r="DR58" s="1">
        <v>7</v>
      </c>
      <c r="DS58" s="1">
        <v>6</v>
      </c>
      <c r="DT58" s="1">
        <v>7</v>
      </c>
      <c r="DU58" s="27">
        <v>7</v>
      </c>
      <c r="DV58" s="27">
        <v>7</v>
      </c>
      <c r="DW58" s="27">
        <v>6</v>
      </c>
      <c r="DX58" s="27">
        <v>4</v>
      </c>
      <c r="DY58" s="27">
        <v>6</v>
      </c>
      <c r="DZ58" s="27">
        <v>1</v>
      </c>
      <c r="EA58" s="27">
        <v>1</v>
      </c>
      <c r="EB58" s="27">
        <v>7</v>
      </c>
      <c r="EC58" s="27">
        <v>6</v>
      </c>
      <c r="ED58" s="27">
        <v>2</v>
      </c>
      <c r="EE58" s="27">
        <v>2</v>
      </c>
      <c r="EF58" s="27">
        <v>5</v>
      </c>
      <c r="EG58" s="27">
        <v>7</v>
      </c>
      <c r="EH58" s="27">
        <v>7</v>
      </c>
      <c r="EI58" s="27">
        <v>7</v>
      </c>
      <c r="EJ58" s="27">
        <v>6</v>
      </c>
      <c r="EK58" s="27">
        <v>7</v>
      </c>
      <c r="EL58" s="27">
        <v>7</v>
      </c>
      <c r="EM58" s="27">
        <v>1</v>
      </c>
      <c r="EN58" s="27">
        <v>2</v>
      </c>
      <c r="EO58" s="27">
        <v>7</v>
      </c>
      <c r="EP58" s="27">
        <v>7</v>
      </c>
      <c r="EQ58" s="27">
        <v>6</v>
      </c>
      <c r="ER58" s="27">
        <v>7</v>
      </c>
      <c r="ES58" s="27">
        <v>6</v>
      </c>
      <c r="ET58" s="27">
        <v>6</v>
      </c>
      <c r="EU58" s="27">
        <v>6</v>
      </c>
      <c r="EV58" s="1">
        <v>21</v>
      </c>
      <c r="EW58" s="1">
        <v>2</v>
      </c>
      <c r="EY58" s="1">
        <v>1</v>
      </c>
      <c r="EZ58" s="9"/>
      <c r="FA58" s="1">
        <v>4</v>
      </c>
      <c r="FB58" s="9" t="s">
        <v>817</v>
      </c>
      <c r="FC58" s="1">
        <v>1</v>
      </c>
      <c r="FD58" s="1">
        <v>5</v>
      </c>
      <c r="FE58" s="4">
        <v>6.36</v>
      </c>
      <c r="FF58" s="4">
        <v>6.56</v>
      </c>
      <c r="FG58" s="4">
        <v>7.19</v>
      </c>
      <c r="FH58" s="4">
        <v>6.75</v>
      </c>
      <c r="FI58" s="4">
        <v>6</v>
      </c>
      <c r="FJ58" s="23">
        <v>6.5</v>
      </c>
      <c r="FK58" s="4">
        <v>4.38</v>
      </c>
      <c r="FL58" s="4">
        <v>6.5</v>
      </c>
      <c r="FM58" s="4">
        <v>4.63</v>
      </c>
      <c r="FN58" s="4">
        <v>3.63</v>
      </c>
      <c r="FO58" s="4">
        <v>6</v>
      </c>
      <c r="FP58" s="4">
        <v>5.83</v>
      </c>
      <c r="FQ58" s="4">
        <v>2.88</v>
      </c>
      <c r="FR58" s="4">
        <v>1</v>
      </c>
      <c r="FS58" s="4">
        <v>6.25</v>
      </c>
      <c r="FT58" s="4">
        <v>4.5</v>
      </c>
      <c r="FU58" s="4">
        <v>3</v>
      </c>
      <c r="FV58" s="4">
        <v>4.25</v>
      </c>
      <c r="FW58" s="4">
        <v>4.5</v>
      </c>
      <c r="FX58" s="4">
        <v>4.75</v>
      </c>
      <c r="FY58" s="4">
        <v>7</v>
      </c>
      <c r="FZ58" s="4">
        <v>6.58</v>
      </c>
      <c r="GA58" s="4">
        <v>1.1299999999999999</v>
      </c>
      <c r="GB58" s="4">
        <v>6.42</v>
      </c>
      <c r="GC58" s="4">
        <v>6.38</v>
      </c>
      <c r="GD58" s="4">
        <v>4.5</v>
      </c>
      <c r="GE58" s="26"/>
      <c r="GF58" s="26"/>
      <c r="GG58" s="4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S58" s="3"/>
      <c r="HU58" s="3"/>
      <c r="HX58" s="3"/>
      <c r="IA58" s="3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3"/>
      <c r="JP58" s="3"/>
      <c r="JQ58" s="4"/>
      <c r="JR58" s="5"/>
      <c r="JS58" s="5"/>
      <c r="JT58" s="8"/>
      <c r="JU58" s="8"/>
      <c r="JV58" s="8"/>
      <c r="JW58" s="8"/>
      <c r="JX58" s="8"/>
      <c r="JY58" s="8"/>
      <c r="JZ58" s="8"/>
      <c r="KA58" s="8"/>
      <c r="KB58" s="8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</row>
    <row r="59" spans="1:374" s="1" customFormat="1" x14ac:dyDescent="0.35">
      <c r="A59" s="2">
        <v>43356</v>
      </c>
      <c r="B59" s="15" t="s">
        <v>103</v>
      </c>
      <c r="C59" s="15" t="s">
        <v>220</v>
      </c>
      <c r="D59" s="1">
        <v>58</v>
      </c>
      <c r="E59" s="3">
        <v>2</v>
      </c>
      <c r="F59" s="3">
        <v>2</v>
      </c>
      <c r="G59" s="3"/>
      <c r="H59" s="3">
        <v>15</v>
      </c>
      <c r="I59" s="3">
        <v>2</v>
      </c>
      <c r="J59" s="3"/>
      <c r="K59" s="18">
        <v>1</v>
      </c>
      <c r="L59" s="18">
        <v>1</v>
      </c>
      <c r="M59" s="18">
        <v>1</v>
      </c>
      <c r="N59" s="18">
        <v>1</v>
      </c>
      <c r="O59" s="18">
        <v>1</v>
      </c>
      <c r="P59" s="4">
        <v>1</v>
      </c>
      <c r="Q59" s="3">
        <v>52</v>
      </c>
      <c r="R59" s="3">
        <v>83</v>
      </c>
      <c r="S59" s="3">
        <v>110</v>
      </c>
      <c r="T59" s="3">
        <v>113</v>
      </c>
      <c r="U59" s="3">
        <v>115</v>
      </c>
      <c r="V59" s="3">
        <v>112</v>
      </c>
      <c r="W59" s="3">
        <v>79</v>
      </c>
      <c r="X59" s="3">
        <v>110</v>
      </c>
      <c r="Y59" s="3">
        <v>104</v>
      </c>
      <c r="Z59" s="3"/>
      <c r="AA59" s="3"/>
      <c r="AB59" s="3"/>
      <c r="AC59" s="3"/>
      <c r="AD59" s="3"/>
      <c r="AE59" s="3"/>
      <c r="AF59" s="3"/>
      <c r="AG59" s="3"/>
      <c r="AH59" s="3"/>
      <c r="AI59" s="4"/>
      <c r="AJ59" s="4"/>
      <c r="AK59" s="4"/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/>
      <c r="AY59"/>
      <c r="AZ59"/>
      <c r="BA59"/>
      <c r="BB59"/>
      <c r="BC59"/>
      <c r="BP59" s="4"/>
      <c r="BQ59" s="4"/>
      <c r="BR59" s="4"/>
      <c r="BS59" s="4"/>
      <c r="BT59" s="4"/>
      <c r="BU59" s="4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1">
        <v>7</v>
      </c>
      <c r="CJ59" s="1">
        <v>7</v>
      </c>
      <c r="CK59" s="1">
        <v>7</v>
      </c>
      <c r="CL59" s="1">
        <v>7</v>
      </c>
      <c r="CM59" s="1">
        <v>6</v>
      </c>
      <c r="CN59" s="1">
        <v>6</v>
      </c>
      <c r="CO59" s="1">
        <v>7</v>
      </c>
      <c r="CP59" s="1">
        <v>1</v>
      </c>
      <c r="CQ59" s="1">
        <v>7</v>
      </c>
      <c r="CR59" s="1">
        <v>7</v>
      </c>
      <c r="CS59" s="1">
        <v>7</v>
      </c>
      <c r="CT59" s="1">
        <v>7</v>
      </c>
      <c r="CU59" s="1">
        <v>6</v>
      </c>
      <c r="CV59" s="1">
        <v>5</v>
      </c>
      <c r="CW59" s="1">
        <v>7</v>
      </c>
      <c r="CX59" s="1">
        <v>7</v>
      </c>
      <c r="CY59" s="1">
        <v>6</v>
      </c>
      <c r="CZ59" s="1">
        <v>7</v>
      </c>
      <c r="DA59" s="1">
        <v>7</v>
      </c>
      <c r="DB59" s="1">
        <v>7</v>
      </c>
      <c r="DC59" s="1">
        <v>6</v>
      </c>
      <c r="DD59" s="1">
        <v>7</v>
      </c>
      <c r="DE59" s="1">
        <v>7</v>
      </c>
      <c r="DF59" s="1">
        <v>5</v>
      </c>
      <c r="DG59" s="1">
        <v>5</v>
      </c>
      <c r="DH59" s="1">
        <v>6</v>
      </c>
      <c r="DI59" s="1">
        <v>6</v>
      </c>
      <c r="DJ59" s="1">
        <v>6</v>
      </c>
      <c r="DK59" s="1">
        <v>6</v>
      </c>
      <c r="DL59" s="1">
        <v>6</v>
      </c>
      <c r="DM59" s="19">
        <v>6</v>
      </c>
      <c r="DN59" s="19">
        <v>6</v>
      </c>
      <c r="DO59" s="1">
        <v>5</v>
      </c>
      <c r="DP59" s="1">
        <v>6</v>
      </c>
      <c r="DQ59" s="1">
        <v>5</v>
      </c>
      <c r="DR59" s="1">
        <v>6</v>
      </c>
      <c r="DS59" s="1">
        <v>7</v>
      </c>
      <c r="DT59" s="1">
        <v>6</v>
      </c>
      <c r="DU59" s="27">
        <v>7</v>
      </c>
      <c r="DV59" s="27">
        <v>7</v>
      </c>
      <c r="DW59" s="27">
        <v>7</v>
      </c>
      <c r="DX59" s="27">
        <v>4</v>
      </c>
      <c r="DY59" s="27">
        <v>1</v>
      </c>
      <c r="DZ59" s="27">
        <v>2</v>
      </c>
      <c r="EA59" s="27">
        <v>1</v>
      </c>
      <c r="EB59" s="27">
        <v>7</v>
      </c>
      <c r="EC59" s="27">
        <v>6</v>
      </c>
      <c r="ED59" s="27">
        <v>3</v>
      </c>
      <c r="EE59" s="27">
        <v>1</v>
      </c>
      <c r="EF59" s="27">
        <v>2</v>
      </c>
      <c r="EG59" s="27">
        <v>6</v>
      </c>
      <c r="EH59" s="27">
        <v>7</v>
      </c>
      <c r="EI59" s="27">
        <v>7</v>
      </c>
      <c r="EJ59" s="27">
        <v>7</v>
      </c>
      <c r="EK59" s="27">
        <v>6</v>
      </c>
      <c r="EL59" s="27">
        <v>7</v>
      </c>
      <c r="EM59" s="27">
        <v>1</v>
      </c>
      <c r="EN59" s="27">
        <v>1</v>
      </c>
      <c r="EO59" s="27">
        <v>7</v>
      </c>
      <c r="EP59" s="27">
        <v>7</v>
      </c>
      <c r="EQ59" s="27">
        <v>4</v>
      </c>
      <c r="ER59" s="27">
        <v>7</v>
      </c>
      <c r="ES59" s="27">
        <v>4</v>
      </c>
      <c r="ET59" s="27">
        <v>4</v>
      </c>
      <c r="EU59" s="27">
        <v>4</v>
      </c>
      <c r="EV59" s="1">
        <v>18</v>
      </c>
      <c r="EW59" s="1">
        <v>2</v>
      </c>
      <c r="EY59" s="1">
        <v>1</v>
      </c>
      <c r="EZ59" s="9"/>
      <c r="FA59" s="1">
        <v>1</v>
      </c>
      <c r="FB59" s="9" t="s">
        <v>809</v>
      </c>
      <c r="FC59" s="1">
        <v>0</v>
      </c>
      <c r="FD59" s="1">
        <v>5</v>
      </c>
      <c r="FE59" s="4"/>
      <c r="FF59" s="4"/>
      <c r="FG59" s="4"/>
      <c r="FH59" s="4"/>
      <c r="FI59" s="4"/>
      <c r="FJ59" s="23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26"/>
      <c r="GF59" s="26"/>
      <c r="GG59" s="4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S59" s="3"/>
      <c r="HU59" s="3"/>
      <c r="HX59" s="3"/>
      <c r="IA59" s="3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6"/>
      <c r="JP59" s="6"/>
      <c r="JQ59" s="6"/>
      <c r="JR59" s="6"/>
      <c r="JS59" s="6"/>
      <c r="JT59" s="8"/>
      <c r="JU59" s="8"/>
      <c r="JV59" s="8"/>
      <c r="JW59" s="8"/>
      <c r="JX59" s="8"/>
      <c r="JY59" s="8"/>
      <c r="JZ59" s="8"/>
      <c r="KA59" s="8"/>
      <c r="KB59" s="8"/>
      <c r="KC59" s="6"/>
      <c r="KD59" s="6"/>
      <c r="KE59" s="6"/>
      <c r="KF59" s="6"/>
      <c r="KG59" s="6"/>
      <c r="KH59" s="6"/>
      <c r="KI59" s="6"/>
      <c r="KJ59" s="6"/>
      <c r="KK59" s="6"/>
      <c r="KL59" s="4"/>
      <c r="KM59" s="4"/>
      <c r="KN59" s="6"/>
      <c r="KO59" s="4"/>
      <c r="KP59" s="4"/>
      <c r="KQ59" s="6"/>
      <c r="KR59" s="6"/>
      <c r="KS59" s="4"/>
      <c r="KU59" s="4"/>
      <c r="KV59" s="4"/>
      <c r="KW59" s="4"/>
      <c r="KX59" s="6"/>
      <c r="KY59" s="6"/>
      <c r="KZ59" s="6"/>
      <c r="LA59" s="4"/>
      <c r="LB59" s="6"/>
      <c r="LC59" s="6"/>
      <c r="LD59" s="4"/>
      <c r="LE59" s="4"/>
      <c r="LF59" s="6"/>
      <c r="LG59" s="6"/>
      <c r="LH59" s="6"/>
      <c r="LI59" s="6"/>
      <c r="LJ59" s="6"/>
      <c r="LK59" s="6"/>
      <c r="LL59" s="6"/>
      <c r="LM59" s="6"/>
      <c r="LN59" s="6"/>
      <c r="LO59" s="6"/>
      <c r="LP59" s="6"/>
      <c r="LQ59" s="6"/>
      <c r="LR59" s="6"/>
      <c r="LS59" s="6"/>
      <c r="LT59" s="6"/>
      <c r="LU59" s="6"/>
      <c r="LV59" s="6"/>
      <c r="LW59" s="6"/>
      <c r="LX59" s="6"/>
      <c r="LY59" s="6"/>
      <c r="LZ59" s="6"/>
      <c r="MA59" s="6"/>
      <c r="MB59" s="6"/>
      <c r="MC59" s="6"/>
      <c r="MD59" s="6"/>
      <c r="ME59" s="6"/>
      <c r="MF59" s="6"/>
      <c r="MG59" s="6"/>
      <c r="MH59" s="6"/>
      <c r="MI59" s="6"/>
      <c r="MJ59" s="6"/>
      <c r="MK59" s="6"/>
      <c r="ML59" s="6"/>
      <c r="MM59" s="6"/>
      <c r="MN59" s="6"/>
      <c r="MO59" s="6"/>
      <c r="MP59" s="6"/>
      <c r="MQ59" s="6"/>
      <c r="MR59" s="6"/>
      <c r="MS59" s="6"/>
      <c r="MT59" s="6"/>
      <c r="MU59" s="6"/>
      <c r="MV59" s="6"/>
      <c r="MW59" s="6"/>
      <c r="MX59" s="6"/>
      <c r="MY59" s="6"/>
      <c r="MZ59" s="6"/>
      <c r="NA59" s="6"/>
      <c r="NB59" s="6"/>
      <c r="NC59" s="6"/>
      <c r="ND59" s="6"/>
      <c r="NE59" s="6"/>
      <c r="NF59" s="6"/>
      <c r="NG59" s="6"/>
      <c r="NH59" s="6"/>
      <c r="NI59" s="6"/>
      <c r="NJ59" s="4"/>
    </row>
    <row r="60" spans="1:374" s="1" customFormat="1" x14ac:dyDescent="0.35">
      <c r="A60" s="2">
        <v>43356</v>
      </c>
      <c r="B60" s="15" t="s">
        <v>103</v>
      </c>
      <c r="C60" s="15" t="s">
        <v>221</v>
      </c>
      <c r="D60" s="1">
        <v>59</v>
      </c>
      <c r="E60" s="3">
        <v>2</v>
      </c>
      <c r="F60" s="3">
        <v>2</v>
      </c>
      <c r="G60" s="3"/>
      <c r="H60" s="3">
        <v>15</v>
      </c>
      <c r="I60" s="3">
        <v>3</v>
      </c>
      <c r="J60" s="3"/>
      <c r="K60" s="18">
        <v>0</v>
      </c>
      <c r="L60" s="18">
        <v>1</v>
      </c>
      <c r="M60" s="18">
        <v>0</v>
      </c>
      <c r="N60" s="18">
        <v>1</v>
      </c>
      <c r="O60" s="18">
        <v>1</v>
      </c>
      <c r="P60" s="4">
        <v>0.6</v>
      </c>
      <c r="Q60" s="3">
        <v>119</v>
      </c>
      <c r="R60" s="3">
        <v>138</v>
      </c>
      <c r="S60" s="3">
        <v>133</v>
      </c>
      <c r="T60" s="3">
        <v>122</v>
      </c>
      <c r="U60" s="3">
        <v>111</v>
      </c>
      <c r="V60" s="3">
        <v>117</v>
      </c>
      <c r="W60" s="3">
        <v>112</v>
      </c>
      <c r="X60" s="3">
        <v>124</v>
      </c>
      <c r="Y60" s="3">
        <v>113</v>
      </c>
      <c r="Z60" s="3"/>
      <c r="AA60" s="3"/>
      <c r="AB60" s="3"/>
      <c r="AC60" s="3"/>
      <c r="AD60" s="3"/>
      <c r="AE60" s="3"/>
      <c r="AF60" s="3"/>
      <c r="AG60" s="3"/>
      <c r="AH60" s="3"/>
      <c r="AI60" s="4"/>
      <c r="AJ60" s="4"/>
      <c r="AK60" s="4"/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/>
      <c r="AY60"/>
      <c r="AZ60"/>
      <c r="BA60"/>
      <c r="BB60"/>
      <c r="BC60"/>
      <c r="BP60" s="4"/>
      <c r="BQ60" s="4"/>
      <c r="BR60" s="4"/>
      <c r="BS60" s="4"/>
      <c r="BT60" s="4"/>
      <c r="BU60" s="4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1">
        <v>7</v>
      </c>
      <c r="CJ60" s="1">
        <v>7</v>
      </c>
      <c r="CK60" s="1">
        <v>7</v>
      </c>
      <c r="CL60" s="1">
        <v>6</v>
      </c>
      <c r="CM60" s="1">
        <v>6</v>
      </c>
      <c r="CN60" s="1">
        <v>7</v>
      </c>
      <c r="CO60" s="1">
        <v>6</v>
      </c>
      <c r="CP60" s="1">
        <v>1</v>
      </c>
      <c r="CQ60" s="1">
        <v>7</v>
      </c>
      <c r="CR60" s="1">
        <v>7</v>
      </c>
      <c r="CS60" s="1">
        <v>7</v>
      </c>
      <c r="CT60" s="1">
        <v>7</v>
      </c>
      <c r="CU60" s="1">
        <v>7</v>
      </c>
      <c r="CV60" s="1">
        <v>7</v>
      </c>
      <c r="CW60" s="1">
        <v>6</v>
      </c>
      <c r="CX60" s="1">
        <v>6</v>
      </c>
      <c r="CY60" s="1">
        <v>7</v>
      </c>
      <c r="CZ60" s="1">
        <v>7</v>
      </c>
      <c r="DA60" s="1">
        <v>7</v>
      </c>
      <c r="DB60" s="1">
        <v>7</v>
      </c>
      <c r="DC60" s="1">
        <v>7</v>
      </c>
      <c r="DD60" s="1">
        <v>7</v>
      </c>
      <c r="DE60" s="1">
        <v>6</v>
      </c>
      <c r="DF60" s="1">
        <v>6</v>
      </c>
      <c r="DG60" s="1">
        <v>1</v>
      </c>
      <c r="DH60" s="1">
        <v>6</v>
      </c>
      <c r="DI60" s="1">
        <v>2</v>
      </c>
      <c r="DJ60" s="1">
        <v>6</v>
      </c>
      <c r="DK60" s="1">
        <v>6</v>
      </c>
      <c r="DL60" s="1">
        <v>6</v>
      </c>
      <c r="DM60" s="19">
        <v>6</v>
      </c>
      <c r="DN60" s="19">
        <v>5</v>
      </c>
      <c r="DO60" s="1">
        <v>4</v>
      </c>
      <c r="DP60" s="1">
        <v>6</v>
      </c>
      <c r="DQ60" s="1">
        <v>6</v>
      </c>
      <c r="DR60" s="1">
        <v>7</v>
      </c>
      <c r="DS60" s="1">
        <v>7</v>
      </c>
      <c r="DT60" s="1">
        <v>7</v>
      </c>
      <c r="DU60" s="27">
        <v>7</v>
      </c>
      <c r="DV60" s="27">
        <v>7</v>
      </c>
      <c r="DW60" s="27">
        <v>2</v>
      </c>
      <c r="DX60" s="27">
        <v>1</v>
      </c>
      <c r="DY60" s="27">
        <v>1</v>
      </c>
      <c r="DZ60" s="27">
        <v>1</v>
      </c>
      <c r="EA60" s="27">
        <v>1</v>
      </c>
      <c r="EB60" s="27">
        <v>6</v>
      </c>
      <c r="EC60" s="27">
        <v>1</v>
      </c>
      <c r="ED60" s="27">
        <v>4</v>
      </c>
      <c r="EE60" s="27">
        <v>7</v>
      </c>
      <c r="EF60" s="27">
        <v>7</v>
      </c>
      <c r="EG60" s="27">
        <v>4</v>
      </c>
      <c r="EH60" s="27">
        <v>7</v>
      </c>
      <c r="EI60" s="27">
        <v>7</v>
      </c>
      <c r="EJ60" s="27">
        <v>7</v>
      </c>
      <c r="EK60" s="27">
        <v>7</v>
      </c>
      <c r="EL60" s="27">
        <v>7</v>
      </c>
      <c r="EM60" s="27">
        <v>1</v>
      </c>
      <c r="EN60" s="27">
        <v>1</v>
      </c>
      <c r="EO60" s="27">
        <v>7</v>
      </c>
      <c r="EP60" s="27">
        <v>7</v>
      </c>
      <c r="EQ60" s="27">
        <v>7</v>
      </c>
      <c r="ER60" s="27">
        <v>7</v>
      </c>
      <c r="ES60" s="27">
        <v>7</v>
      </c>
      <c r="ET60" s="27">
        <v>4</v>
      </c>
      <c r="EU60" s="27">
        <v>4</v>
      </c>
      <c r="EV60" s="1">
        <v>21</v>
      </c>
      <c r="EW60" s="1">
        <v>2</v>
      </c>
      <c r="EY60" s="1">
        <v>1</v>
      </c>
      <c r="EZ60" s="9"/>
      <c r="FA60" s="1">
        <v>3</v>
      </c>
      <c r="FB60" s="9" t="s">
        <v>818</v>
      </c>
      <c r="FC60" s="1">
        <v>0</v>
      </c>
      <c r="FD60" s="1">
        <v>5</v>
      </c>
      <c r="FE60" s="4"/>
      <c r="FF60" s="4"/>
      <c r="FG60" s="4"/>
      <c r="FH60" s="4"/>
      <c r="FI60" s="4"/>
      <c r="FJ60" s="23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26"/>
      <c r="GF60" s="26"/>
      <c r="GG60" s="4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S60" s="3"/>
      <c r="HU60" s="3"/>
      <c r="HX60" s="3"/>
      <c r="IA60" s="3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6"/>
      <c r="JP60" s="6"/>
      <c r="JQ60" s="6"/>
      <c r="JR60" s="6"/>
      <c r="JS60" s="6"/>
      <c r="JT60" s="8"/>
      <c r="JU60" s="8"/>
      <c r="JV60" s="8"/>
      <c r="JW60" s="8"/>
      <c r="JX60" s="8"/>
      <c r="JY60" s="8"/>
      <c r="JZ60" s="8"/>
      <c r="KA60" s="8"/>
      <c r="KB60" s="8"/>
      <c r="KC60" s="6"/>
      <c r="KD60" s="6"/>
      <c r="KE60" s="6"/>
      <c r="KF60" s="6"/>
      <c r="KG60" s="6"/>
      <c r="KH60" s="6"/>
      <c r="KI60" s="6"/>
      <c r="KJ60" s="6"/>
      <c r="KK60" s="6"/>
      <c r="KL60" s="4"/>
      <c r="KM60" s="4"/>
      <c r="KN60" s="6"/>
      <c r="KO60" s="4"/>
      <c r="KP60" s="4"/>
      <c r="KQ60" s="6"/>
      <c r="KR60" s="6"/>
      <c r="KS60" s="4"/>
      <c r="KU60" s="4"/>
      <c r="KV60" s="4"/>
      <c r="KW60" s="4"/>
      <c r="KX60" s="6"/>
      <c r="KY60" s="6"/>
      <c r="KZ60" s="6"/>
      <c r="LA60" s="4"/>
      <c r="LB60" s="6"/>
      <c r="LC60" s="6"/>
      <c r="LD60" s="4"/>
      <c r="LE60" s="4"/>
      <c r="LF60" s="6"/>
      <c r="LG60" s="6"/>
      <c r="LH60" s="6"/>
      <c r="LI60" s="6"/>
      <c r="LJ60" s="6"/>
      <c r="LK60" s="6"/>
      <c r="LL60" s="6"/>
      <c r="LM60" s="6"/>
      <c r="LN60" s="6"/>
      <c r="LO60" s="6"/>
      <c r="LP60" s="6"/>
      <c r="LQ60" s="6"/>
      <c r="LR60" s="6"/>
      <c r="LS60" s="6"/>
      <c r="LT60" s="6"/>
      <c r="LU60" s="6"/>
      <c r="LV60" s="6"/>
      <c r="LW60" s="6"/>
      <c r="LX60" s="6"/>
      <c r="LY60" s="6"/>
      <c r="LZ60" s="6"/>
      <c r="MA60" s="6"/>
      <c r="MB60" s="6"/>
      <c r="MC60" s="6"/>
      <c r="MD60" s="6"/>
      <c r="ME60" s="6"/>
      <c r="MF60" s="6"/>
      <c r="MG60" s="6"/>
      <c r="MH60" s="6"/>
      <c r="MI60" s="6"/>
      <c r="MJ60" s="6"/>
      <c r="MK60" s="6"/>
      <c r="ML60" s="6"/>
      <c r="MM60" s="6"/>
      <c r="MN60" s="6"/>
      <c r="MO60" s="6"/>
      <c r="MP60" s="6"/>
      <c r="MQ60" s="6"/>
      <c r="MR60" s="6"/>
      <c r="MS60" s="6"/>
      <c r="MT60" s="6"/>
      <c r="MU60" s="6"/>
      <c r="MV60" s="6"/>
      <c r="MW60" s="6"/>
      <c r="MX60" s="6"/>
      <c r="MY60" s="6"/>
      <c r="MZ60" s="6"/>
      <c r="NA60" s="6"/>
      <c r="NB60" s="6"/>
      <c r="NC60" s="6"/>
      <c r="ND60" s="6"/>
      <c r="NE60" s="6"/>
      <c r="NF60" s="6"/>
      <c r="NG60" s="6"/>
      <c r="NH60" s="6"/>
      <c r="NI60" s="6"/>
      <c r="NJ60" s="4"/>
    </row>
    <row r="61" spans="1:374" s="1" customFormat="1" x14ac:dyDescent="0.35">
      <c r="A61" s="2">
        <v>43356</v>
      </c>
      <c r="B61" s="15" t="s">
        <v>103</v>
      </c>
      <c r="C61" s="15" t="s">
        <v>222</v>
      </c>
      <c r="D61" s="1">
        <v>60</v>
      </c>
      <c r="E61" s="3">
        <v>2</v>
      </c>
      <c r="F61" s="3">
        <v>2</v>
      </c>
      <c r="G61" s="3"/>
      <c r="H61" s="3">
        <v>15</v>
      </c>
      <c r="I61" s="3">
        <v>4</v>
      </c>
      <c r="J61" s="3"/>
      <c r="K61" s="18">
        <v>1</v>
      </c>
      <c r="L61" s="18">
        <v>1</v>
      </c>
      <c r="M61" s="18">
        <v>1</v>
      </c>
      <c r="N61" s="18">
        <v>1</v>
      </c>
      <c r="O61" s="18">
        <v>1</v>
      </c>
      <c r="P61" s="4">
        <v>1</v>
      </c>
      <c r="Q61" s="3">
        <v>95</v>
      </c>
      <c r="R61" s="3">
        <v>111</v>
      </c>
      <c r="S61" s="3">
        <v>104</v>
      </c>
      <c r="T61" s="3">
        <v>113</v>
      </c>
      <c r="U61" s="3">
        <v>116</v>
      </c>
      <c r="V61" s="3">
        <v>107</v>
      </c>
      <c r="W61" s="3">
        <v>104</v>
      </c>
      <c r="X61" s="3">
        <v>96</v>
      </c>
      <c r="Y61" s="3">
        <v>117</v>
      </c>
      <c r="Z61" s="3"/>
      <c r="AA61" s="3"/>
      <c r="AB61" s="3"/>
      <c r="AC61" s="3"/>
      <c r="AD61" s="3"/>
      <c r="AE61" s="3"/>
      <c r="AF61" s="3"/>
      <c r="AG61" s="3"/>
      <c r="AH61" s="3"/>
      <c r="AI61" s="4"/>
      <c r="AJ61" s="4"/>
      <c r="AK61" s="4"/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/>
      <c r="AY61"/>
      <c r="AZ61"/>
      <c r="BA61"/>
      <c r="BB61"/>
      <c r="BC61"/>
      <c r="BP61" s="4"/>
      <c r="BQ61" s="4"/>
      <c r="BR61" s="4"/>
      <c r="BS61" s="4"/>
      <c r="BT61" s="4"/>
      <c r="BU61" s="4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1">
        <v>7</v>
      </c>
      <c r="CJ61" s="1">
        <v>7</v>
      </c>
      <c r="CK61" s="1">
        <v>7</v>
      </c>
      <c r="CL61" s="1">
        <v>6</v>
      </c>
      <c r="CM61" s="1">
        <v>7</v>
      </c>
      <c r="CN61" s="1">
        <v>6</v>
      </c>
      <c r="CO61" s="1">
        <v>1</v>
      </c>
      <c r="CP61" s="1">
        <v>3</v>
      </c>
      <c r="CQ61" s="1">
        <v>6</v>
      </c>
      <c r="CR61" s="1">
        <v>5</v>
      </c>
      <c r="CS61" s="1">
        <v>5</v>
      </c>
      <c r="CT61" s="1">
        <v>5</v>
      </c>
      <c r="CU61" s="1">
        <v>4</v>
      </c>
      <c r="CV61" s="1">
        <v>6</v>
      </c>
      <c r="CW61" s="1">
        <v>4</v>
      </c>
      <c r="CX61" s="1">
        <v>4</v>
      </c>
      <c r="CY61" s="1">
        <v>4</v>
      </c>
      <c r="CZ61" s="1">
        <v>7</v>
      </c>
      <c r="DA61" s="1">
        <v>5</v>
      </c>
      <c r="DB61" s="1">
        <v>6</v>
      </c>
      <c r="DC61" s="1">
        <v>6</v>
      </c>
      <c r="DD61" s="1">
        <v>1</v>
      </c>
      <c r="DE61" s="1">
        <v>6</v>
      </c>
      <c r="DF61" s="1">
        <v>5</v>
      </c>
      <c r="DG61" s="1">
        <v>1</v>
      </c>
      <c r="DH61" s="1">
        <v>5</v>
      </c>
      <c r="DI61" s="1">
        <v>5</v>
      </c>
      <c r="DJ61" s="1">
        <v>1</v>
      </c>
      <c r="DK61" s="1">
        <v>2</v>
      </c>
      <c r="DL61" s="1">
        <v>7</v>
      </c>
      <c r="DM61" s="19">
        <v>7</v>
      </c>
      <c r="DN61" s="19">
        <v>4</v>
      </c>
      <c r="DO61" s="1">
        <v>1</v>
      </c>
      <c r="DP61" s="1">
        <v>1</v>
      </c>
      <c r="DQ61" s="1">
        <v>2</v>
      </c>
      <c r="DR61" s="1">
        <v>5</v>
      </c>
      <c r="DS61" s="1">
        <v>5</v>
      </c>
      <c r="DT61" s="1">
        <v>2</v>
      </c>
      <c r="DU61" s="27">
        <v>7</v>
      </c>
      <c r="DV61" s="27">
        <v>3</v>
      </c>
      <c r="DW61" s="27">
        <v>3</v>
      </c>
      <c r="DX61" s="27">
        <v>3</v>
      </c>
      <c r="DY61" s="27">
        <v>3</v>
      </c>
      <c r="DZ61" s="27">
        <v>4</v>
      </c>
      <c r="EA61" s="27">
        <v>1</v>
      </c>
      <c r="EB61" s="27">
        <v>5</v>
      </c>
      <c r="EC61" s="27">
        <v>5</v>
      </c>
      <c r="ED61" s="27">
        <v>3</v>
      </c>
      <c r="EE61" s="27">
        <v>7</v>
      </c>
      <c r="EF61" s="27">
        <v>4</v>
      </c>
      <c r="EG61" s="27">
        <v>2</v>
      </c>
      <c r="EH61" s="27">
        <v>7</v>
      </c>
      <c r="EI61" s="27">
        <v>7</v>
      </c>
      <c r="EJ61" s="27">
        <v>6</v>
      </c>
      <c r="EK61" s="27">
        <v>6</v>
      </c>
      <c r="EL61" s="27">
        <v>6</v>
      </c>
      <c r="EM61" s="27">
        <v>1</v>
      </c>
      <c r="EN61" s="27">
        <v>1</v>
      </c>
      <c r="EO61" s="27">
        <v>7</v>
      </c>
      <c r="EP61" s="27">
        <v>7</v>
      </c>
      <c r="EQ61" s="27">
        <v>4</v>
      </c>
      <c r="ER61" s="27">
        <v>6</v>
      </c>
      <c r="ES61" s="27">
        <v>7</v>
      </c>
      <c r="ET61" s="27">
        <v>4</v>
      </c>
      <c r="EU61" s="27">
        <v>4</v>
      </c>
      <c r="EV61" s="1">
        <v>19</v>
      </c>
      <c r="EW61" s="1">
        <v>2</v>
      </c>
      <c r="EY61" s="1">
        <v>1</v>
      </c>
      <c r="EZ61" s="9"/>
      <c r="FA61" s="1">
        <v>1</v>
      </c>
      <c r="FB61" s="9" t="s">
        <v>819</v>
      </c>
      <c r="FC61" s="1">
        <v>0</v>
      </c>
      <c r="FD61" s="1">
        <v>3</v>
      </c>
      <c r="FE61" s="4"/>
      <c r="FF61" s="4"/>
      <c r="FG61" s="4"/>
      <c r="FH61" s="4"/>
      <c r="FI61" s="4"/>
      <c r="FJ61" s="23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26"/>
      <c r="GF61" s="26"/>
      <c r="GG61" s="4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S61" s="3"/>
      <c r="HU61" s="3"/>
      <c r="HX61" s="3"/>
      <c r="IA61" s="3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6"/>
      <c r="JP61" s="6"/>
      <c r="JQ61" s="6"/>
      <c r="JR61" s="6"/>
      <c r="JS61" s="6"/>
      <c r="JT61" s="8"/>
      <c r="JU61" s="8"/>
      <c r="JV61" s="8"/>
      <c r="JW61" s="8"/>
      <c r="JX61" s="8"/>
      <c r="JY61" s="8"/>
      <c r="JZ61" s="8"/>
      <c r="KA61" s="8"/>
      <c r="KB61" s="8"/>
      <c r="KC61" s="6"/>
      <c r="KD61" s="6"/>
      <c r="KE61" s="6"/>
      <c r="KF61" s="6"/>
      <c r="KG61" s="6"/>
      <c r="KH61" s="6"/>
      <c r="KI61" s="6"/>
      <c r="KJ61" s="6"/>
      <c r="KK61" s="6"/>
      <c r="KL61" s="4"/>
      <c r="KM61" s="4"/>
      <c r="KN61" s="6"/>
      <c r="KO61" s="4"/>
      <c r="KP61" s="4"/>
      <c r="KQ61" s="6"/>
      <c r="KR61" s="6"/>
      <c r="KS61" s="4"/>
      <c r="KU61" s="4"/>
      <c r="KV61" s="4"/>
      <c r="KW61" s="4"/>
      <c r="KX61" s="6"/>
      <c r="KY61" s="6"/>
      <c r="KZ61" s="6"/>
      <c r="LA61" s="4"/>
      <c r="LB61" s="6"/>
      <c r="LC61" s="6"/>
      <c r="LD61" s="4"/>
      <c r="LE61" s="4"/>
      <c r="LF61" s="6"/>
      <c r="LG61" s="6"/>
      <c r="LH61" s="6"/>
      <c r="LI61" s="6"/>
      <c r="LJ61" s="6"/>
      <c r="LK61" s="6"/>
      <c r="LL61" s="6"/>
      <c r="LM61" s="6"/>
      <c r="LN61" s="6"/>
      <c r="LO61" s="6"/>
      <c r="LP61" s="6"/>
      <c r="LQ61" s="6"/>
      <c r="LR61" s="6"/>
      <c r="LS61" s="6"/>
      <c r="LT61" s="6"/>
      <c r="LU61" s="6"/>
      <c r="LV61" s="6"/>
      <c r="LW61" s="6"/>
      <c r="LX61" s="6"/>
      <c r="LY61" s="6"/>
      <c r="LZ61" s="6"/>
      <c r="MA61" s="6"/>
      <c r="MB61" s="6"/>
      <c r="MC61" s="6"/>
      <c r="MD61" s="6"/>
      <c r="ME61" s="6"/>
      <c r="MF61" s="6"/>
      <c r="MG61" s="6"/>
      <c r="MH61" s="6"/>
      <c r="MI61" s="6"/>
      <c r="MJ61" s="6"/>
      <c r="MK61" s="6"/>
      <c r="ML61" s="6"/>
      <c r="MM61" s="6"/>
      <c r="MN61" s="6"/>
      <c r="MO61" s="6"/>
      <c r="MP61" s="6"/>
      <c r="MQ61" s="6"/>
      <c r="MR61" s="6"/>
      <c r="MS61" s="6"/>
      <c r="MT61" s="6"/>
      <c r="MU61" s="6"/>
      <c r="MV61" s="6"/>
      <c r="MW61" s="6"/>
      <c r="MX61" s="6"/>
      <c r="MY61" s="6"/>
      <c r="MZ61" s="6"/>
      <c r="NA61" s="6"/>
      <c r="NB61" s="6"/>
      <c r="NC61" s="6"/>
      <c r="ND61" s="6"/>
      <c r="NE61" s="6"/>
      <c r="NF61" s="6"/>
      <c r="NG61" s="6"/>
      <c r="NH61" s="6"/>
      <c r="NI61" s="6"/>
      <c r="NJ61" s="4"/>
    </row>
    <row r="62" spans="1:374" s="1" customFormat="1" x14ac:dyDescent="0.35">
      <c r="A62" s="2">
        <v>43356</v>
      </c>
      <c r="B62" s="15" t="s">
        <v>104</v>
      </c>
      <c r="C62" s="15" t="s">
        <v>223</v>
      </c>
      <c r="D62" s="1">
        <v>61</v>
      </c>
      <c r="E62" s="3">
        <v>2</v>
      </c>
      <c r="F62" s="3">
        <v>2</v>
      </c>
      <c r="G62" s="3">
        <v>1</v>
      </c>
      <c r="H62" s="3">
        <v>16</v>
      </c>
      <c r="I62" s="3">
        <v>1</v>
      </c>
      <c r="J62" s="3">
        <v>1</v>
      </c>
      <c r="K62" s="18">
        <v>1</v>
      </c>
      <c r="L62" s="18">
        <v>1</v>
      </c>
      <c r="M62" s="18">
        <v>0</v>
      </c>
      <c r="N62" s="18">
        <v>1</v>
      </c>
      <c r="O62" s="18">
        <v>0</v>
      </c>
      <c r="P62" s="4">
        <v>0.6</v>
      </c>
      <c r="Q62" s="3">
        <v>82</v>
      </c>
      <c r="R62" s="3">
        <v>115</v>
      </c>
      <c r="S62" s="3">
        <v>109</v>
      </c>
      <c r="T62" s="3">
        <v>94</v>
      </c>
      <c r="U62" s="3">
        <v>85</v>
      </c>
      <c r="V62" s="3">
        <v>118</v>
      </c>
      <c r="W62" s="3">
        <v>87</v>
      </c>
      <c r="X62" s="3">
        <v>95</v>
      </c>
      <c r="Y62" s="3">
        <v>76</v>
      </c>
      <c r="Z62" s="3">
        <v>302</v>
      </c>
      <c r="AA62" s="3">
        <v>379</v>
      </c>
      <c r="AB62" s="3">
        <v>406</v>
      </c>
      <c r="AC62" s="3">
        <v>336</v>
      </c>
      <c r="AD62" s="3">
        <v>353</v>
      </c>
      <c r="AE62" s="3">
        <v>379</v>
      </c>
      <c r="AF62" s="3">
        <v>301</v>
      </c>
      <c r="AG62" s="3">
        <v>337</v>
      </c>
      <c r="AH62" s="3">
        <v>310</v>
      </c>
      <c r="AI62" s="4">
        <v>362.33</v>
      </c>
      <c r="AJ62" s="4">
        <v>356</v>
      </c>
      <c r="AK62" s="4">
        <v>316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f t="shared" ref="AX62:BC62" si="30">AL62+AL63+AL64+AL65</f>
        <v>0</v>
      </c>
      <c r="AY62" s="19">
        <f t="shared" si="30"/>
        <v>0</v>
      </c>
      <c r="AZ62" s="19">
        <f t="shared" si="30"/>
        <v>0</v>
      </c>
      <c r="BA62" s="19">
        <f t="shared" si="30"/>
        <v>0</v>
      </c>
      <c r="BB62" s="19">
        <f t="shared" si="30"/>
        <v>0</v>
      </c>
      <c r="BC62" s="19">
        <f t="shared" si="30"/>
        <v>0</v>
      </c>
      <c r="BD62" s="1">
        <f>AX62*3</f>
        <v>0</v>
      </c>
      <c r="BE62" s="1">
        <f t="shared" ref="BE62:BI62" si="31">AY62*3</f>
        <v>0</v>
      </c>
      <c r="BF62" s="1">
        <f t="shared" si="31"/>
        <v>0</v>
      </c>
      <c r="BG62" s="1">
        <f t="shared" si="31"/>
        <v>0</v>
      </c>
      <c r="BH62" s="1">
        <f t="shared" si="31"/>
        <v>0</v>
      </c>
      <c r="BI62" s="1">
        <f t="shared" si="31"/>
        <v>0</v>
      </c>
      <c r="BJ62" s="1">
        <f>AX62+AY62+AZ62</f>
        <v>0</v>
      </c>
      <c r="BK62" s="1">
        <f>BA62+BB62+BC62</f>
        <v>0</v>
      </c>
      <c r="BL62" s="1">
        <f>BJ62*3</f>
        <v>0</v>
      </c>
      <c r="BM62" s="1">
        <f>BK62*3</f>
        <v>0</v>
      </c>
      <c r="BN62" s="1">
        <f>BL62/3</f>
        <v>0</v>
      </c>
      <c r="BO62" s="1">
        <f>BM62/3</f>
        <v>0</v>
      </c>
      <c r="BP62" s="4">
        <v>362.33333333333331</v>
      </c>
      <c r="BQ62" s="4">
        <v>356</v>
      </c>
      <c r="BR62" s="4">
        <v>316</v>
      </c>
      <c r="BS62" s="4">
        <v>362.33</v>
      </c>
      <c r="BT62" s="4">
        <v>356</v>
      </c>
      <c r="BU62" s="4">
        <v>3.17</v>
      </c>
      <c r="BV62" s="3">
        <v>2</v>
      </c>
      <c r="BW62" s="3">
        <v>2</v>
      </c>
      <c r="BX62" s="3">
        <v>2</v>
      </c>
      <c r="BY62" s="3">
        <v>2</v>
      </c>
      <c r="BZ62" s="3">
        <v>2</v>
      </c>
      <c r="CA62" s="3">
        <v>2</v>
      </c>
      <c r="CB62" s="3">
        <v>2</v>
      </c>
      <c r="CC62" s="3">
        <v>2</v>
      </c>
      <c r="CD62" s="3">
        <v>2</v>
      </c>
      <c r="CE62" s="3">
        <v>2</v>
      </c>
      <c r="CF62" s="3">
        <v>2</v>
      </c>
      <c r="CG62" s="3">
        <v>2</v>
      </c>
      <c r="CH62" s="3">
        <v>1</v>
      </c>
      <c r="CI62" s="1">
        <v>6</v>
      </c>
      <c r="CJ62" s="1">
        <v>6</v>
      </c>
      <c r="CK62" s="1">
        <v>6</v>
      </c>
      <c r="CL62" s="1">
        <v>6</v>
      </c>
      <c r="CM62" s="1">
        <v>6</v>
      </c>
      <c r="CN62" s="1">
        <v>7</v>
      </c>
      <c r="CO62" s="1">
        <v>5</v>
      </c>
      <c r="CP62" s="1">
        <v>2</v>
      </c>
      <c r="CQ62" s="1">
        <v>6</v>
      </c>
      <c r="CR62" s="1">
        <v>5</v>
      </c>
      <c r="CS62" s="1">
        <v>6</v>
      </c>
      <c r="CT62" s="1">
        <v>6</v>
      </c>
      <c r="CU62" s="1">
        <v>5</v>
      </c>
      <c r="CV62" s="1">
        <v>6</v>
      </c>
      <c r="CW62" s="1">
        <v>6</v>
      </c>
      <c r="CX62" s="1">
        <v>6</v>
      </c>
      <c r="CY62" s="1">
        <v>4</v>
      </c>
      <c r="CZ62" s="1">
        <v>6</v>
      </c>
      <c r="DA62" s="1">
        <v>6</v>
      </c>
      <c r="DB62" s="1">
        <v>6</v>
      </c>
      <c r="DC62" s="1">
        <v>6</v>
      </c>
      <c r="DD62" s="1">
        <v>6</v>
      </c>
      <c r="DE62" s="1">
        <v>6</v>
      </c>
      <c r="DF62" s="1">
        <v>3</v>
      </c>
      <c r="DG62" s="1">
        <v>7</v>
      </c>
      <c r="DH62" s="1">
        <v>6</v>
      </c>
      <c r="DI62" s="1">
        <v>4</v>
      </c>
      <c r="DJ62" s="1">
        <v>4</v>
      </c>
      <c r="DK62" s="1">
        <v>3</v>
      </c>
      <c r="DL62" s="1">
        <v>6</v>
      </c>
      <c r="DM62" s="19">
        <v>6</v>
      </c>
      <c r="DN62" s="19">
        <v>7</v>
      </c>
      <c r="DO62" s="1">
        <v>7</v>
      </c>
      <c r="DP62" s="1">
        <v>6</v>
      </c>
      <c r="DQ62" s="1">
        <v>5</v>
      </c>
      <c r="DR62" s="1">
        <v>1</v>
      </c>
      <c r="DS62" s="1">
        <v>4</v>
      </c>
      <c r="DT62" s="1">
        <v>3</v>
      </c>
      <c r="DU62" s="27">
        <v>6</v>
      </c>
      <c r="DV62" s="27">
        <v>6</v>
      </c>
      <c r="DW62" s="27">
        <v>2</v>
      </c>
      <c r="DX62" s="27">
        <v>6</v>
      </c>
      <c r="DY62" s="27">
        <v>7</v>
      </c>
      <c r="DZ62" s="27">
        <v>7</v>
      </c>
      <c r="EA62" s="27">
        <v>6</v>
      </c>
      <c r="EB62" s="27">
        <v>7</v>
      </c>
      <c r="EC62" s="27">
        <v>6</v>
      </c>
      <c r="ED62" s="27">
        <v>6</v>
      </c>
      <c r="EE62" s="27">
        <v>5</v>
      </c>
      <c r="EF62" s="27">
        <v>4</v>
      </c>
      <c r="EG62" s="27">
        <v>6</v>
      </c>
      <c r="EH62" s="27">
        <v>6</v>
      </c>
      <c r="EI62" s="27">
        <v>6</v>
      </c>
      <c r="EJ62" s="27">
        <v>6</v>
      </c>
      <c r="EK62" s="27">
        <v>6</v>
      </c>
      <c r="EL62" s="27">
        <v>6</v>
      </c>
      <c r="EM62" s="27">
        <v>6</v>
      </c>
      <c r="EN62" s="27">
        <v>6</v>
      </c>
      <c r="EO62" s="27">
        <v>6</v>
      </c>
      <c r="EP62" s="27">
        <v>6</v>
      </c>
      <c r="EQ62" s="27">
        <v>6</v>
      </c>
      <c r="ER62" s="27">
        <v>6</v>
      </c>
      <c r="ES62" s="27">
        <v>6</v>
      </c>
      <c r="ET62" s="27">
        <v>6</v>
      </c>
      <c r="EU62" s="27">
        <v>6</v>
      </c>
      <c r="EV62" s="1">
        <v>19</v>
      </c>
      <c r="EW62" s="1">
        <v>1</v>
      </c>
      <c r="EY62" s="1">
        <v>2</v>
      </c>
      <c r="EZ62" s="9"/>
      <c r="FA62" s="1">
        <v>1</v>
      </c>
      <c r="FB62" s="9" t="s">
        <v>785</v>
      </c>
      <c r="FC62" s="1">
        <v>1</v>
      </c>
      <c r="FD62" s="1">
        <v>9</v>
      </c>
      <c r="FE62" s="4">
        <v>6.21</v>
      </c>
      <c r="FF62" s="4">
        <v>6.38</v>
      </c>
      <c r="FG62" s="4">
        <v>7.75</v>
      </c>
      <c r="FH62" s="4">
        <v>6.25</v>
      </c>
      <c r="FI62" s="4">
        <v>5.63</v>
      </c>
      <c r="FJ62" s="23">
        <v>6</v>
      </c>
      <c r="FK62" s="4">
        <v>5.79</v>
      </c>
      <c r="FL62" s="4">
        <v>5.25</v>
      </c>
      <c r="FM62" s="4">
        <v>6.63</v>
      </c>
      <c r="FN62" s="4">
        <v>5.63</v>
      </c>
      <c r="FO62" s="4">
        <v>5.42</v>
      </c>
      <c r="FP62" s="4">
        <v>5.75</v>
      </c>
      <c r="FQ62" s="4">
        <v>4.38</v>
      </c>
      <c r="FR62" s="4">
        <v>3.5</v>
      </c>
      <c r="FS62" s="4">
        <v>6.25</v>
      </c>
      <c r="FT62" s="4">
        <v>6</v>
      </c>
      <c r="FU62" s="4">
        <v>4</v>
      </c>
      <c r="FV62" s="4">
        <v>5</v>
      </c>
      <c r="FW62" s="4">
        <v>3</v>
      </c>
      <c r="FX62" s="4">
        <v>5</v>
      </c>
      <c r="FY62" s="4">
        <v>6.25</v>
      </c>
      <c r="FZ62" s="4">
        <v>5.5</v>
      </c>
      <c r="GA62" s="4">
        <v>2.75</v>
      </c>
      <c r="GB62" s="4">
        <v>6.75</v>
      </c>
      <c r="GC62" s="4">
        <v>6.25</v>
      </c>
      <c r="GD62" s="4">
        <v>5.63</v>
      </c>
      <c r="GE62" s="26"/>
      <c r="GF62" s="26"/>
      <c r="GG62" s="4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S62" s="3"/>
      <c r="HU62" s="3"/>
      <c r="HX62" s="3"/>
      <c r="IA62" s="3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3"/>
      <c r="JP62" s="3"/>
      <c r="JQ62" s="4"/>
      <c r="JR62" s="5"/>
      <c r="JS62" s="5"/>
      <c r="JT62" s="8"/>
      <c r="JU62" s="8"/>
      <c r="JV62" s="8"/>
      <c r="JW62" s="8"/>
      <c r="JX62" s="8"/>
      <c r="JY62" s="8"/>
      <c r="JZ62" s="8"/>
      <c r="KA62" s="8"/>
      <c r="KB62" s="8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</row>
    <row r="63" spans="1:374" s="1" customFormat="1" x14ac:dyDescent="0.35">
      <c r="A63" s="2">
        <v>43356</v>
      </c>
      <c r="B63" s="15" t="s">
        <v>104</v>
      </c>
      <c r="C63" s="17" t="s">
        <v>224</v>
      </c>
      <c r="D63" s="1">
        <v>62</v>
      </c>
      <c r="E63" s="3">
        <v>2</v>
      </c>
      <c r="F63" s="3">
        <v>2</v>
      </c>
      <c r="G63" s="3"/>
      <c r="H63" s="3">
        <v>16</v>
      </c>
      <c r="I63" s="3">
        <v>2</v>
      </c>
      <c r="J63" s="3"/>
      <c r="K63" s="18">
        <v>1</v>
      </c>
      <c r="L63" s="18">
        <v>1</v>
      </c>
      <c r="M63" s="18">
        <v>1</v>
      </c>
      <c r="N63" s="18">
        <v>1</v>
      </c>
      <c r="O63" s="18">
        <v>0</v>
      </c>
      <c r="P63" s="4">
        <v>0.8</v>
      </c>
      <c r="Q63" s="3">
        <v>84</v>
      </c>
      <c r="R63" s="3">
        <v>99</v>
      </c>
      <c r="S63" s="3">
        <v>95</v>
      </c>
      <c r="T63" s="3">
        <v>96</v>
      </c>
      <c r="U63" s="3">
        <v>87</v>
      </c>
      <c r="V63" s="3">
        <v>90</v>
      </c>
      <c r="W63" s="3">
        <v>103</v>
      </c>
      <c r="X63" s="3">
        <v>83</v>
      </c>
      <c r="Y63" s="3">
        <v>74</v>
      </c>
      <c r="Z63" s="3"/>
      <c r="AA63" s="3"/>
      <c r="AB63" s="3"/>
      <c r="AC63" s="3"/>
      <c r="AD63" s="3"/>
      <c r="AE63" s="3"/>
      <c r="AF63" s="3"/>
      <c r="AG63" s="3"/>
      <c r="AH63" s="3"/>
      <c r="AI63" s="4"/>
      <c r="AJ63" s="4"/>
      <c r="AK63" s="4"/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/>
      <c r="AY63"/>
      <c r="AZ63"/>
      <c r="BA63"/>
      <c r="BB63"/>
      <c r="BC63"/>
      <c r="BP63" s="4"/>
      <c r="BQ63" s="4"/>
      <c r="BR63" s="4"/>
      <c r="BS63" s="4"/>
      <c r="BT63" s="4"/>
      <c r="BU63" s="4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1">
        <v>6</v>
      </c>
      <c r="CJ63" s="1">
        <v>6</v>
      </c>
      <c r="CK63" s="1">
        <v>6</v>
      </c>
      <c r="CL63" s="1">
        <v>6</v>
      </c>
      <c r="CM63" s="1">
        <v>6</v>
      </c>
      <c r="CN63" s="1">
        <v>6</v>
      </c>
      <c r="CO63" s="1">
        <v>6</v>
      </c>
      <c r="CP63" s="1">
        <v>1</v>
      </c>
      <c r="CQ63" s="1">
        <v>6</v>
      </c>
      <c r="CR63" s="1">
        <v>6</v>
      </c>
      <c r="CS63" s="1">
        <v>6</v>
      </c>
      <c r="CT63" s="1">
        <v>7</v>
      </c>
      <c r="CU63" s="1">
        <v>6</v>
      </c>
      <c r="CV63" s="1">
        <v>6</v>
      </c>
      <c r="CW63" s="1">
        <v>6</v>
      </c>
      <c r="CX63" s="1">
        <v>6</v>
      </c>
      <c r="CY63" s="1">
        <v>6</v>
      </c>
      <c r="CZ63" s="1">
        <v>6</v>
      </c>
      <c r="DA63" s="1">
        <v>6</v>
      </c>
      <c r="DB63" s="1">
        <v>6</v>
      </c>
      <c r="DC63" s="1">
        <v>5</v>
      </c>
      <c r="DD63" s="1">
        <v>5</v>
      </c>
      <c r="DE63" s="1">
        <v>6</v>
      </c>
      <c r="DF63" s="1">
        <v>5</v>
      </c>
      <c r="DG63" s="1">
        <v>5</v>
      </c>
      <c r="DH63" s="1">
        <v>6</v>
      </c>
      <c r="DI63" s="1">
        <v>5</v>
      </c>
      <c r="DJ63" s="1">
        <v>5</v>
      </c>
      <c r="DK63" s="1">
        <v>6</v>
      </c>
      <c r="DL63" s="1">
        <v>5</v>
      </c>
      <c r="DM63" s="19">
        <v>2</v>
      </c>
      <c r="DN63" s="19">
        <v>6</v>
      </c>
      <c r="DO63" s="1">
        <v>5</v>
      </c>
      <c r="DP63" s="1">
        <v>6</v>
      </c>
      <c r="DQ63" s="1">
        <v>6</v>
      </c>
      <c r="DR63" s="1">
        <v>6</v>
      </c>
      <c r="DS63" s="1">
        <v>6</v>
      </c>
      <c r="DT63" s="1">
        <v>6</v>
      </c>
      <c r="DU63" s="27">
        <v>6</v>
      </c>
      <c r="DV63" s="27">
        <v>6</v>
      </c>
      <c r="DW63" s="27">
        <v>6</v>
      </c>
      <c r="DX63" s="27">
        <v>6</v>
      </c>
      <c r="DY63" s="27">
        <v>6</v>
      </c>
      <c r="DZ63" s="27">
        <v>6</v>
      </c>
      <c r="EA63" s="27">
        <v>6</v>
      </c>
      <c r="EB63" s="27">
        <v>6</v>
      </c>
      <c r="EC63" s="27">
        <v>6</v>
      </c>
      <c r="ED63" s="27">
        <v>6</v>
      </c>
      <c r="EE63" s="27">
        <v>7</v>
      </c>
      <c r="EF63" s="27">
        <v>6</v>
      </c>
      <c r="EG63" s="27">
        <v>6</v>
      </c>
      <c r="EH63" s="27">
        <v>5</v>
      </c>
      <c r="EI63" s="27">
        <v>5</v>
      </c>
      <c r="EJ63" s="27">
        <v>5</v>
      </c>
      <c r="EK63" s="27">
        <v>6</v>
      </c>
      <c r="EL63" s="27">
        <v>6</v>
      </c>
      <c r="EM63" s="27">
        <v>3</v>
      </c>
      <c r="EN63" s="27">
        <v>1</v>
      </c>
      <c r="EO63" s="27">
        <v>7</v>
      </c>
      <c r="EP63" s="27">
        <v>7</v>
      </c>
      <c r="EQ63" s="27">
        <v>7</v>
      </c>
      <c r="ER63" s="27">
        <v>6</v>
      </c>
      <c r="ES63" s="27">
        <v>7</v>
      </c>
      <c r="ET63" s="27">
        <v>4</v>
      </c>
      <c r="EU63" s="27">
        <v>7</v>
      </c>
      <c r="EV63" s="1">
        <v>19</v>
      </c>
      <c r="EW63" s="1">
        <v>2</v>
      </c>
      <c r="EY63" s="1">
        <v>1</v>
      </c>
      <c r="EZ63" s="9"/>
      <c r="FA63" s="1">
        <v>2</v>
      </c>
      <c r="FB63" s="9" t="s">
        <v>820</v>
      </c>
      <c r="FC63" s="1">
        <v>0</v>
      </c>
      <c r="FD63" s="1">
        <v>3</v>
      </c>
      <c r="FE63" s="4"/>
      <c r="FF63" s="4"/>
      <c r="FG63" s="4"/>
      <c r="FH63" s="4"/>
      <c r="FI63" s="4"/>
      <c r="FJ63" s="23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26"/>
      <c r="GF63" s="26"/>
      <c r="GG63" s="4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S63" s="3"/>
      <c r="HU63" s="3"/>
      <c r="HX63" s="3"/>
      <c r="IA63" s="3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6"/>
      <c r="JP63" s="6"/>
      <c r="JQ63" s="6"/>
      <c r="JR63" s="6"/>
      <c r="JS63" s="6"/>
      <c r="JT63" s="8"/>
      <c r="JU63" s="8"/>
      <c r="JV63" s="8"/>
      <c r="JW63" s="8"/>
      <c r="JX63" s="8"/>
      <c r="JY63" s="8"/>
      <c r="JZ63" s="8"/>
      <c r="KA63" s="8"/>
      <c r="KB63" s="8"/>
      <c r="KC63" s="6"/>
      <c r="KD63" s="6"/>
      <c r="KE63" s="6"/>
      <c r="KF63" s="6"/>
      <c r="KG63" s="6"/>
      <c r="KH63" s="6"/>
      <c r="KI63" s="6"/>
      <c r="KJ63" s="6"/>
      <c r="KK63" s="6"/>
      <c r="KL63" s="4"/>
      <c r="KM63" s="4"/>
      <c r="KN63" s="6"/>
      <c r="KO63" s="4"/>
      <c r="KP63" s="4"/>
      <c r="KQ63" s="6"/>
      <c r="KR63" s="6"/>
      <c r="KS63" s="4"/>
      <c r="KU63" s="4"/>
      <c r="KV63" s="4"/>
      <c r="KW63" s="4"/>
      <c r="KX63" s="6"/>
      <c r="KY63" s="6"/>
      <c r="KZ63" s="6"/>
      <c r="LA63" s="4"/>
      <c r="LB63" s="6"/>
      <c r="LC63" s="6"/>
      <c r="LD63" s="4"/>
      <c r="LE63" s="4"/>
      <c r="LF63" s="6"/>
      <c r="LG63" s="6"/>
      <c r="LH63" s="6"/>
      <c r="LI63" s="6"/>
      <c r="LJ63" s="6"/>
      <c r="LK63" s="6"/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6"/>
      <c r="NF63" s="6"/>
      <c r="NG63" s="6"/>
      <c r="NH63" s="6"/>
      <c r="NI63" s="6"/>
      <c r="NJ63" s="4"/>
    </row>
    <row r="64" spans="1:374" s="1" customFormat="1" x14ac:dyDescent="0.35">
      <c r="A64" s="2">
        <v>43356</v>
      </c>
      <c r="B64" s="15" t="s">
        <v>104</v>
      </c>
      <c r="C64" s="15" t="s">
        <v>225</v>
      </c>
      <c r="D64" s="1">
        <v>63</v>
      </c>
      <c r="E64" s="3">
        <v>2</v>
      </c>
      <c r="F64" s="3">
        <v>2</v>
      </c>
      <c r="G64" s="3"/>
      <c r="H64" s="3">
        <v>16</v>
      </c>
      <c r="I64" s="3">
        <v>3</v>
      </c>
      <c r="J64" s="3"/>
      <c r="K64" s="18">
        <v>0</v>
      </c>
      <c r="L64" s="18">
        <v>1</v>
      </c>
      <c r="M64" s="18">
        <v>0</v>
      </c>
      <c r="N64" s="18">
        <v>1</v>
      </c>
      <c r="O64" s="18">
        <v>1</v>
      </c>
      <c r="P64" s="4">
        <v>0.6</v>
      </c>
      <c r="Q64" s="3">
        <v>57</v>
      </c>
      <c r="R64" s="3">
        <v>96</v>
      </c>
      <c r="S64" s="3">
        <v>116</v>
      </c>
      <c r="T64" s="3">
        <v>79</v>
      </c>
      <c r="U64" s="3">
        <v>102</v>
      </c>
      <c r="V64" s="3">
        <v>71</v>
      </c>
      <c r="W64" s="3">
        <v>58</v>
      </c>
      <c r="X64" s="3">
        <v>74</v>
      </c>
      <c r="Y64" s="3">
        <v>73</v>
      </c>
      <c r="Z64" s="3"/>
      <c r="AA64" s="3"/>
      <c r="AB64" s="3"/>
      <c r="AC64" s="3"/>
      <c r="AD64" s="3"/>
      <c r="AE64" s="3"/>
      <c r="AF64" s="3"/>
      <c r="AG64" s="3"/>
      <c r="AH64" s="3"/>
      <c r="AI64" s="4"/>
      <c r="AJ64" s="4"/>
      <c r="AK64" s="4"/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/>
      <c r="AY64"/>
      <c r="AZ64"/>
      <c r="BA64"/>
      <c r="BB64"/>
      <c r="BC64"/>
      <c r="BP64" s="4"/>
      <c r="BQ64" s="4"/>
      <c r="BR64" s="4"/>
      <c r="BS64" s="4"/>
      <c r="BT64" s="4"/>
      <c r="BU64" s="4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1">
        <v>7</v>
      </c>
      <c r="CJ64" s="1">
        <v>7</v>
      </c>
      <c r="CK64" s="1">
        <v>7</v>
      </c>
      <c r="CL64" s="1">
        <v>6</v>
      </c>
      <c r="CM64" s="1">
        <v>6</v>
      </c>
      <c r="CN64" s="1">
        <v>6</v>
      </c>
      <c r="CO64" s="1">
        <v>6</v>
      </c>
      <c r="CP64" s="1">
        <v>2</v>
      </c>
      <c r="CQ64" s="1">
        <v>7</v>
      </c>
      <c r="CR64" s="1">
        <v>6</v>
      </c>
      <c r="CS64" s="1">
        <v>7</v>
      </c>
      <c r="CT64" s="1">
        <v>6</v>
      </c>
      <c r="CU64" s="1">
        <v>7</v>
      </c>
      <c r="CV64" s="1">
        <v>7</v>
      </c>
      <c r="CW64" s="1">
        <v>7</v>
      </c>
      <c r="CX64" s="1">
        <v>5</v>
      </c>
      <c r="CY64" s="1">
        <v>6</v>
      </c>
      <c r="CZ64" s="1">
        <v>7</v>
      </c>
      <c r="DA64" s="1">
        <v>7</v>
      </c>
      <c r="DB64" s="1">
        <v>7</v>
      </c>
      <c r="DC64" s="1">
        <v>7</v>
      </c>
      <c r="DD64" s="1">
        <v>7</v>
      </c>
      <c r="DE64" s="1">
        <v>7</v>
      </c>
      <c r="DF64" s="1">
        <v>7</v>
      </c>
      <c r="DG64" s="1">
        <v>7</v>
      </c>
      <c r="DH64" s="1">
        <v>7</v>
      </c>
      <c r="DI64" s="1">
        <v>7</v>
      </c>
      <c r="DJ64" s="1">
        <v>7</v>
      </c>
      <c r="DK64" s="1">
        <v>7</v>
      </c>
      <c r="DL64" s="1">
        <v>7</v>
      </c>
      <c r="DM64" s="19">
        <v>7</v>
      </c>
      <c r="DN64" s="19">
        <v>7</v>
      </c>
      <c r="DO64" s="1">
        <v>7</v>
      </c>
      <c r="DP64" s="1">
        <v>7</v>
      </c>
      <c r="DQ64" s="1">
        <v>7</v>
      </c>
      <c r="DR64" s="1">
        <v>6</v>
      </c>
      <c r="DS64" s="1">
        <v>6</v>
      </c>
      <c r="DT64" s="1">
        <v>6</v>
      </c>
      <c r="DU64" s="27">
        <v>7</v>
      </c>
      <c r="DV64" s="27">
        <v>6</v>
      </c>
      <c r="DW64" s="27">
        <v>7</v>
      </c>
      <c r="DX64" s="27">
        <v>4</v>
      </c>
      <c r="DY64" s="27">
        <v>4</v>
      </c>
      <c r="DZ64" s="27">
        <v>1</v>
      </c>
      <c r="EA64" s="27">
        <v>1</v>
      </c>
      <c r="EB64" s="27">
        <v>6</v>
      </c>
      <c r="EC64" s="27">
        <v>7</v>
      </c>
      <c r="ED64" s="27">
        <v>1</v>
      </c>
      <c r="EE64" s="27">
        <v>7</v>
      </c>
      <c r="EF64" s="27">
        <v>1</v>
      </c>
      <c r="EG64" s="27">
        <v>7</v>
      </c>
      <c r="EH64" s="27">
        <v>7</v>
      </c>
      <c r="EI64" s="27">
        <v>7</v>
      </c>
      <c r="EJ64" s="27">
        <v>7</v>
      </c>
      <c r="EK64" s="27">
        <v>6</v>
      </c>
      <c r="EL64" s="27">
        <v>7</v>
      </c>
      <c r="EM64" s="27">
        <v>2</v>
      </c>
      <c r="EN64" s="27">
        <v>2</v>
      </c>
      <c r="EO64" s="27">
        <v>7</v>
      </c>
      <c r="EP64" s="27">
        <v>7</v>
      </c>
      <c r="EQ64" s="27">
        <v>7</v>
      </c>
      <c r="ER64" s="27">
        <v>7</v>
      </c>
      <c r="ES64" s="27">
        <v>6</v>
      </c>
      <c r="ET64" s="27">
        <v>7</v>
      </c>
      <c r="EU64" s="27">
        <v>7</v>
      </c>
      <c r="EV64" s="1">
        <v>21</v>
      </c>
      <c r="EW64" s="1">
        <v>2</v>
      </c>
      <c r="EY64" s="1">
        <v>1</v>
      </c>
      <c r="EZ64" s="9"/>
      <c r="FA64" s="1">
        <v>4</v>
      </c>
      <c r="FB64" s="9" t="s">
        <v>821</v>
      </c>
      <c r="FC64" s="1">
        <v>1</v>
      </c>
      <c r="FD64" s="1">
        <v>9</v>
      </c>
      <c r="FE64" s="4"/>
      <c r="FF64" s="4"/>
      <c r="FG64" s="4"/>
      <c r="FH64" s="4"/>
      <c r="FI64" s="4"/>
      <c r="FJ64" s="23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26"/>
      <c r="GF64" s="26"/>
      <c r="GG64" s="4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S64" s="3"/>
      <c r="HU64" s="3"/>
      <c r="HX64" s="3"/>
      <c r="IA64" s="3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6"/>
      <c r="JP64" s="6"/>
      <c r="JQ64" s="6"/>
      <c r="JR64" s="6"/>
      <c r="JS64" s="6"/>
      <c r="JT64" s="8"/>
      <c r="JU64" s="8"/>
      <c r="JV64" s="8"/>
      <c r="JW64" s="8"/>
      <c r="JX64" s="8"/>
      <c r="JY64" s="8"/>
      <c r="JZ64" s="8"/>
      <c r="KA64" s="8"/>
      <c r="KB64" s="8"/>
      <c r="KC64" s="6"/>
      <c r="KD64" s="6"/>
      <c r="KE64" s="6"/>
      <c r="KF64" s="6"/>
      <c r="KG64" s="6"/>
      <c r="KH64" s="6"/>
      <c r="KI64" s="6"/>
      <c r="KJ64" s="6"/>
      <c r="KK64" s="6"/>
      <c r="KL64" s="4"/>
      <c r="KM64" s="4"/>
      <c r="KN64" s="6"/>
      <c r="KO64" s="4"/>
      <c r="KP64" s="4"/>
      <c r="KQ64" s="6"/>
      <c r="KR64" s="6"/>
      <c r="KS64" s="4"/>
      <c r="KU64" s="4"/>
      <c r="KV64" s="4"/>
      <c r="KW64" s="4"/>
      <c r="KX64" s="6"/>
      <c r="KY64" s="6"/>
      <c r="KZ64" s="6"/>
      <c r="LA64" s="4"/>
      <c r="LB64" s="6"/>
      <c r="LC64" s="6"/>
      <c r="LD64" s="4"/>
      <c r="LE64" s="4"/>
      <c r="LF64" s="6"/>
      <c r="LG64" s="6"/>
      <c r="LH64" s="6"/>
      <c r="LI64" s="6"/>
      <c r="LJ64" s="6"/>
      <c r="LK64" s="6"/>
      <c r="LL64" s="6"/>
      <c r="LM64" s="6"/>
      <c r="LN64" s="6"/>
      <c r="LO64" s="6"/>
      <c r="LP64" s="6"/>
      <c r="LQ64" s="6"/>
      <c r="LR64" s="6"/>
      <c r="LS64" s="6"/>
      <c r="LT64" s="6"/>
      <c r="LU64" s="6"/>
      <c r="LV64" s="6"/>
      <c r="LW64" s="6"/>
      <c r="LX64" s="6"/>
      <c r="LY64" s="6"/>
      <c r="LZ64" s="6"/>
      <c r="MA64" s="6"/>
      <c r="MB64" s="6"/>
      <c r="MC64" s="6"/>
      <c r="MD64" s="6"/>
      <c r="ME64" s="6"/>
      <c r="MF64" s="6"/>
      <c r="MG64" s="6"/>
      <c r="MH64" s="6"/>
      <c r="MI64" s="6"/>
      <c r="MJ64" s="6"/>
      <c r="MK64" s="6"/>
      <c r="ML64" s="6"/>
      <c r="MM64" s="6"/>
      <c r="MN64" s="6"/>
      <c r="MO64" s="6"/>
      <c r="MP64" s="6"/>
      <c r="MQ64" s="6"/>
      <c r="MR64" s="6"/>
      <c r="MS64" s="6"/>
      <c r="MT64" s="6"/>
      <c r="MU64" s="6"/>
      <c r="MV64" s="6"/>
      <c r="MW64" s="6"/>
      <c r="MX64" s="6"/>
      <c r="MY64" s="6"/>
      <c r="MZ64" s="6"/>
      <c r="NA64" s="6"/>
      <c r="NB64" s="6"/>
      <c r="NC64" s="6"/>
      <c r="ND64" s="6"/>
      <c r="NE64" s="6"/>
      <c r="NF64" s="6"/>
      <c r="NG64" s="6"/>
      <c r="NH64" s="6"/>
      <c r="NI64" s="6"/>
      <c r="NJ64" s="4"/>
    </row>
    <row r="65" spans="1:374" s="1" customFormat="1" x14ac:dyDescent="0.35">
      <c r="A65" s="2">
        <v>43356</v>
      </c>
      <c r="B65" s="15" t="s">
        <v>104</v>
      </c>
      <c r="C65" s="15" t="s">
        <v>226</v>
      </c>
      <c r="D65" s="1">
        <v>64</v>
      </c>
      <c r="E65" s="3">
        <v>2</v>
      </c>
      <c r="F65" s="3">
        <v>2</v>
      </c>
      <c r="G65" s="3"/>
      <c r="H65" s="3">
        <v>16</v>
      </c>
      <c r="I65" s="3">
        <v>4</v>
      </c>
      <c r="J65" s="3"/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4">
        <v>1</v>
      </c>
      <c r="Q65" s="3">
        <v>79</v>
      </c>
      <c r="R65" s="3">
        <v>69</v>
      </c>
      <c r="S65" s="3">
        <v>86</v>
      </c>
      <c r="T65" s="3">
        <v>67</v>
      </c>
      <c r="U65" s="3">
        <v>79</v>
      </c>
      <c r="V65" s="3">
        <v>100</v>
      </c>
      <c r="W65" s="3">
        <v>53</v>
      </c>
      <c r="X65" s="3">
        <v>85</v>
      </c>
      <c r="Y65" s="3">
        <v>87</v>
      </c>
      <c r="Z65" s="3"/>
      <c r="AA65" s="3"/>
      <c r="AB65" s="3"/>
      <c r="AC65" s="3"/>
      <c r="AD65" s="3"/>
      <c r="AE65" s="3"/>
      <c r="AF65" s="3"/>
      <c r="AG65" s="3"/>
      <c r="AH65" s="3"/>
      <c r="AI65" s="4"/>
      <c r="AJ65" s="4"/>
      <c r="AK65" s="4"/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/>
      <c r="AY65"/>
      <c r="AZ65"/>
      <c r="BA65"/>
      <c r="BB65"/>
      <c r="BC65"/>
      <c r="BP65" s="4"/>
      <c r="BQ65" s="4"/>
      <c r="BR65" s="4"/>
      <c r="BS65" s="4"/>
      <c r="BT65" s="4"/>
      <c r="BU65" s="4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1">
        <v>7</v>
      </c>
      <c r="CJ65" s="1">
        <v>7</v>
      </c>
      <c r="CK65" s="1">
        <v>7</v>
      </c>
      <c r="CL65" s="1">
        <v>6</v>
      </c>
      <c r="CM65" s="1">
        <v>6</v>
      </c>
      <c r="CN65" s="1">
        <v>6</v>
      </c>
      <c r="CO65" s="1">
        <v>6</v>
      </c>
      <c r="CP65" s="1">
        <v>1</v>
      </c>
      <c r="CQ65" s="1">
        <v>7</v>
      </c>
      <c r="CR65" s="1">
        <v>7</v>
      </c>
      <c r="CS65" s="1">
        <v>7</v>
      </c>
      <c r="CT65" s="1">
        <v>7</v>
      </c>
      <c r="CU65" s="1">
        <v>7</v>
      </c>
      <c r="CV65" s="1">
        <v>7</v>
      </c>
      <c r="CW65" s="1">
        <v>7</v>
      </c>
      <c r="CX65" s="1">
        <v>7</v>
      </c>
      <c r="CY65" s="1">
        <v>7</v>
      </c>
      <c r="CZ65" s="1">
        <v>6</v>
      </c>
      <c r="DA65" s="1">
        <v>6</v>
      </c>
      <c r="DB65" s="1">
        <v>6</v>
      </c>
      <c r="DC65" s="1">
        <v>5</v>
      </c>
      <c r="DD65" s="1">
        <v>4</v>
      </c>
      <c r="DE65" s="1">
        <v>5</v>
      </c>
      <c r="DF65" s="1">
        <v>7</v>
      </c>
      <c r="DG65" s="1">
        <v>7</v>
      </c>
      <c r="DH65" s="1">
        <v>6</v>
      </c>
      <c r="DI65" s="1">
        <v>5</v>
      </c>
      <c r="DJ65" s="1">
        <v>6</v>
      </c>
      <c r="DK65" s="1">
        <v>7</v>
      </c>
      <c r="DL65" s="1">
        <v>5</v>
      </c>
      <c r="DM65" s="19">
        <v>4</v>
      </c>
      <c r="DN65" s="19">
        <v>7</v>
      </c>
      <c r="DO65" s="1">
        <v>7</v>
      </c>
      <c r="DP65" s="1">
        <v>3</v>
      </c>
      <c r="DQ65" s="1">
        <v>5</v>
      </c>
      <c r="DR65" s="1">
        <v>7</v>
      </c>
      <c r="DS65" s="1">
        <v>7</v>
      </c>
      <c r="DT65" s="1">
        <v>7</v>
      </c>
      <c r="DU65" s="27">
        <v>7</v>
      </c>
      <c r="DV65" s="27">
        <v>7</v>
      </c>
      <c r="DW65" s="27">
        <v>3</v>
      </c>
      <c r="DX65" s="27">
        <v>1</v>
      </c>
      <c r="DY65" s="27">
        <v>1</v>
      </c>
      <c r="DZ65" s="27">
        <v>4</v>
      </c>
      <c r="EA65" s="27">
        <v>1</v>
      </c>
      <c r="EB65" s="27">
        <v>6</v>
      </c>
      <c r="EC65" s="27">
        <v>5</v>
      </c>
      <c r="ED65" s="27">
        <v>3</v>
      </c>
      <c r="EE65" s="27">
        <v>1</v>
      </c>
      <c r="EF65" s="27">
        <v>1</v>
      </c>
      <c r="EG65" s="27">
        <v>1</v>
      </c>
      <c r="EH65" s="27">
        <v>7</v>
      </c>
      <c r="EI65" s="27">
        <v>7</v>
      </c>
      <c r="EJ65" s="27">
        <v>4</v>
      </c>
      <c r="EK65" s="27">
        <v>3</v>
      </c>
      <c r="EL65" s="27">
        <v>4</v>
      </c>
      <c r="EM65" s="27">
        <v>1</v>
      </c>
      <c r="EN65" s="27">
        <v>1</v>
      </c>
      <c r="EO65" s="27">
        <v>7</v>
      </c>
      <c r="EP65" s="27">
        <v>7</v>
      </c>
      <c r="EQ65" s="27">
        <v>7</v>
      </c>
      <c r="ER65" s="27">
        <v>5</v>
      </c>
      <c r="ES65" s="27">
        <v>7</v>
      </c>
      <c r="ET65" s="27">
        <v>4</v>
      </c>
      <c r="EU65" s="27">
        <v>4</v>
      </c>
      <c r="EV65" s="1">
        <v>18</v>
      </c>
      <c r="EW65" s="1">
        <v>1</v>
      </c>
      <c r="EY65" s="1">
        <v>1</v>
      </c>
      <c r="EZ65" s="9"/>
      <c r="FA65" s="1">
        <v>2</v>
      </c>
      <c r="FB65" s="9" t="s">
        <v>822</v>
      </c>
      <c r="FC65" s="1">
        <v>0</v>
      </c>
      <c r="FD65" s="1">
        <v>9</v>
      </c>
      <c r="FE65" s="4"/>
      <c r="FF65" s="4"/>
      <c r="FG65" s="4"/>
      <c r="FH65" s="4"/>
      <c r="FI65" s="4"/>
      <c r="FJ65" s="23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26"/>
      <c r="GF65" s="26"/>
      <c r="GG65" s="4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S65" s="3"/>
      <c r="HU65" s="3"/>
      <c r="HX65" s="3"/>
      <c r="IA65" s="3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6"/>
      <c r="JP65" s="6"/>
      <c r="JQ65" s="6"/>
      <c r="JR65" s="6"/>
      <c r="JS65" s="6"/>
      <c r="JT65" s="8"/>
      <c r="JU65" s="8"/>
      <c r="JV65" s="8"/>
      <c r="JW65" s="8"/>
      <c r="JX65" s="8"/>
      <c r="JY65" s="8"/>
      <c r="JZ65" s="8"/>
      <c r="KA65" s="8"/>
      <c r="KB65" s="8"/>
      <c r="KC65" s="6"/>
      <c r="KD65" s="6"/>
      <c r="KE65" s="6"/>
      <c r="KF65" s="6"/>
      <c r="KG65" s="6"/>
      <c r="KH65" s="6"/>
      <c r="KI65" s="6"/>
      <c r="KJ65" s="6"/>
      <c r="KK65" s="6"/>
      <c r="KL65" s="4"/>
      <c r="KM65" s="4"/>
      <c r="KN65" s="6"/>
      <c r="KO65" s="4"/>
      <c r="KP65" s="4"/>
      <c r="KQ65" s="6"/>
      <c r="KR65" s="6"/>
      <c r="KS65" s="4"/>
      <c r="KU65" s="4"/>
      <c r="KV65" s="4"/>
      <c r="KW65" s="4"/>
      <c r="KX65" s="6"/>
      <c r="KY65" s="6"/>
      <c r="KZ65" s="6"/>
      <c r="LA65" s="4"/>
      <c r="LB65" s="6"/>
      <c r="LC65" s="6"/>
      <c r="LD65" s="4"/>
      <c r="LE65" s="4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4"/>
    </row>
    <row r="66" spans="1:374" s="1" customFormat="1" x14ac:dyDescent="0.35">
      <c r="A66" s="2">
        <v>43364</v>
      </c>
      <c r="B66" s="15" t="s">
        <v>105</v>
      </c>
      <c r="C66" s="15" t="s">
        <v>227</v>
      </c>
      <c r="D66" s="1">
        <v>65</v>
      </c>
      <c r="E66" s="3">
        <v>2</v>
      </c>
      <c r="F66" s="3">
        <v>2</v>
      </c>
      <c r="G66" s="3">
        <v>1</v>
      </c>
      <c r="H66" s="3">
        <v>17</v>
      </c>
      <c r="I66" s="3">
        <v>1</v>
      </c>
      <c r="J66" s="3">
        <v>1</v>
      </c>
      <c r="K66" s="18">
        <v>0</v>
      </c>
      <c r="L66" s="18">
        <v>0</v>
      </c>
      <c r="M66" s="18">
        <v>0</v>
      </c>
      <c r="N66" s="18">
        <v>1</v>
      </c>
      <c r="O66" s="18">
        <v>0</v>
      </c>
      <c r="P66" s="4">
        <v>0.2</v>
      </c>
      <c r="Q66" s="3">
        <v>68</v>
      </c>
      <c r="R66" s="3">
        <v>108</v>
      </c>
      <c r="S66" s="3">
        <v>102</v>
      </c>
      <c r="T66" s="3">
        <v>102</v>
      </c>
      <c r="U66" s="3">
        <v>82</v>
      </c>
      <c r="V66" s="3">
        <v>113</v>
      </c>
      <c r="W66" s="3">
        <v>105</v>
      </c>
      <c r="X66" s="3">
        <v>114</v>
      </c>
      <c r="Y66" s="3">
        <v>91</v>
      </c>
      <c r="Z66" s="3">
        <v>372</v>
      </c>
      <c r="AA66" s="3">
        <v>412</v>
      </c>
      <c r="AB66" s="3">
        <v>390</v>
      </c>
      <c r="AC66" s="3">
        <v>401</v>
      </c>
      <c r="AD66" s="3">
        <v>377</v>
      </c>
      <c r="AE66" s="3">
        <v>407</v>
      </c>
      <c r="AF66" s="3">
        <v>370</v>
      </c>
      <c r="AG66" s="3">
        <v>405</v>
      </c>
      <c r="AH66" s="3">
        <v>376</v>
      </c>
      <c r="AI66" s="4">
        <v>391.33</v>
      </c>
      <c r="AJ66" s="4">
        <v>395</v>
      </c>
      <c r="AK66" s="4">
        <v>383.67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f t="shared" ref="AX66:BC66" si="32">AL66+AL67+AL68+AL69</f>
        <v>0</v>
      </c>
      <c r="AY66" s="19">
        <f t="shared" si="32"/>
        <v>0</v>
      </c>
      <c r="AZ66" s="19">
        <f t="shared" si="32"/>
        <v>0</v>
      </c>
      <c r="BA66" s="19">
        <f t="shared" si="32"/>
        <v>0</v>
      </c>
      <c r="BB66" s="19">
        <f t="shared" si="32"/>
        <v>0</v>
      </c>
      <c r="BC66" s="19">
        <f t="shared" si="32"/>
        <v>0</v>
      </c>
      <c r="BD66" s="1">
        <f>AX66*3</f>
        <v>0</v>
      </c>
      <c r="BE66" s="1">
        <f t="shared" ref="BE66:BI66" si="33">AY66*3</f>
        <v>0</v>
      </c>
      <c r="BF66" s="1">
        <f t="shared" si="33"/>
        <v>0</v>
      </c>
      <c r="BG66" s="1">
        <f t="shared" si="33"/>
        <v>0</v>
      </c>
      <c r="BH66" s="1">
        <f t="shared" si="33"/>
        <v>0</v>
      </c>
      <c r="BI66" s="1">
        <f t="shared" si="33"/>
        <v>0</v>
      </c>
      <c r="BJ66" s="1">
        <f>AX66+AY66+AZ66</f>
        <v>0</v>
      </c>
      <c r="BK66" s="1">
        <f>BA66+BB66+BC66</f>
        <v>0</v>
      </c>
      <c r="BL66" s="1">
        <f>BJ66*3</f>
        <v>0</v>
      </c>
      <c r="BM66" s="1">
        <f>BK66*3</f>
        <v>0</v>
      </c>
      <c r="BN66" s="1">
        <f>BL66/3</f>
        <v>0</v>
      </c>
      <c r="BO66" s="1">
        <f>BM66/3</f>
        <v>0</v>
      </c>
      <c r="BP66" s="4">
        <v>391.33333333333331</v>
      </c>
      <c r="BQ66" s="4">
        <v>395</v>
      </c>
      <c r="BR66" s="4">
        <v>383.66666666666669</v>
      </c>
      <c r="BS66" s="4">
        <v>391.33</v>
      </c>
      <c r="BT66" s="4">
        <v>395</v>
      </c>
      <c r="BU66" s="4">
        <v>4</v>
      </c>
      <c r="BV66" s="3">
        <v>1</v>
      </c>
      <c r="BW66" s="3">
        <v>2</v>
      </c>
      <c r="BX66" s="3">
        <v>2</v>
      </c>
      <c r="BY66" s="3">
        <v>2</v>
      </c>
      <c r="BZ66" s="3">
        <v>1</v>
      </c>
      <c r="CA66" s="3">
        <v>1</v>
      </c>
      <c r="CB66" s="3">
        <v>1</v>
      </c>
      <c r="CC66" s="3">
        <v>1</v>
      </c>
      <c r="CD66" s="3">
        <v>1</v>
      </c>
      <c r="CE66" s="3">
        <v>1</v>
      </c>
      <c r="CF66" s="3">
        <v>1</v>
      </c>
      <c r="CG66" s="3">
        <v>1</v>
      </c>
      <c r="CH66" s="3">
        <v>0</v>
      </c>
      <c r="CI66" s="1">
        <v>7</v>
      </c>
      <c r="CJ66" s="1">
        <v>7</v>
      </c>
      <c r="CK66" s="1">
        <v>7</v>
      </c>
      <c r="CL66" s="1">
        <v>6</v>
      </c>
      <c r="CM66" s="1">
        <v>6</v>
      </c>
      <c r="CN66" s="1">
        <v>6</v>
      </c>
      <c r="CO66" s="1">
        <v>7</v>
      </c>
      <c r="CP66" s="1">
        <v>1</v>
      </c>
      <c r="CQ66" s="1">
        <v>7</v>
      </c>
      <c r="CR66" s="1">
        <v>7</v>
      </c>
      <c r="CS66" s="1">
        <v>7</v>
      </c>
      <c r="CT66" s="1">
        <v>7</v>
      </c>
      <c r="CU66" s="1">
        <v>7</v>
      </c>
      <c r="CV66" s="1">
        <v>7</v>
      </c>
      <c r="CW66" s="1">
        <v>1</v>
      </c>
      <c r="CX66" s="1">
        <v>4</v>
      </c>
      <c r="CY66" s="1">
        <v>7</v>
      </c>
      <c r="CZ66" s="1">
        <v>7</v>
      </c>
      <c r="DA66" s="1">
        <v>7</v>
      </c>
      <c r="DB66" s="1">
        <v>7</v>
      </c>
      <c r="DC66" s="1">
        <v>7</v>
      </c>
      <c r="DD66" s="1">
        <v>6</v>
      </c>
      <c r="DE66" s="1">
        <v>7</v>
      </c>
      <c r="DF66" s="1">
        <v>6</v>
      </c>
      <c r="DG66" s="1">
        <v>6</v>
      </c>
      <c r="DH66" s="1">
        <v>6</v>
      </c>
      <c r="DI66" s="1">
        <v>6</v>
      </c>
      <c r="DJ66" s="1">
        <v>6</v>
      </c>
      <c r="DK66" s="1">
        <v>6</v>
      </c>
      <c r="DL66" s="1">
        <v>2</v>
      </c>
      <c r="DM66" s="19">
        <v>2</v>
      </c>
      <c r="DN66" s="19">
        <v>4</v>
      </c>
      <c r="DO66" s="1">
        <v>6</v>
      </c>
      <c r="DP66" s="1">
        <v>6</v>
      </c>
      <c r="DQ66" s="1">
        <v>6</v>
      </c>
      <c r="DR66" s="1">
        <v>6</v>
      </c>
      <c r="DS66" s="1">
        <v>7</v>
      </c>
      <c r="DT66" s="1">
        <v>7</v>
      </c>
      <c r="DU66" s="27">
        <v>6</v>
      </c>
      <c r="DV66" s="27">
        <v>7</v>
      </c>
      <c r="DW66" s="27">
        <v>6</v>
      </c>
      <c r="DX66" s="27">
        <v>1</v>
      </c>
      <c r="DY66" s="27">
        <v>1</v>
      </c>
      <c r="DZ66" s="27">
        <v>1</v>
      </c>
      <c r="EA66" s="27">
        <v>1</v>
      </c>
      <c r="EB66" s="27">
        <v>6</v>
      </c>
      <c r="EC66" s="27">
        <v>6</v>
      </c>
      <c r="ED66" s="27">
        <v>6</v>
      </c>
      <c r="EE66" s="27">
        <v>6</v>
      </c>
      <c r="EF66" s="27">
        <v>6</v>
      </c>
      <c r="EG66" s="27">
        <v>6</v>
      </c>
      <c r="EH66" s="27">
        <v>7</v>
      </c>
      <c r="EI66" s="27">
        <v>7</v>
      </c>
      <c r="EJ66" s="27">
        <v>6</v>
      </c>
      <c r="EK66" s="27">
        <v>6</v>
      </c>
      <c r="EL66" s="27">
        <v>6</v>
      </c>
      <c r="EM66" s="27">
        <v>1</v>
      </c>
      <c r="EN66" s="27">
        <v>1</v>
      </c>
      <c r="EO66" s="27">
        <v>6</v>
      </c>
      <c r="EP66" s="27">
        <v>6</v>
      </c>
      <c r="EQ66" s="27">
        <v>6</v>
      </c>
      <c r="ER66" s="27">
        <v>6</v>
      </c>
      <c r="ES66" s="27">
        <v>6</v>
      </c>
      <c r="ET66" s="27">
        <v>6</v>
      </c>
      <c r="EU66" s="27">
        <v>6</v>
      </c>
      <c r="EV66" s="1">
        <v>19</v>
      </c>
      <c r="EW66" s="1">
        <v>2</v>
      </c>
      <c r="EY66" s="1">
        <v>1</v>
      </c>
      <c r="EZ66" s="9"/>
      <c r="FA66" s="1">
        <v>2</v>
      </c>
      <c r="FB66" s="9" t="s">
        <v>823</v>
      </c>
      <c r="FC66" s="1">
        <v>0</v>
      </c>
      <c r="FD66" s="1">
        <v>5</v>
      </c>
      <c r="FE66" s="4">
        <v>6.46</v>
      </c>
      <c r="FF66" s="4">
        <v>6.75</v>
      </c>
      <c r="FG66" s="4">
        <v>7.88</v>
      </c>
      <c r="FH66" s="4">
        <v>6.75</v>
      </c>
      <c r="FI66" s="4">
        <v>6.63</v>
      </c>
      <c r="FJ66" s="23">
        <v>6.5</v>
      </c>
      <c r="FK66" s="4">
        <v>5.67</v>
      </c>
      <c r="FL66" s="4">
        <v>3.63</v>
      </c>
      <c r="FM66" s="4">
        <v>5.63</v>
      </c>
      <c r="FN66" s="4">
        <v>5.63</v>
      </c>
      <c r="FO66" s="4">
        <v>5.92</v>
      </c>
      <c r="FP66" s="4">
        <v>6.08</v>
      </c>
      <c r="FQ66" s="4">
        <v>3</v>
      </c>
      <c r="FR66" s="4">
        <v>1.75</v>
      </c>
      <c r="FS66" s="4">
        <v>5.5</v>
      </c>
      <c r="FT66" s="4">
        <v>6.5</v>
      </c>
      <c r="FU66" s="4">
        <v>4.75</v>
      </c>
      <c r="FV66" s="4">
        <v>5.5</v>
      </c>
      <c r="FW66" s="4">
        <v>4</v>
      </c>
      <c r="FX66" s="4">
        <v>6</v>
      </c>
      <c r="FY66" s="4">
        <v>7</v>
      </c>
      <c r="FZ66" s="4">
        <v>6.5</v>
      </c>
      <c r="GA66" s="4">
        <v>1.75</v>
      </c>
      <c r="GB66" s="4">
        <v>6.5</v>
      </c>
      <c r="GC66" s="4">
        <v>6.75</v>
      </c>
      <c r="GD66" s="4">
        <v>4.5</v>
      </c>
      <c r="GE66" s="26"/>
      <c r="GF66" s="26"/>
      <c r="GG66" s="4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S66" s="3"/>
      <c r="HU66" s="3"/>
      <c r="HX66" s="3"/>
      <c r="IA66" s="3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3"/>
      <c r="JP66" s="3"/>
      <c r="JQ66" s="4"/>
      <c r="JR66" s="5"/>
      <c r="JS66" s="5"/>
      <c r="JT66" s="8"/>
      <c r="JU66" s="8"/>
      <c r="JV66" s="8"/>
      <c r="JW66" s="8"/>
      <c r="JX66" s="8"/>
      <c r="JY66" s="8"/>
      <c r="JZ66" s="8"/>
      <c r="KA66" s="8"/>
      <c r="KB66" s="8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</row>
    <row r="67" spans="1:374" s="1" customFormat="1" x14ac:dyDescent="0.35">
      <c r="A67" s="2">
        <v>43364</v>
      </c>
      <c r="B67" s="15" t="s">
        <v>105</v>
      </c>
      <c r="C67" s="15" t="s">
        <v>228</v>
      </c>
      <c r="D67" s="1">
        <v>66</v>
      </c>
      <c r="E67" s="3">
        <v>2</v>
      </c>
      <c r="F67" s="3">
        <v>2</v>
      </c>
      <c r="G67" s="3"/>
      <c r="H67" s="3">
        <v>17</v>
      </c>
      <c r="I67" s="3">
        <v>2</v>
      </c>
      <c r="J67" s="3"/>
      <c r="K67" s="18">
        <v>1</v>
      </c>
      <c r="L67" s="18">
        <v>0</v>
      </c>
      <c r="M67" s="18">
        <v>1</v>
      </c>
      <c r="N67" s="18">
        <v>1</v>
      </c>
      <c r="O67" s="18">
        <v>1</v>
      </c>
      <c r="P67" s="4">
        <v>0.8</v>
      </c>
      <c r="Q67" s="3">
        <v>115</v>
      </c>
      <c r="R67" s="3">
        <v>90</v>
      </c>
      <c r="S67" s="3">
        <v>99</v>
      </c>
      <c r="T67" s="3">
        <v>95</v>
      </c>
      <c r="U67" s="3">
        <v>115</v>
      </c>
      <c r="V67" s="3">
        <v>102</v>
      </c>
      <c r="W67" s="3">
        <v>89</v>
      </c>
      <c r="X67" s="3">
        <v>106</v>
      </c>
      <c r="Y67" s="3">
        <v>97</v>
      </c>
      <c r="Z67" s="3"/>
      <c r="AA67" s="3"/>
      <c r="AB67" s="3"/>
      <c r="AC67" s="3"/>
      <c r="AD67" s="3"/>
      <c r="AE67" s="3"/>
      <c r="AF67" s="3"/>
      <c r="AG67" s="3"/>
      <c r="AH67" s="3"/>
      <c r="AI67" s="4"/>
      <c r="AJ67" s="4"/>
      <c r="AK67" s="4"/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/>
      <c r="AY67"/>
      <c r="AZ67"/>
      <c r="BA67"/>
      <c r="BB67"/>
      <c r="BC67"/>
      <c r="BP67" s="4"/>
      <c r="BQ67" s="4"/>
      <c r="BR67" s="4"/>
      <c r="BS67" s="4"/>
      <c r="BT67" s="4"/>
      <c r="BU67" s="4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1">
        <v>7</v>
      </c>
      <c r="CJ67" s="1">
        <v>7</v>
      </c>
      <c r="CK67" s="1">
        <v>7</v>
      </c>
      <c r="CL67" s="1">
        <v>7</v>
      </c>
      <c r="CM67" s="1">
        <v>6</v>
      </c>
      <c r="CN67" s="1">
        <v>7</v>
      </c>
      <c r="CO67" s="1">
        <v>7</v>
      </c>
      <c r="CP67" s="1">
        <v>1</v>
      </c>
      <c r="CQ67" s="1">
        <v>7</v>
      </c>
      <c r="CR67" s="1">
        <v>7</v>
      </c>
      <c r="CS67" s="1">
        <v>7</v>
      </c>
      <c r="CT67" s="1">
        <v>7</v>
      </c>
      <c r="CU67" s="1">
        <v>7</v>
      </c>
      <c r="CV67" s="1">
        <v>7</v>
      </c>
      <c r="CW67" s="1">
        <v>7</v>
      </c>
      <c r="CX67" s="1">
        <v>7</v>
      </c>
      <c r="CY67" s="1">
        <v>7</v>
      </c>
      <c r="CZ67" s="1">
        <v>7</v>
      </c>
      <c r="DA67" s="1">
        <v>7</v>
      </c>
      <c r="DB67" s="1">
        <v>7</v>
      </c>
      <c r="DC67" s="1">
        <v>7</v>
      </c>
      <c r="DD67" s="1">
        <v>7</v>
      </c>
      <c r="DE67" s="1">
        <v>7</v>
      </c>
      <c r="DF67" s="1">
        <v>7</v>
      </c>
      <c r="DG67" s="1">
        <v>1</v>
      </c>
      <c r="DH67" s="1">
        <v>7</v>
      </c>
      <c r="DI67" s="1">
        <v>6</v>
      </c>
      <c r="DJ67" s="1">
        <v>5</v>
      </c>
      <c r="DK67" s="1">
        <v>5</v>
      </c>
      <c r="DL67" s="1">
        <v>4</v>
      </c>
      <c r="DM67" s="19">
        <v>4</v>
      </c>
      <c r="DN67" s="19">
        <v>6</v>
      </c>
      <c r="DO67" s="1">
        <v>7</v>
      </c>
      <c r="DP67" s="1">
        <v>6</v>
      </c>
      <c r="DQ67" s="1">
        <v>7</v>
      </c>
      <c r="DR67" s="1">
        <v>4</v>
      </c>
      <c r="DS67" s="1">
        <v>7</v>
      </c>
      <c r="DT67" s="1">
        <v>6</v>
      </c>
      <c r="DU67" s="27">
        <v>7</v>
      </c>
      <c r="DV67" s="27">
        <v>5</v>
      </c>
      <c r="DW67" s="27">
        <v>3</v>
      </c>
      <c r="DX67" s="27">
        <v>4</v>
      </c>
      <c r="DY67" s="27">
        <v>4</v>
      </c>
      <c r="DZ67" s="27">
        <v>4</v>
      </c>
      <c r="EA67" s="27">
        <v>1</v>
      </c>
      <c r="EB67" s="27">
        <v>7</v>
      </c>
      <c r="EC67" s="27">
        <v>7</v>
      </c>
      <c r="ED67" s="27">
        <v>2</v>
      </c>
      <c r="EE67" s="27">
        <v>7</v>
      </c>
      <c r="EF67" s="27">
        <v>4</v>
      </c>
      <c r="EG67" s="27">
        <v>7</v>
      </c>
      <c r="EH67" s="27">
        <v>7</v>
      </c>
      <c r="EI67" s="27">
        <v>7</v>
      </c>
      <c r="EJ67" s="27">
        <v>7</v>
      </c>
      <c r="EK67" s="27">
        <v>7</v>
      </c>
      <c r="EL67" s="27">
        <v>7</v>
      </c>
      <c r="EM67" s="27">
        <v>1</v>
      </c>
      <c r="EN67" s="27">
        <v>1</v>
      </c>
      <c r="EO67" s="27">
        <v>7</v>
      </c>
      <c r="EP67" s="27">
        <v>7</v>
      </c>
      <c r="EQ67" s="27">
        <v>7</v>
      </c>
      <c r="ER67" s="27">
        <v>7</v>
      </c>
      <c r="ES67" s="27">
        <v>7</v>
      </c>
      <c r="ET67" s="27">
        <v>4</v>
      </c>
      <c r="EU67" s="27">
        <v>4</v>
      </c>
      <c r="EV67" s="1">
        <v>18</v>
      </c>
      <c r="EW67" s="1">
        <v>2</v>
      </c>
      <c r="EY67" s="1">
        <v>1</v>
      </c>
      <c r="EZ67" s="9"/>
      <c r="FA67" s="1">
        <v>1</v>
      </c>
      <c r="FB67" s="9" t="s">
        <v>778</v>
      </c>
      <c r="FC67" s="1">
        <v>1</v>
      </c>
      <c r="FD67" s="1">
        <v>9</v>
      </c>
      <c r="FE67" s="4"/>
      <c r="FF67" s="4"/>
      <c r="FG67" s="4"/>
      <c r="FH67" s="4"/>
      <c r="FI67" s="4"/>
      <c r="FJ67" s="23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26"/>
      <c r="GF67" s="26"/>
      <c r="GG67" s="4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S67" s="3"/>
      <c r="HU67" s="3"/>
      <c r="HX67" s="3"/>
      <c r="IA67" s="3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6"/>
      <c r="JP67" s="6"/>
      <c r="JQ67" s="6"/>
      <c r="JR67" s="6"/>
      <c r="JS67" s="6"/>
      <c r="JT67" s="8"/>
      <c r="JU67" s="8"/>
      <c r="JV67" s="8"/>
      <c r="JW67" s="8"/>
      <c r="JX67" s="8"/>
      <c r="JY67" s="8"/>
      <c r="JZ67" s="8"/>
      <c r="KA67" s="8"/>
      <c r="KB67" s="8"/>
      <c r="KC67" s="6"/>
      <c r="KD67" s="6"/>
      <c r="KE67" s="6"/>
      <c r="KF67" s="6"/>
      <c r="KG67" s="6"/>
      <c r="KH67" s="6"/>
      <c r="KI67" s="6"/>
      <c r="KJ67" s="6"/>
      <c r="KK67" s="6"/>
      <c r="KL67" s="4"/>
      <c r="KM67" s="4"/>
      <c r="KN67" s="6"/>
      <c r="KO67" s="4"/>
      <c r="KP67" s="4"/>
      <c r="KQ67" s="6"/>
      <c r="KR67" s="6"/>
      <c r="KS67" s="4"/>
      <c r="KU67" s="4"/>
      <c r="KV67" s="4"/>
      <c r="KW67" s="4"/>
      <c r="KX67" s="6"/>
      <c r="KY67" s="6"/>
      <c r="KZ67" s="6"/>
      <c r="LA67" s="4"/>
      <c r="LB67" s="6"/>
      <c r="LC67" s="6"/>
      <c r="LD67" s="4"/>
      <c r="LE67" s="4"/>
      <c r="LF67" s="6"/>
      <c r="LG67" s="6"/>
      <c r="LH67" s="6"/>
      <c r="LI67" s="6"/>
      <c r="LJ67" s="6"/>
      <c r="LK67" s="6"/>
      <c r="LL67" s="6"/>
      <c r="LM67" s="6"/>
      <c r="LN67" s="6"/>
      <c r="LO67" s="6"/>
      <c r="LP67" s="6"/>
      <c r="LQ67" s="6"/>
      <c r="LR67" s="6"/>
      <c r="LS67" s="6"/>
      <c r="LT67" s="6"/>
      <c r="LU67" s="6"/>
      <c r="LV67" s="6"/>
      <c r="LW67" s="6"/>
      <c r="LX67" s="6"/>
      <c r="LY67" s="6"/>
      <c r="LZ67" s="6"/>
      <c r="MA67" s="6"/>
      <c r="MB67" s="6"/>
      <c r="MC67" s="6"/>
      <c r="MD67" s="6"/>
      <c r="ME67" s="6"/>
      <c r="MF67" s="6"/>
      <c r="MG67" s="6"/>
      <c r="MH67" s="6"/>
      <c r="MI67" s="6"/>
      <c r="MJ67" s="6"/>
      <c r="MK67" s="6"/>
      <c r="ML67" s="6"/>
      <c r="MM67" s="6"/>
      <c r="MN67" s="6"/>
      <c r="MO67" s="6"/>
      <c r="MP67" s="6"/>
      <c r="MQ67" s="6"/>
      <c r="MR67" s="6"/>
      <c r="MS67" s="6"/>
      <c r="MT67" s="6"/>
      <c r="MU67" s="6"/>
      <c r="MV67" s="6"/>
      <c r="MW67" s="6"/>
      <c r="MX67" s="6"/>
      <c r="MY67" s="6"/>
      <c r="MZ67" s="6"/>
      <c r="NA67" s="6"/>
      <c r="NB67" s="6"/>
      <c r="NC67" s="6"/>
      <c r="ND67" s="6"/>
      <c r="NE67" s="6"/>
      <c r="NF67" s="6"/>
      <c r="NG67" s="6"/>
      <c r="NH67" s="6"/>
      <c r="NI67" s="6"/>
      <c r="NJ67" s="4"/>
    </row>
    <row r="68" spans="1:374" s="1" customFormat="1" x14ac:dyDescent="0.35">
      <c r="A68" s="2">
        <v>43364</v>
      </c>
      <c r="B68" s="15" t="s">
        <v>105</v>
      </c>
      <c r="C68" s="15" t="s">
        <v>229</v>
      </c>
      <c r="D68" s="1">
        <v>67</v>
      </c>
      <c r="E68" s="3">
        <v>2</v>
      </c>
      <c r="F68" s="3">
        <v>2</v>
      </c>
      <c r="G68" s="3"/>
      <c r="H68" s="3">
        <v>17</v>
      </c>
      <c r="I68" s="3">
        <v>3</v>
      </c>
      <c r="J68" s="3"/>
      <c r="K68" s="18">
        <v>0</v>
      </c>
      <c r="L68" s="18">
        <v>0</v>
      </c>
      <c r="M68" s="18">
        <v>1</v>
      </c>
      <c r="N68" s="18">
        <v>1</v>
      </c>
      <c r="O68" s="18">
        <v>0</v>
      </c>
      <c r="P68" s="4">
        <v>0.4</v>
      </c>
      <c r="Q68" s="3">
        <v>77</v>
      </c>
      <c r="R68" s="3">
        <v>98</v>
      </c>
      <c r="S68" s="3">
        <v>90</v>
      </c>
      <c r="T68" s="3">
        <v>108</v>
      </c>
      <c r="U68" s="3">
        <v>89</v>
      </c>
      <c r="V68" s="3">
        <v>88</v>
      </c>
      <c r="W68" s="3">
        <v>100</v>
      </c>
      <c r="X68" s="3">
        <v>95</v>
      </c>
      <c r="Y68" s="3">
        <v>96</v>
      </c>
      <c r="Z68" s="3"/>
      <c r="AA68" s="3"/>
      <c r="AB68" s="3"/>
      <c r="AC68" s="3"/>
      <c r="AD68" s="3"/>
      <c r="AE68" s="3"/>
      <c r="AF68" s="3"/>
      <c r="AG68" s="3"/>
      <c r="AH68" s="3"/>
      <c r="AI68" s="4"/>
      <c r="AJ68" s="4"/>
      <c r="AK68" s="4"/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/>
      <c r="AY68"/>
      <c r="AZ68"/>
      <c r="BA68"/>
      <c r="BB68"/>
      <c r="BC68"/>
      <c r="BP68" s="4"/>
      <c r="BQ68" s="4"/>
      <c r="BR68" s="4"/>
      <c r="BS68" s="4"/>
      <c r="BT68" s="4"/>
      <c r="BU68" s="4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1">
        <v>6</v>
      </c>
      <c r="CJ68" s="1">
        <v>6</v>
      </c>
      <c r="CK68" s="1">
        <v>6</v>
      </c>
      <c r="CL68" s="1">
        <v>6</v>
      </c>
      <c r="CM68" s="1">
        <v>6</v>
      </c>
      <c r="CN68" s="1">
        <v>6</v>
      </c>
      <c r="CO68" s="1">
        <v>2</v>
      </c>
      <c r="CP68" s="1">
        <v>2</v>
      </c>
      <c r="CQ68" s="1">
        <v>6</v>
      </c>
      <c r="CR68" s="1">
        <v>6</v>
      </c>
      <c r="CS68" s="1">
        <v>6</v>
      </c>
      <c r="CT68" s="1">
        <v>6</v>
      </c>
      <c r="CU68" s="1">
        <v>6</v>
      </c>
      <c r="CV68" s="1">
        <v>6</v>
      </c>
      <c r="CW68" s="1">
        <v>6</v>
      </c>
      <c r="CX68" s="1">
        <v>6</v>
      </c>
      <c r="CY68" s="1">
        <v>6</v>
      </c>
      <c r="CZ68" s="1">
        <v>6</v>
      </c>
      <c r="DA68" s="1">
        <v>6</v>
      </c>
      <c r="DB68" s="1">
        <v>6</v>
      </c>
      <c r="DC68" s="1">
        <v>6</v>
      </c>
      <c r="DD68" s="1">
        <v>6</v>
      </c>
      <c r="DE68" s="1">
        <v>5</v>
      </c>
      <c r="DF68" s="1">
        <v>4</v>
      </c>
      <c r="DG68" s="1">
        <v>5</v>
      </c>
      <c r="DH68" s="1">
        <v>6</v>
      </c>
      <c r="DI68" s="1">
        <v>6</v>
      </c>
      <c r="DJ68" s="1">
        <v>6</v>
      </c>
      <c r="DK68" s="1">
        <v>6</v>
      </c>
      <c r="DL68" s="1">
        <v>1</v>
      </c>
      <c r="DM68" s="19">
        <v>4</v>
      </c>
      <c r="DN68" s="19">
        <v>5</v>
      </c>
      <c r="DO68" s="1">
        <v>6</v>
      </c>
      <c r="DP68" s="1">
        <v>3</v>
      </c>
      <c r="DQ68" s="1">
        <v>4</v>
      </c>
      <c r="DR68" s="1">
        <v>4</v>
      </c>
      <c r="DS68" s="1">
        <v>6</v>
      </c>
      <c r="DT68" s="1">
        <v>6</v>
      </c>
      <c r="DU68" s="27">
        <v>6</v>
      </c>
      <c r="DV68" s="27">
        <v>7</v>
      </c>
      <c r="DW68" s="27">
        <v>6</v>
      </c>
      <c r="DX68" s="27">
        <v>4</v>
      </c>
      <c r="DY68" s="27">
        <v>4</v>
      </c>
      <c r="DZ68" s="27">
        <v>4</v>
      </c>
      <c r="EA68" s="27">
        <v>4</v>
      </c>
      <c r="EB68" s="27">
        <v>4</v>
      </c>
      <c r="EC68" s="27">
        <v>6</v>
      </c>
      <c r="ED68" s="27">
        <v>4</v>
      </c>
      <c r="EE68" s="27">
        <v>6</v>
      </c>
      <c r="EF68" s="27">
        <v>2</v>
      </c>
      <c r="EG68" s="27">
        <v>4</v>
      </c>
      <c r="EH68" s="27">
        <v>7</v>
      </c>
      <c r="EI68" s="27">
        <v>7</v>
      </c>
      <c r="EJ68" s="27">
        <v>7</v>
      </c>
      <c r="EK68" s="27">
        <v>7</v>
      </c>
      <c r="EL68" s="27">
        <v>4</v>
      </c>
      <c r="EM68" s="27">
        <v>4</v>
      </c>
      <c r="EN68" s="27">
        <v>4</v>
      </c>
      <c r="EO68" s="27">
        <v>6</v>
      </c>
      <c r="EP68" s="27">
        <v>6</v>
      </c>
      <c r="EQ68" s="27">
        <v>6</v>
      </c>
      <c r="ER68" s="27">
        <v>7</v>
      </c>
      <c r="ES68" s="27">
        <v>7</v>
      </c>
      <c r="ET68" s="27">
        <v>4</v>
      </c>
      <c r="EU68" s="27">
        <v>4</v>
      </c>
      <c r="EV68" s="1">
        <v>18</v>
      </c>
      <c r="EW68" s="1">
        <v>1</v>
      </c>
      <c r="EY68" s="1">
        <v>1</v>
      </c>
      <c r="EZ68" s="9"/>
      <c r="FA68" s="1">
        <v>1</v>
      </c>
      <c r="FB68" s="9" t="s">
        <v>785</v>
      </c>
      <c r="FC68" s="1">
        <v>1</v>
      </c>
      <c r="FD68" s="1">
        <v>7</v>
      </c>
      <c r="FE68" s="4"/>
      <c r="FF68" s="4"/>
      <c r="FG68" s="4"/>
      <c r="FH68" s="4"/>
      <c r="FI68" s="4"/>
      <c r="FJ68" s="23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26"/>
      <c r="GF68" s="26"/>
      <c r="GG68" s="4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S68" s="3"/>
      <c r="HU68" s="3"/>
      <c r="HX68" s="3"/>
      <c r="IA68" s="3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6"/>
      <c r="JP68" s="6"/>
      <c r="JQ68" s="6"/>
      <c r="JR68" s="6"/>
      <c r="JS68" s="6"/>
      <c r="JT68" s="8"/>
      <c r="JU68" s="8"/>
      <c r="JV68" s="8"/>
      <c r="JW68" s="8"/>
      <c r="JX68" s="8"/>
      <c r="JY68" s="8"/>
      <c r="JZ68" s="8"/>
      <c r="KA68" s="8"/>
      <c r="KB68" s="8"/>
      <c r="KC68" s="6"/>
      <c r="KD68" s="6"/>
      <c r="KE68" s="6"/>
      <c r="KF68" s="6"/>
      <c r="KG68" s="6"/>
      <c r="KH68" s="6"/>
      <c r="KI68" s="6"/>
      <c r="KJ68" s="6"/>
      <c r="KK68" s="6"/>
      <c r="KL68" s="4"/>
      <c r="KM68" s="4"/>
      <c r="KN68" s="6"/>
      <c r="KO68" s="4"/>
      <c r="KP68" s="4"/>
      <c r="KQ68" s="6"/>
      <c r="KR68" s="6"/>
      <c r="KS68" s="4"/>
      <c r="KU68" s="4"/>
      <c r="KV68" s="4"/>
      <c r="KW68" s="4"/>
      <c r="KX68" s="6"/>
      <c r="KY68" s="6"/>
      <c r="KZ68" s="6"/>
      <c r="LA68" s="4"/>
      <c r="LB68" s="6"/>
      <c r="LC68" s="6"/>
      <c r="LD68" s="4"/>
      <c r="LE68" s="4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6"/>
      <c r="NF68" s="6"/>
      <c r="NG68" s="6"/>
      <c r="NH68" s="6"/>
      <c r="NI68" s="6"/>
      <c r="NJ68" s="4"/>
    </row>
    <row r="69" spans="1:374" s="1" customFormat="1" x14ac:dyDescent="0.35">
      <c r="A69" s="2">
        <v>43364</v>
      </c>
      <c r="B69" s="15" t="s">
        <v>105</v>
      </c>
      <c r="C69" s="15" t="s">
        <v>230</v>
      </c>
      <c r="D69" s="1">
        <v>68</v>
      </c>
      <c r="E69" s="3">
        <v>2</v>
      </c>
      <c r="F69" s="3">
        <v>2</v>
      </c>
      <c r="G69" s="3"/>
      <c r="H69" s="3">
        <v>17</v>
      </c>
      <c r="I69" s="3">
        <v>4</v>
      </c>
      <c r="J69" s="3"/>
      <c r="K69" s="18">
        <v>0</v>
      </c>
      <c r="L69" s="18">
        <v>1</v>
      </c>
      <c r="M69" s="18">
        <v>0</v>
      </c>
      <c r="N69" s="18">
        <v>1</v>
      </c>
      <c r="O69" s="18">
        <v>0</v>
      </c>
      <c r="P69" s="4">
        <v>0.4</v>
      </c>
      <c r="Q69" s="3">
        <v>112</v>
      </c>
      <c r="R69" s="3">
        <v>116</v>
      </c>
      <c r="S69" s="3">
        <v>99</v>
      </c>
      <c r="T69" s="3">
        <v>96</v>
      </c>
      <c r="U69" s="3">
        <v>91</v>
      </c>
      <c r="V69" s="3">
        <v>104</v>
      </c>
      <c r="W69" s="3">
        <v>76</v>
      </c>
      <c r="X69" s="3">
        <v>90</v>
      </c>
      <c r="Y69" s="3">
        <v>92</v>
      </c>
      <c r="Z69" s="3"/>
      <c r="AA69" s="3"/>
      <c r="AB69" s="3"/>
      <c r="AC69" s="3"/>
      <c r="AD69" s="3"/>
      <c r="AE69" s="3"/>
      <c r="AF69" s="3"/>
      <c r="AG69" s="3"/>
      <c r="AH69" s="3"/>
      <c r="AI69" s="4"/>
      <c r="AJ69" s="4"/>
      <c r="AK69" s="4"/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/>
      <c r="AY69"/>
      <c r="AZ69"/>
      <c r="BA69"/>
      <c r="BB69"/>
      <c r="BC69"/>
      <c r="BP69" s="4"/>
      <c r="BQ69" s="4"/>
      <c r="BR69" s="4"/>
      <c r="BS69" s="4"/>
      <c r="BT69" s="4"/>
      <c r="BU69" s="4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1">
        <v>7</v>
      </c>
      <c r="CJ69" s="1">
        <v>7</v>
      </c>
      <c r="CK69" s="1">
        <v>7</v>
      </c>
      <c r="CL69" s="1">
        <v>7</v>
      </c>
      <c r="CM69" s="1">
        <v>7</v>
      </c>
      <c r="CN69" s="1">
        <v>7</v>
      </c>
      <c r="CO69" s="1">
        <v>7</v>
      </c>
      <c r="CP69" s="1">
        <v>1</v>
      </c>
      <c r="CQ69" s="1">
        <v>7</v>
      </c>
      <c r="CR69" s="1">
        <v>7</v>
      </c>
      <c r="CS69" s="1">
        <v>7</v>
      </c>
      <c r="CT69" s="1">
        <v>7</v>
      </c>
      <c r="CU69" s="1">
        <v>7</v>
      </c>
      <c r="CV69" s="1">
        <v>7</v>
      </c>
      <c r="CW69" s="1">
        <v>7</v>
      </c>
      <c r="CX69" s="1">
        <v>7</v>
      </c>
      <c r="CY69" s="1">
        <v>7</v>
      </c>
      <c r="CZ69" s="1">
        <v>7</v>
      </c>
      <c r="DA69" s="1">
        <v>7</v>
      </c>
      <c r="DB69" s="1">
        <v>7</v>
      </c>
      <c r="DC69" s="1">
        <v>7</v>
      </c>
      <c r="DD69" s="1">
        <v>7</v>
      </c>
      <c r="DE69" s="1">
        <v>7</v>
      </c>
      <c r="DF69" s="1">
        <v>6</v>
      </c>
      <c r="DG69" s="1">
        <v>4</v>
      </c>
      <c r="DH69" s="1">
        <v>7</v>
      </c>
      <c r="DI69" s="1">
        <v>6</v>
      </c>
      <c r="DJ69" s="1">
        <v>7</v>
      </c>
      <c r="DK69" s="1">
        <v>6</v>
      </c>
      <c r="DL69" s="1">
        <v>5</v>
      </c>
      <c r="DM69" s="19">
        <v>7</v>
      </c>
      <c r="DN69" s="19">
        <v>6</v>
      </c>
      <c r="DO69" s="1">
        <v>5</v>
      </c>
      <c r="DP69" s="1">
        <v>6</v>
      </c>
      <c r="DQ69" s="1">
        <v>7</v>
      </c>
      <c r="DR69" s="1">
        <v>4</v>
      </c>
      <c r="DS69" s="1">
        <v>7</v>
      </c>
      <c r="DT69" s="1">
        <v>7</v>
      </c>
      <c r="DU69" s="27">
        <v>7</v>
      </c>
      <c r="DV69" s="27">
        <v>7</v>
      </c>
      <c r="DW69" s="27">
        <v>6</v>
      </c>
      <c r="DX69" s="27">
        <v>4</v>
      </c>
      <c r="DY69" s="27">
        <v>2</v>
      </c>
      <c r="DZ69" s="27">
        <v>4</v>
      </c>
      <c r="EA69" s="27">
        <v>1</v>
      </c>
      <c r="EB69" s="27">
        <v>5</v>
      </c>
      <c r="EC69" s="27">
        <v>7</v>
      </c>
      <c r="ED69" s="27">
        <v>7</v>
      </c>
      <c r="EE69" s="27">
        <v>3</v>
      </c>
      <c r="EF69" s="27">
        <v>4</v>
      </c>
      <c r="EG69" s="27">
        <v>7</v>
      </c>
      <c r="EH69" s="27">
        <v>7</v>
      </c>
      <c r="EI69" s="27">
        <v>7</v>
      </c>
      <c r="EJ69" s="27">
        <v>7</v>
      </c>
      <c r="EK69" s="27">
        <v>7</v>
      </c>
      <c r="EL69" s="27">
        <v>7</v>
      </c>
      <c r="EM69" s="27">
        <v>1</v>
      </c>
      <c r="EN69" s="27">
        <v>1</v>
      </c>
      <c r="EO69" s="27">
        <v>7</v>
      </c>
      <c r="EP69" s="27">
        <v>7</v>
      </c>
      <c r="EQ69" s="27">
        <v>7</v>
      </c>
      <c r="ER69" s="27">
        <v>7</v>
      </c>
      <c r="ES69" s="27">
        <v>7</v>
      </c>
      <c r="ET69" s="27">
        <v>4</v>
      </c>
      <c r="EU69" s="27">
        <v>4</v>
      </c>
      <c r="EV69" s="1">
        <v>18</v>
      </c>
      <c r="EW69" s="1">
        <v>2</v>
      </c>
      <c r="EY69" s="1">
        <v>3</v>
      </c>
      <c r="EZ69" s="9"/>
      <c r="FA69" s="1">
        <v>1</v>
      </c>
      <c r="FB69" s="9" t="s">
        <v>824</v>
      </c>
      <c r="FC69" s="1">
        <v>0</v>
      </c>
      <c r="FD69" s="1">
        <v>3</v>
      </c>
      <c r="FE69" s="4"/>
      <c r="FF69" s="4"/>
      <c r="FG69" s="4"/>
      <c r="FH69" s="4"/>
      <c r="FI69" s="4"/>
      <c r="FJ69" s="23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26"/>
      <c r="GF69" s="26"/>
      <c r="GG69" s="4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S69" s="3"/>
      <c r="HU69" s="3"/>
      <c r="HX69" s="3"/>
      <c r="IA69" s="3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6"/>
      <c r="JP69" s="6"/>
      <c r="JQ69" s="6"/>
      <c r="JR69" s="6"/>
      <c r="JS69" s="6"/>
      <c r="JT69" s="8"/>
      <c r="JU69" s="8"/>
      <c r="JV69" s="8"/>
      <c r="JW69" s="8"/>
      <c r="JX69" s="8"/>
      <c r="JY69" s="8"/>
      <c r="JZ69" s="8"/>
      <c r="KA69" s="8"/>
      <c r="KB69" s="8"/>
      <c r="KC69" s="6"/>
      <c r="KD69" s="6"/>
      <c r="KE69" s="6"/>
      <c r="KF69" s="6"/>
      <c r="KG69" s="6"/>
      <c r="KH69" s="6"/>
      <c r="KI69" s="6"/>
      <c r="KJ69" s="6"/>
      <c r="KK69" s="6"/>
      <c r="KL69" s="4"/>
      <c r="KM69" s="4"/>
      <c r="KN69" s="6"/>
      <c r="KO69" s="4"/>
      <c r="KP69" s="4"/>
      <c r="KQ69" s="6"/>
      <c r="KR69" s="6"/>
      <c r="KS69" s="4"/>
      <c r="KU69" s="4"/>
      <c r="KV69" s="4"/>
      <c r="KW69" s="4"/>
      <c r="KX69" s="6"/>
      <c r="KY69" s="6"/>
      <c r="KZ69" s="6"/>
      <c r="LA69" s="4"/>
      <c r="LB69" s="6"/>
      <c r="LC69" s="6"/>
      <c r="LD69" s="4"/>
      <c r="LE69" s="4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4"/>
    </row>
    <row r="70" spans="1:374" s="1" customFormat="1" x14ac:dyDescent="0.35">
      <c r="A70" s="2">
        <v>43364</v>
      </c>
      <c r="B70" s="15" t="s">
        <v>106</v>
      </c>
      <c r="C70" s="15" t="s">
        <v>231</v>
      </c>
      <c r="D70" s="1">
        <v>69</v>
      </c>
      <c r="E70" s="3">
        <v>2</v>
      </c>
      <c r="F70" s="3">
        <v>2</v>
      </c>
      <c r="G70" s="3">
        <v>1</v>
      </c>
      <c r="H70" s="3">
        <v>18</v>
      </c>
      <c r="I70" s="3">
        <v>1</v>
      </c>
      <c r="J70" s="3">
        <v>1</v>
      </c>
      <c r="K70" s="18">
        <v>0</v>
      </c>
      <c r="L70" s="18">
        <v>0</v>
      </c>
      <c r="M70" s="18">
        <v>0</v>
      </c>
      <c r="N70" s="18">
        <v>1</v>
      </c>
      <c r="O70" s="18">
        <v>1</v>
      </c>
      <c r="P70" s="4">
        <v>0.4</v>
      </c>
      <c r="Q70" s="3">
        <v>49</v>
      </c>
      <c r="R70" s="3">
        <v>62</v>
      </c>
      <c r="S70" s="3">
        <v>67</v>
      </c>
      <c r="T70" s="3">
        <v>68</v>
      </c>
      <c r="U70" s="3">
        <v>71</v>
      </c>
      <c r="V70" s="3">
        <v>68</v>
      </c>
      <c r="W70" s="3">
        <v>76</v>
      </c>
      <c r="X70" s="3">
        <v>60</v>
      </c>
      <c r="Y70" s="3">
        <v>82</v>
      </c>
      <c r="Z70" s="3">
        <v>223</v>
      </c>
      <c r="AA70" s="3">
        <v>275</v>
      </c>
      <c r="AB70" s="3">
        <v>293</v>
      </c>
      <c r="AC70" s="3">
        <v>317</v>
      </c>
      <c r="AD70" s="3">
        <v>308</v>
      </c>
      <c r="AE70" s="3">
        <v>325</v>
      </c>
      <c r="AF70" s="3">
        <v>339</v>
      </c>
      <c r="AG70" s="3">
        <v>284</v>
      </c>
      <c r="AH70" s="3">
        <v>359</v>
      </c>
      <c r="AI70" s="4">
        <v>263.67</v>
      </c>
      <c r="AJ70" s="4">
        <v>316.67</v>
      </c>
      <c r="AK70" s="4">
        <v>327.33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2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f t="shared" ref="AX70:BC70" si="34">AL70+AL71+AL72+AL73</f>
        <v>2</v>
      </c>
      <c r="AY70" s="19">
        <f t="shared" si="34"/>
        <v>0</v>
      </c>
      <c r="AZ70" s="19">
        <f t="shared" si="34"/>
        <v>0</v>
      </c>
      <c r="BA70" s="19">
        <f t="shared" si="34"/>
        <v>0</v>
      </c>
      <c r="BB70" s="19">
        <f t="shared" si="34"/>
        <v>0</v>
      </c>
      <c r="BC70" s="19">
        <f t="shared" si="34"/>
        <v>0</v>
      </c>
      <c r="BD70" s="1">
        <f>AX70*3</f>
        <v>6</v>
      </c>
      <c r="BE70" s="1">
        <f t="shared" ref="BE70:BI70" si="35">AY70*3</f>
        <v>0</v>
      </c>
      <c r="BF70" s="1">
        <f t="shared" si="35"/>
        <v>0</v>
      </c>
      <c r="BG70" s="1">
        <f t="shared" si="35"/>
        <v>0</v>
      </c>
      <c r="BH70" s="1">
        <f t="shared" si="35"/>
        <v>0</v>
      </c>
      <c r="BI70" s="1">
        <f t="shared" si="35"/>
        <v>0</v>
      </c>
      <c r="BJ70" s="1">
        <f>AX70+AY70+AZ70</f>
        <v>2</v>
      </c>
      <c r="BK70" s="1">
        <f>BA70+BB70+BC70</f>
        <v>0</v>
      </c>
      <c r="BL70" s="1">
        <f>BJ70*3</f>
        <v>6</v>
      </c>
      <c r="BM70" s="1">
        <f>BK70*3</f>
        <v>0</v>
      </c>
      <c r="BN70" s="1">
        <f>BL70/3</f>
        <v>2</v>
      </c>
      <c r="BO70" s="1">
        <f>BM70/3</f>
        <v>0</v>
      </c>
      <c r="BP70" s="4">
        <v>261.66666666666669</v>
      </c>
      <c r="BQ70" s="4">
        <v>316.66666666666669</v>
      </c>
      <c r="BR70" s="4">
        <v>327.33333333333331</v>
      </c>
      <c r="BS70" s="4">
        <v>261.67</v>
      </c>
      <c r="BT70" s="4">
        <v>316.67</v>
      </c>
      <c r="BU70" s="4">
        <v>3.6</v>
      </c>
      <c r="BV70" s="3">
        <v>3</v>
      </c>
      <c r="BW70" s="3">
        <v>3</v>
      </c>
      <c r="BX70" s="3">
        <v>3</v>
      </c>
      <c r="BY70" s="3">
        <v>3</v>
      </c>
      <c r="BZ70" s="3">
        <v>0</v>
      </c>
      <c r="CA70" s="3">
        <v>0</v>
      </c>
      <c r="CB70" s="3">
        <v>0</v>
      </c>
      <c r="CC70" s="3">
        <v>0</v>
      </c>
      <c r="CD70" s="3">
        <v>1</v>
      </c>
      <c r="CE70" s="3">
        <v>1</v>
      </c>
      <c r="CF70" s="3">
        <v>1</v>
      </c>
      <c r="CG70" s="3">
        <v>1</v>
      </c>
      <c r="CH70" s="3">
        <v>0</v>
      </c>
      <c r="CI70" s="1">
        <v>7</v>
      </c>
      <c r="CJ70" s="1">
        <v>7</v>
      </c>
      <c r="CK70" s="1">
        <v>7</v>
      </c>
      <c r="CL70" s="1">
        <v>7</v>
      </c>
      <c r="CM70" s="1">
        <v>6</v>
      </c>
      <c r="CN70" s="1">
        <v>7</v>
      </c>
      <c r="CO70" s="1">
        <v>7</v>
      </c>
      <c r="CP70" s="1">
        <v>2</v>
      </c>
      <c r="CQ70" s="1">
        <v>7</v>
      </c>
      <c r="CR70" s="1">
        <v>7</v>
      </c>
      <c r="CS70" s="1">
        <v>7</v>
      </c>
      <c r="CT70" s="1">
        <v>6</v>
      </c>
      <c r="CU70" s="1">
        <v>7</v>
      </c>
      <c r="CV70" s="1">
        <v>7</v>
      </c>
      <c r="CW70" s="1">
        <v>7</v>
      </c>
      <c r="CX70" s="1">
        <v>7</v>
      </c>
      <c r="CY70" s="1">
        <v>7</v>
      </c>
      <c r="CZ70" s="1">
        <v>7</v>
      </c>
      <c r="DA70" s="1">
        <v>7</v>
      </c>
      <c r="DB70" s="1">
        <v>7</v>
      </c>
      <c r="DC70" s="1">
        <v>7</v>
      </c>
      <c r="DD70" s="1">
        <v>7</v>
      </c>
      <c r="DE70" s="1">
        <v>7</v>
      </c>
      <c r="DF70" s="1">
        <v>7</v>
      </c>
      <c r="DG70" s="1">
        <v>2</v>
      </c>
      <c r="DH70" s="1">
        <v>7</v>
      </c>
      <c r="DI70" s="1">
        <v>7</v>
      </c>
      <c r="DJ70" s="1">
        <v>7</v>
      </c>
      <c r="DK70" s="1">
        <v>7</v>
      </c>
      <c r="DL70" s="1">
        <v>7</v>
      </c>
      <c r="DM70" s="19">
        <v>7</v>
      </c>
      <c r="DN70" s="19">
        <v>7</v>
      </c>
      <c r="DO70" s="1">
        <v>6</v>
      </c>
      <c r="DP70" s="1">
        <v>7</v>
      </c>
      <c r="DQ70" s="1">
        <v>7</v>
      </c>
      <c r="DR70" s="1">
        <v>7</v>
      </c>
      <c r="DS70" s="1">
        <v>7</v>
      </c>
      <c r="DT70" s="1">
        <v>7</v>
      </c>
      <c r="DU70" s="27">
        <v>7</v>
      </c>
      <c r="DV70" s="27">
        <v>7</v>
      </c>
      <c r="DW70" s="27">
        <v>7</v>
      </c>
      <c r="DX70" s="27">
        <v>1</v>
      </c>
      <c r="DY70" s="27">
        <v>1</v>
      </c>
      <c r="DZ70" s="27">
        <v>4</v>
      </c>
      <c r="EA70" s="27">
        <v>1</v>
      </c>
      <c r="EB70" s="27">
        <v>5</v>
      </c>
      <c r="EC70" s="27">
        <v>7</v>
      </c>
      <c r="ED70" s="27">
        <v>2</v>
      </c>
      <c r="EE70" s="27">
        <v>2</v>
      </c>
      <c r="EF70" s="27">
        <v>2</v>
      </c>
      <c r="EG70" s="27">
        <v>7</v>
      </c>
      <c r="EH70" s="27">
        <v>7</v>
      </c>
      <c r="EI70" s="27">
        <v>7</v>
      </c>
      <c r="EJ70" s="27">
        <v>7</v>
      </c>
      <c r="EK70" s="27">
        <v>7</v>
      </c>
      <c r="EL70" s="27">
        <v>7</v>
      </c>
      <c r="EM70" s="27">
        <v>1</v>
      </c>
      <c r="EN70" s="27">
        <v>1</v>
      </c>
      <c r="EO70" s="27">
        <v>7</v>
      </c>
      <c r="EP70" s="27">
        <v>7</v>
      </c>
      <c r="EQ70" s="27">
        <v>7</v>
      </c>
      <c r="ER70" s="27">
        <v>7</v>
      </c>
      <c r="ES70" s="27">
        <v>7</v>
      </c>
      <c r="ET70" s="27">
        <v>7</v>
      </c>
      <c r="EU70" s="27">
        <v>7</v>
      </c>
      <c r="EV70" s="1">
        <v>19</v>
      </c>
      <c r="EW70" s="1">
        <v>2</v>
      </c>
      <c r="EY70" s="1">
        <v>1</v>
      </c>
      <c r="EZ70" s="9"/>
      <c r="FA70" s="1">
        <v>1</v>
      </c>
      <c r="FB70" s="9" t="s">
        <v>825</v>
      </c>
      <c r="FC70" s="1">
        <v>0</v>
      </c>
      <c r="FD70" s="1">
        <v>4</v>
      </c>
      <c r="FE70" s="4">
        <v>6.57</v>
      </c>
      <c r="FF70" s="4">
        <v>6.38</v>
      </c>
      <c r="FG70" s="4">
        <v>8.25</v>
      </c>
      <c r="FH70" s="4">
        <v>6.33</v>
      </c>
      <c r="FI70" s="4">
        <v>6.38</v>
      </c>
      <c r="FJ70" s="23">
        <v>6.25</v>
      </c>
      <c r="FK70" s="4">
        <v>5</v>
      </c>
      <c r="FL70" s="4">
        <v>6</v>
      </c>
      <c r="FM70" s="4">
        <v>5.13</v>
      </c>
      <c r="FN70" s="4">
        <v>6.38</v>
      </c>
      <c r="FO70" s="4">
        <v>6.58</v>
      </c>
      <c r="FP70" s="4">
        <v>6.08</v>
      </c>
      <c r="FQ70" s="4">
        <v>1.88</v>
      </c>
      <c r="FR70" s="4">
        <v>1.75</v>
      </c>
      <c r="FS70" s="4">
        <v>4</v>
      </c>
      <c r="FT70" s="4">
        <v>4.75</v>
      </c>
      <c r="FU70" s="4">
        <v>3.75</v>
      </c>
      <c r="FV70" s="4">
        <v>5.5</v>
      </c>
      <c r="FW70" s="4">
        <v>5</v>
      </c>
      <c r="FX70" s="4">
        <v>4.25</v>
      </c>
      <c r="FY70" s="4">
        <v>6.25</v>
      </c>
      <c r="FZ70" s="4">
        <v>5.92</v>
      </c>
      <c r="GA70" s="4">
        <v>1.75</v>
      </c>
      <c r="GB70" s="4">
        <v>6.75</v>
      </c>
      <c r="GC70" s="4">
        <v>6</v>
      </c>
      <c r="GD70" s="4">
        <v>5.75</v>
      </c>
      <c r="GE70" s="26"/>
      <c r="GF70" s="26"/>
      <c r="GG70" s="4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S70" s="3"/>
      <c r="HU70" s="3"/>
      <c r="HX70" s="3"/>
      <c r="IA70" s="3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3"/>
      <c r="JP70" s="3"/>
      <c r="JQ70" s="4"/>
      <c r="JR70" s="5"/>
      <c r="JS70" s="5"/>
      <c r="JT70" s="8"/>
      <c r="JU70" s="8"/>
      <c r="JV70" s="8"/>
      <c r="JW70" s="8"/>
      <c r="JX70" s="8"/>
      <c r="JY70" s="8"/>
      <c r="JZ70" s="8"/>
      <c r="KA70" s="8"/>
      <c r="KB70" s="8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</row>
    <row r="71" spans="1:374" s="1" customFormat="1" x14ac:dyDescent="0.35">
      <c r="A71" s="2">
        <v>43364</v>
      </c>
      <c r="B71" s="15" t="s">
        <v>106</v>
      </c>
      <c r="C71" s="15" t="s">
        <v>232</v>
      </c>
      <c r="D71" s="1">
        <v>70</v>
      </c>
      <c r="E71" s="3">
        <v>2</v>
      </c>
      <c r="F71" s="3">
        <v>2</v>
      </c>
      <c r="G71" s="3"/>
      <c r="H71" s="3">
        <v>18</v>
      </c>
      <c r="I71" s="3">
        <v>2</v>
      </c>
      <c r="J71" s="3"/>
      <c r="K71" s="18">
        <v>1</v>
      </c>
      <c r="L71" s="18">
        <v>1</v>
      </c>
      <c r="M71" s="18">
        <v>1</v>
      </c>
      <c r="N71" s="18">
        <v>1</v>
      </c>
      <c r="O71" s="18">
        <v>1</v>
      </c>
      <c r="P71" s="4">
        <v>1</v>
      </c>
      <c r="Q71" s="3">
        <v>65</v>
      </c>
      <c r="R71" s="3">
        <v>78</v>
      </c>
      <c r="S71" s="3">
        <v>84</v>
      </c>
      <c r="T71" s="3">
        <v>88</v>
      </c>
      <c r="U71" s="3">
        <v>83</v>
      </c>
      <c r="V71" s="3">
        <v>98</v>
      </c>
      <c r="W71" s="3">
        <v>98</v>
      </c>
      <c r="X71" s="3">
        <v>79</v>
      </c>
      <c r="Y71" s="3">
        <v>85</v>
      </c>
      <c r="Z71" s="3"/>
      <c r="AA71" s="3"/>
      <c r="AB71" s="3"/>
      <c r="AC71" s="3"/>
      <c r="AD71" s="3"/>
      <c r="AE71" s="3"/>
      <c r="AF71" s="3"/>
      <c r="AG71" s="3"/>
      <c r="AH71" s="3"/>
      <c r="AI71" s="4"/>
      <c r="AJ71" s="4"/>
      <c r="AK71" s="4"/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/>
      <c r="AY71"/>
      <c r="AZ71"/>
      <c r="BA71"/>
      <c r="BB71"/>
      <c r="BC71"/>
      <c r="BP71" s="4"/>
      <c r="BQ71" s="4"/>
      <c r="BR71" s="4"/>
      <c r="BS71" s="4"/>
      <c r="BT71" s="4"/>
      <c r="BU71" s="4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1">
        <v>7</v>
      </c>
      <c r="CJ71" s="1">
        <v>7</v>
      </c>
      <c r="CK71" s="1">
        <v>7</v>
      </c>
      <c r="CL71" s="1">
        <v>7</v>
      </c>
      <c r="CM71" s="1">
        <v>5</v>
      </c>
      <c r="CN71" s="1">
        <v>7</v>
      </c>
      <c r="CO71" s="1">
        <v>7</v>
      </c>
      <c r="CP71" s="1">
        <v>3</v>
      </c>
      <c r="CQ71" s="1">
        <v>6</v>
      </c>
      <c r="CR71" s="1">
        <v>7</v>
      </c>
      <c r="CS71" s="1">
        <v>5</v>
      </c>
      <c r="CT71" s="1">
        <v>5</v>
      </c>
      <c r="CU71" s="1">
        <v>6</v>
      </c>
      <c r="CV71" s="1">
        <v>7</v>
      </c>
      <c r="CW71" s="1">
        <v>7</v>
      </c>
      <c r="CX71" s="1">
        <v>6</v>
      </c>
      <c r="CY71" s="1">
        <v>7</v>
      </c>
      <c r="CZ71" s="1">
        <v>5</v>
      </c>
      <c r="DA71" s="1">
        <v>5</v>
      </c>
      <c r="DB71" s="1">
        <v>5</v>
      </c>
      <c r="DC71" s="1">
        <v>5</v>
      </c>
      <c r="DD71" s="1">
        <v>5</v>
      </c>
      <c r="DE71" s="1">
        <v>6</v>
      </c>
      <c r="DF71" s="1">
        <v>5</v>
      </c>
      <c r="DG71" s="1">
        <v>2</v>
      </c>
      <c r="DH71" s="1">
        <v>5</v>
      </c>
      <c r="DI71" s="1">
        <v>5</v>
      </c>
      <c r="DJ71" s="1">
        <v>5</v>
      </c>
      <c r="DK71" s="1">
        <v>2</v>
      </c>
      <c r="DL71" s="1">
        <v>3</v>
      </c>
      <c r="DM71" s="19">
        <v>6</v>
      </c>
      <c r="DN71" s="19">
        <v>2</v>
      </c>
      <c r="DO71" s="1">
        <v>2</v>
      </c>
      <c r="DP71" s="1">
        <v>5</v>
      </c>
      <c r="DQ71" s="1">
        <v>6</v>
      </c>
      <c r="DR71" s="1">
        <v>7</v>
      </c>
      <c r="DS71" s="1">
        <v>7</v>
      </c>
      <c r="DT71" s="1">
        <v>7</v>
      </c>
      <c r="DU71" s="27">
        <v>7</v>
      </c>
      <c r="DV71" s="27">
        <v>7</v>
      </c>
      <c r="DW71" s="27">
        <v>6</v>
      </c>
      <c r="DX71" s="27">
        <v>1</v>
      </c>
      <c r="DY71" s="27">
        <v>2</v>
      </c>
      <c r="DZ71" s="27">
        <v>5</v>
      </c>
      <c r="EA71" s="27">
        <v>1</v>
      </c>
      <c r="EB71" s="27">
        <v>6</v>
      </c>
      <c r="EC71" s="27">
        <v>5</v>
      </c>
      <c r="ED71" s="27">
        <v>4</v>
      </c>
      <c r="EE71" s="27">
        <v>6</v>
      </c>
      <c r="EF71" s="27">
        <v>4</v>
      </c>
      <c r="EG71" s="27">
        <v>5</v>
      </c>
      <c r="EH71" s="27">
        <v>7</v>
      </c>
      <c r="EI71" s="27">
        <v>7</v>
      </c>
      <c r="EJ71" s="27">
        <v>6</v>
      </c>
      <c r="EK71" s="27">
        <v>5</v>
      </c>
      <c r="EL71" s="27">
        <v>6</v>
      </c>
      <c r="EM71" s="27">
        <v>1</v>
      </c>
      <c r="EN71" s="27">
        <v>1</v>
      </c>
      <c r="EO71" s="27">
        <v>7</v>
      </c>
      <c r="EP71" s="27">
        <v>7</v>
      </c>
      <c r="EQ71" s="27">
        <v>7</v>
      </c>
      <c r="ER71" s="27">
        <v>6</v>
      </c>
      <c r="ES71" s="27">
        <v>6</v>
      </c>
      <c r="ET71" s="27">
        <v>6</v>
      </c>
      <c r="EU71" s="27">
        <v>6</v>
      </c>
      <c r="EV71" s="1">
        <v>18</v>
      </c>
      <c r="EW71" s="1">
        <v>2</v>
      </c>
      <c r="EY71" s="1">
        <v>1</v>
      </c>
      <c r="EZ71" s="9"/>
      <c r="FA71" s="1">
        <v>1</v>
      </c>
      <c r="FB71" s="9" t="s">
        <v>826</v>
      </c>
      <c r="FC71" s="1">
        <v>0</v>
      </c>
      <c r="FD71" s="1">
        <v>3</v>
      </c>
      <c r="FE71" s="4"/>
      <c r="FF71" s="4"/>
      <c r="FG71" s="4"/>
      <c r="FH71" s="4"/>
      <c r="FI71" s="4"/>
      <c r="FJ71" s="23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26"/>
      <c r="GF71" s="26"/>
      <c r="GG71" s="4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S71" s="3"/>
      <c r="HU71" s="3"/>
      <c r="HX71" s="3"/>
      <c r="IA71" s="3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6"/>
      <c r="JP71" s="6"/>
      <c r="JQ71" s="6"/>
      <c r="JR71" s="6"/>
      <c r="JS71" s="6"/>
      <c r="JT71" s="8"/>
      <c r="JU71" s="8"/>
      <c r="JV71" s="8"/>
      <c r="JW71" s="8"/>
      <c r="JX71" s="8"/>
      <c r="JY71" s="8"/>
      <c r="JZ71" s="8"/>
      <c r="KA71" s="8"/>
      <c r="KB71" s="8"/>
      <c r="KC71" s="6"/>
      <c r="KD71" s="6"/>
      <c r="KE71" s="6"/>
      <c r="KF71" s="6"/>
      <c r="KG71" s="6"/>
      <c r="KH71" s="6"/>
      <c r="KI71" s="6"/>
      <c r="KJ71" s="6"/>
      <c r="KK71" s="6"/>
      <c r="KL71" s="4"/>
      <c r="KM71" s="4"/>
      <c r="KN71" s="6"/>
      <c r="KO71" s="4"/>
      <c r="KP71" s="4"/>
      <c r="KQ71" s="6"/>
      <c r="KR71" s="6"/>
      <c r="KS71" s="4"/>
      <c r="KU71" s="4"/>
      <c r="KV71" s="4"/>
      <c r="KW71" s="4"/>
      <c r="KX71" s="6"/>
      <c r="KY71" s="6"/>
      <c r="KZ71" s="6"/>
      <c r="LA71" s="4"/>
      <c r="LB71" s="6"/>
      <c r="LC71" s="6"/>
      <c r="LD71" s="4"/>
      <c r="LE71" s="4"/>
      <c r="LF71" s="6"/>
      <c r="LG71" s="6"/>
      <c r="LH71" s="6"/>
      <c r="LI71" s="6"/>
      <c r="LJ71" s="6"/>
      <c r="LK71" s="6"/>
      <c r="LL71" s="6"/>
      <c r="LM71" s="6"/>
      <c r="LN71" s="6"/>
      <c r="LO71" s="6"/>
      <c r="LP71" s="6"/>
      <c r="LQ71" s="6"/>
      <c r="LR71" s="6"/>
      <c r="LS71" s="6"/>
      <c r="LT71" s="6"/>
      <c r="LU71" s="6"/>
      <c r="LV71" s="6"/>
      <c r="LW71" s="6"/>
      <c r="LX71" s="6"/>
      <c r="LY71" s="6"/>
      <c r="LZ71" s="6"/>
      <c r="MA71" s="6"/>
      <c r="MB71" s="6"/>
      <c r="MC71" s="6"/>
      <c r="MD71" s="6"/>
      <c r="ME71" s="6"/>
      <c r="MF71" s="6"/>
      <c r="MG71" s="6"/>
      <c r="MH71" s="6"/>
      <c r="MI71" s="6"/>
      <c r="MJ71" s="6"/>
      <c r="MK71" s="6"/>
      <c r="ML71" s="6"/>
      <c r="MM71" s="6"/>
      <c r="MN71" s="6"/>
      <c r="MO71" s="6"/>
      <c r="MP71" s="6"/>
      <c r="MQ71" s="6"/>
      <c r="MR71" s="6"/>
      <c r="MS71" s="6"/>
      <c r="MT71" s="6"/>
      <c r="MU71" s="6"/>
      <c r="MV71" s="6"/>
      <c r="MW71" s="6"/>
      <c r="MX71" s="6"/>
      <c r="MY71" s="6"/>
      <c r="MZ71" s="6"/>
      <c r="NA71" s="6"/>
      <c r="NB71" s="6"/>
      <c r="NC71" s="6"/>
      <c r="ND71" s="6"/>
      <c r="NE71" s="6"/>
      <c r="NF71" s="6"/>
      <c r="NG71" s="6"/>
      <c r="NH71" s="6"/>
      <c r="NI71" s="6"/>
      <c r="NJ71" s="4"/>
    </row>
    <row r="72" spans="1:374" s="1" customFormat="1" x14ac:dyDescent="0.35">
      <c r="A72" s="2">
        <v>43364</v>
      </c>
      <c r="B72" s="15" t="s">
        <v>106</v>
      </c>
      <c r="C72" s="15" t="s">
        <v>233</v>
      </c>
      <c r="D72" s="1">
        <v>71</v>
      </c>
      <c r="E72" s="3">
        <v>2</v>
      </c>
      <c r="F72" s="3">
        <v>2</v>
      </c>
      <c r="G72" s="3"/>
      <c r="H72" s="3">
        <v>18</v>
      </c>
      <c r="I72" s="3">
        <v>3</v>
      </c>
      <c r="J72" s="3"/>
      <c r="K72" s="18">
        <v>0</v>
      </c>
      <c r="L72" s="18">
        <v>0</v>
      </c>
      <c r="M72" s="18">
        <v>1</v>
      </c>
      <c r="N72" s="18">
        <v>1</v>
      </c>
      <c r="O72" s="18">
        <v>0</v>
      </c>
      <c r="P72" s="4">
        <v>0.4</v>
      </c>
      <c r="Q72" s="3">
        <v>52</v>
      </c>
      <c r="R72" s="3">
        <v>65</v>
      </c>
      <c r="S72" s="3">
        <v>68</v>
      </c>
      <c r="T72" s="3">
        <v>70</v>
      </c>
      <c r="U72" s="3">
        <v>71</v>
      </c>
      <c r="V72" s="3">
        <v>71</v>
      </c>
      <c r="W72" s="3">
        <v>81</v>
      </c>
      <c r="X72" s="3">
        <v>70</v>
      </c>
      <c r="Y72" s="3">
        <v>86</v>
      </c>
      <c r="Z72" s="3"/>
      <c r="AA72" s="3"/>
      <c r="AB72" s="3"/>
      <c r="AC72" s="3"/>
      <c r="AD72" s="3"/>
      <c r="AE72" s="3"/>
      <c r="AF72" s="3"/>
      <c r="AG72" s="3"/>
      <c r="AH72" s="3"/>
      <c r="AI72" s="4"/>
      <c r="AJ72" s="4"/>
      <c r="AK72" s="4"/>
      <c r="AL72" s="1">
        <v>2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/>
      <c r="AY72"/>
      <c r="AZ72"/>
      <c r="BA72"/>
      <c r="BB72"/>
      <c r="BC72"/>
      <c r="BP72" s="4"/>
      <c r="BQ72" s="4"/>
      <c r="BR72" s="4"/>
      <c r="BS72" s="4"/>
      <c r="BT72" s="4"/>
      <c r="BU72" s="4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1">
        <v>7</v>
      </c>
      <c r="CJ72" s="1">
        <v>7</v>
      </c>
      <c r="CK72" s="1">
        <v>7</v>
      </c>
      <c r="CL72" s="1">
        <v>6</v>
      </c>
      <c r="CM72" s="1">
        <v>6</v>
      </c>
      <c r="CN72" s="1">
        <v>7</v>
      </c>
      <c r="CO72" s="1">
        <v>6</v>
      </c>
      <c r="CP72" s="1">
        <v>2</v>
      </c>
      <c r="CQ72" s="1">
        <v>6</v>
      </c>
      <c r="CR72" s="1">
        <v>6</v>
      </c>
      <c r="CS72" s="1">
        <v>6</v>
      </c>
      <c r="CT72" s="1">
        <v>6</v>
      </c>
      <c r="CU72" s="1">
        <v>6</v>
      </c>
      <c r="CV72" s="1">
        <v>6</v>
      </c>
      <c r="CW72" s="1">
        <v>6</v>
      </c>
      <c r="CX72" s="1">
        <v>6</v>
      </c>
      <c r="CY72" s="1">
        <v>5</v>
      </c>
      <c r="CZ72" s="1">
        <v>6</v>
      </c>
      <c r="DA72" s="1">
        <v>7</v>
      </c>
      <c r="DB72" s="1">
        <v>6</v>
      </c>
      <c r="DC72" s="1">
        <v>7</v>
      </c>
      <c r="DD72" s="1">
        <v>6</v>
      </c>
      <c r="DE72" s="1">
        <v>5</v>
      </c>
      <c r="DF72" s="1">
        <v>6</v>
      </c>
      <c r="DG72" s="1">
        <v>5</v>
      </c>
      <c r="DH72" s="1">
        <v>7</v>
      </c>
      <c r="DI72" s="1">
        <v>6</v>
      </c>
      <c r="DJ72" s="1">
        <v>6</v>
      </c>
      <c r="DK72" s="1">
        <v>6</v>
      </c>
      <c r="DL72" s="1">
        <v>7</v>
      </c>
      <c r="DM72" s="19">
        <v>5</v>
      </c>
      <c r="DN72" s="19">
        <v>7</v>
      </c>
      <c r="DO72" s="1">
        <v>7</v>
      </c>
      <c r="DP72" s="1">
        <v>6</v>
      </c>
      <c r="DQ72" s="1">
        <v>7</v>
      </c>
      <c r="DR72" s="1">
        <v>4</v>
      </c>
      <c r="DS72" s="1">
        <v>6</v>
      </c>
      <c r="DT72" s="1">
        <v>6</v>
      </c>
      <c r="DU72" s="27">
        <v>4</v>
      </c>
      <c r="DV72" s="27">
        <v>4</v>
      </c>
      <c r="DW72" s="27">
        <v>4</v>
      </c>
      <c r="DX72" s="27">
        <v>4</v>
      </c>
      <c r="DY72" s="27">
        <v>4</v>
      </c>
      <c r="DZ72" s="27">
        <v>4</v>
      </c>
      <c r="EA72" s="27">
        <v>4</v>
      </c>
      <c r="EB72" s="27">
        <v>4</v>
      </c>
      <c r="EC72" s="27">
        <v>4</v>
      </c>
      <c r="ED72" s="27">
        <v>4</v>
      </c>
      <c r="EE72" s="27">
        <v>7</v>
      </c>
      <c r="EF72" s="27">
        <v>7</v>
      </c>
      <c r="EG72" s="27">
        <v>4</v>
      </c>
      <c r="EH72" s="27">
        <v>4</v>
      </c>
      <c r="EI72" s="27">
        <v>4</v>
      </c>
      <c r="EJ72" s="27">
        <v>4</v>
      </c>
      <c r="EK72" s="27">
        <v>4</v>
      </c>
      <c r="EL72" s="27">
        <v>4</v>
      </c>
      <c r="EM72" s="27">
        <v>4</v>
      </c>
      <c r="EN72" s="27">
        <v>4</v>
      </c>
      <c r="EO72" s="27">
        <v>7</v>
      </c>
      <c r="EP72" s="27">
        <v>7</v>
      </c>
      <c r="EQ72" s="27">
        <v>4</v>
      </c>
      <c r="ER72" s="27">
        <v>4</v>
      </c>
      <c r="ES72" s="27">
        <v>4</v>
      </c>
      <c r="ET72" s="27">
        <v>4</v>
      </c>
      <c r="EU72" s="27">
        <v>4</v>
      </c>
      <c r="EV72" s="1">
        <v>21</v>
      </c>
      <c r="EW72" s="1">
        <v>2</v>
      </c>
      <c r="EY72" s="1">
        <v>1</v>
      </c>
      <c r="EZ72" s="9"/>
      <c r="FA72" s="1">
        <v>4</v>
      </c>
      <c r="FB72" s="9" t="s">
        <v>827</v>
      </c>
      <c r="FC72" s="1">
        <v>0</v>
      </c>
      <c r="FD72" s="1">
        <v>4</v>
      </c>
      <c r="FE72" s="4"/>
      <c r="FF72" s="4"/>
      <c r="FG72" s="4"/>
      <c r="FH72" s="4"/>
      <c r="FI72" s="4"/>
      <c r="FJ72" s="23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26"/>
      <c r="GF72" s="26"/>
      <c r="GG72" s="4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S72" s="3"/>
      <c r="HU72" s="3"/>
      <c r="HX72" s="3"/>
      <c r="IA72" s="3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6"/>
      <c r="JP72" s="6"/>
      <c r="JQ72" s="6"/>
      <c r="JR72" s="6"/>
      <c r="JS72" s="6"/>
      <c r="JT72" s="8"/>
      <c r="JU72" s="8"/>
      <c r="JV72" s="8"/>
      <c r="JW72" s="8"/>
      <c r="JX72" s="8"/>
      <c r="JY72" s="8"/>
      <c r="JZ72" s="8"/>
      <c r="KA72" s="8"/>
      <c r="KB72" s="8"/>
      <c r="KC72" s="6"/>
      <c r="KD72" s="6"/>
      <c r="KE72" s="6"/>
      <c r="KF72" s="6"/>
      <c r="KG72" s="6"/>
      <c r="KH72" s="6"/>
      <c r="KI72" s="6"/>
      <c r="KJ72" s="6"/>
      <c r="KK72" s="6"/>
      <c r="KL72" s="4"/>
      <c r="KM72" s="4"/>
      <c r="KN72" s="6"/>
      <c r="KO72" s="4"/>
      <c r="KP72" s="4"/>
      <c r="KQ72" s="6"/>
      <c r="KR72" s="6"/>
      <c r="KS72" s="4"/>
      <c r="KU72" s="4"/>
      <c r="KV72" s="4"/>
      <c r="KW72" s="4"/>
      <c r="KX72" s="6"/>
      <c r="KY72" s="6"/>
      <c r="KZ72" s="6"/>
      <c r="LA72" s="4"/>
      <c r="LB72" s="6"/>
      <c r="LC72" s="6"/>
      <c r="LD72" s="4"/>
      <c r="LE72" s="4"/>
      <c r="LF72" s="6"/>
      <c r="LG72" s="6"/>
      <c r="LH72" s="6"/>
      <c r="LI72" s="6"/>
      <c r="LJ72" s="6"/>
      <c r="LK72" s="6"/>
      <c r="LL72" s="6"/>
      <c r="LM72" s="6"/>
      <c r="LN72" s="6"/>
      <c r="LO72" s="6"/>
      <c r="LP72" s="6"/>
      <c r="LQ72" s="6"/>
      <c r="LR72" s="6"/>
      <c r="LS72" s="6"/>
      <c r="LT72" s="6"/>
      <c r="LU72" s="6"/>
      <c r="LV72" s="6"/>
      <c r="LW72" s="6"/>
      <c r="LX72" s="6"/>
      <c r="LY72" s="6"/>
      <c r="LZ72" s="6"/>
      <c r="MA72" s="6"/>
      <c r="MB72" s="6"/>
      <c r="MC72" s="6"/>
      <c r="MD72" s="6"/>
      <c r="ME72" s="6"/>
      <c r="MF72" s="6"/>
      <c r="MG72" s="6"/>
      <c r="MH72" s="6"/>
      <c r="MI72" s="6"/>
      <c r="MJ72" s="6"/>
      <c r="MK72" s="6"/>
      <c r="ML72" s="6"/>
      <c r="MM72" s="6"/>
      <c r="MN72" s="6"/>
      <c r="MO72" s="6"/>
      <c r="MP72" s="6"/>
      <c r="MQ72" s="6"/>
      <c r="MR72" s="6"/>
      <c r="MS72" s="6"/>
      <c r="MT72" s="6"/>
      <c r="MU72" s="6"/>
      <c r="MV72" s="6"/>
      <c r="MW72" s="6"/>
      <c r="MX72" s="6"/>
      <c r="MY72" s="6"/>
      <c r="MZ72" s="6"/>
      <c r="NA72" s="6"/>
      <c r="NB72" s="6"/>
      <c r="NC72" s="6"/>
      <c r="ND72" s="6"/>
      <c r="NE72" s="6"/>
      <c r="NF72" s="6"/>
      <c r="NG72" s="6"/>
      <c r="NH72" s="6"/>
      <c r="NI72" s="6"/>
      <c r="NJ72" s="4"/>
    </row>
    <row r="73" spans="1:374" s="1" customFormat="1" x14ac:dyDescent="0.35">
      <c r="A73" s="2">
        <v>43364</v>
      </c>
      <c r="B73" s="15" t="s">
        <v>106</v>
      </c>
      <c r="C73" s="15" t="s">
        <v>234</v>
      </c>
      <c r="D73" s="1">
        <v>72</v>
      </c>
      <c r="E73" s="3">
        <v>2</v>
      </c>
      <c r="F73" s="3">
        <v>2</v>
      </c>
      <c r="G73" s="3"/>
      <c r="H73" s="3">
        <v>18</v>
      </c>
      <c r="I73" s="3">
        <v>4</v>
      </c>
      <c r="J73" s="3"/>
      <c r="K73" s="18">
        <v>1</v>
      </c>
      <c r="L73" s="18">
        <v>0</v>
      </c>
      <c r="M73" s="18">
        <v>1</v>
      </c>
      <c r="N73" s="18">
        <v>1</v>
      </c>
      <c r="O73" s="18">
        <v>1</v>
      </c>
      <c r="P73" s="4">
        <v>0.8</v>
      </c>
      <c r="Q73" s="3">
        <v>57</v>
      </c>
      <c r="R73" s="3">
        <v>70</v>
      </c>
      <c r="S73" s="3">
        <v>74</v>
      </c>
      <c r="T73" s="3">
        <v>91</v>
      </c>
      <c r="U73" s="3">
        <v>83</v>
      </c>
      <c r="V73" s="3">
        <v>88</v>
      </c>
      <c r="W73" s="3">
        <v>84</v>
      </c>
      <c r="X73" s="3">
        <v>75</v>
      </c>
      <c r="Y73" s="3">
        <v>106</v>
      </c>
      <c r="Z73" s="3"/>
      <c r="AA73" s="3"/>
      <c r="AB73" s="3"/>
      <c r="AC73" s="3"/>
      <c r="AD73" s="3"/>
      <c r="AE73" s="3"/>
      <c r="AF73" s="3"/>
      <c r="AG73" s="3"/>
      <c r="AH73" s="3"/>
      <c r="AI73" s="4"/>
      <c r="AJ73" s="4"/>
      <c r="AK73" s="4"/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/>
      <c r="AY73"/>
      <c r="AZ73"/>
      <c r="BA73"/>
      <c r="BB73"/>
      <c r="BC73"/>
      <c r="BP73" s="4"/>
      <c r="BQ73" s="4"/>
      <c r="BR73" s="4"/>
      <c r="BS73" s="4"/>
      <c r="BT73" s="4"/>
      <c r="BU73" s="4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1">
        <v>7</v>
      </c>
      <c r="CJ73" s="1">
        <v>7</v>
      </c>
      <c r="CK73" s="1">
        <v>7</v>
      </c>
      <c r="CL73" s="1">
        <v>5</v>
      </c>
      <c r="CM73" s="1">
        <v>6</v>
      </c>
      <c r="CN73" s="1">
        <v>6</v>
      </c>
      <c r="CO73" s="1">
        <v>5</v>
      </c>
      <c r="CP73" s="1">
        <v>1</v>
      </c>
      <c r="CQ73" s="1">
        <v>7</v>
      </c>
      <c r="CR73" s="1">
        <v>7</v>
      </c>
      <c r="CS73" s="1">
        <v>7</v>
      </c>
      <c r="CT73" s="1">
        <v>7</v>
      </c>
      <c r="CU73" s="1">
        <v>7</v>
      </c>
      <c r="CV73" s="1">
        <v>7</v>
      </c>
      <c r="CW73" s="1">
        <v>7</v>
      </c>
      <c r="CX73" s="1">
        <v>7</v>
      </c>
      <c r="CY73" s="1">
        <v>7</v>
      </c>
      <c r="CZ73" s="1">
        <v>7</v>
      </c>
      <c r="DA73" s="1">
        <v>7</v>
      </c>
      <c r="DB73" s="1">
        <v>7</v>
      </c>
      <c r="DC73" s="1">
        <v>7</v>
      </c>
      <c r="DD73" s="1">
        <v>7</v>
      </c>
      <c r="DE73" s="1">
        <v>7</v>
      </c>
      <c r="DF73" s="1">
        <v>1</v>
      </c>
      <c r="DG73" s="1">
        <v>3</v>
      </c>
      <c r="DH73" s="1">
        <v>3</v>
      </c>
      <c r="DI73" s="1">
        <v>5</v>
      </c>
      <c r="DJ73" s="1">
        <v>5</v>
      </c>
      <c r="DK73" s="1">
        <v>6</v>
      </c>
      <c r="DL73" s="1">
        <v>6</v>
      </c>
      <c r="DM73" s="19">
        <v>7</v>
      </c>
      <c r="DN73" s="19">
        <v>5</v>
      </c>
      <c r="DO73" s="1">
        <v>5</v>
      </c>
      <c r="DP73" s="1">
        <v>6</v>
      </c>
      <c r="DQ73" s="1">
        <v>7</v>
      </c>
      <c r="DR73" s="1">
        <v>7</v>
      </c>
      <c r="DS73" s="1">
        <v>7</v>
      </c>
      <c r="DT73" s="1">
        <v>7</v>
      </c>
      <c r="DU73" s="27">
        <v>7</v>
      </c>
      <c r="DV73" s="27">
        <v>7</v>
      </c>
      <c r="DW73" s="27">
        <v>6</v>
      </c>
      <c r="DX73" s="27">
        <v>1</v>
      </c>
      <c r="DY73" s="27">
        <v>1</v>
      </c>
      <c r="DZ73" s="27">
        <v>1</v>
      </c>
      <c r="EA73" s="27">
        <v>1</v>
      </c>
      <c r="EB73" s="27">
        <v>1</v>
      </c>
      <c r="EC73" s="27">
        <v>3</v>
      </c>
      <c r="ED73" s="27">
        <v>5</v>
      </c>
      <c r="EE73" s="27">
        <v>7</v>
      </c>
      <c r="EF73" s="27">
        <v>7</v>
      </c>
      <c r="EG73" s="27">
        <v>1</v>
      </c>
      <c r="EH73" s="27">
        <v>7</v>
      </c>
      <c r="EI73" s="27">
        <v>7</v>
      </c>
      <c r="EJ73" s="27">
        <v>7</v>
      </c>
      <c r="EK73" s="27">
        <v>7</v>
      </c>
      <c r="EL73" s="27">
        <v>7</v>
      </c>
      <c r="EM73" s="27">
        <v>1</v>
      </c>
      <c r="EN73" s="27">
        <v>1</v>
      </c>
      <c r="EO73" s="27">
        <v>7</v>
      </c>
      <c r="EP73" s="27">
        <v>7</v>
      </c>
      <c r="EQ73" s="27">
        <v>7</v>
      </c>
      <c r="ER73" s="27">
        <v>7</v>
      </c>
      <c r="ES73" s="27">
        <v>7</v>
      </c>
      <c r="ET73" s="27">
        <v>5</v>
      </c>
      <c r="EU73" s="27">
        <v>7</v>
      </c>
      <c r="EV73" s="1">
        <v>18</v>
      </c>
      <c r="EW73" s="1">
        <v>2</v>
      </c>
      <c r="EY73" s="1">
        <v>1</v>
      </c>
      <c r="EZ73" s="9"/>
      <c r="FA73" s="1">
        <v>1</v>
      </c>
      <c r="FB73" s="9" t="s">
        <v>828</v>
      </c>
      <c r="FC73" s="1">
        <v>1</v>
      </c>
      <c r="FD73" s="1">
        <v>4</v>
      </c>
      <c r="FE73" s="4"/>
      <c r="FF73" s="4"/>
      <c r="FG73" s="4"/>
      <c r="FH73" s="4"/>
      <c r="FI73" s="4"/>
      <c r="FJ73" s="23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26"/>
      <c r="GF73" s="26"/>
      <c r="GG73" s="4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S73" s="3"/>
      <c r="HU73" s="3"/>
      <c r="HX73" s="3"/>
      <c r="IA73" s="3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6"/>
      <c r="JP73" s="6"/>
      <c r="JQ73" s="6"/>
      <c r="JR73" s="6"/>
      <c r="JS73" s="6"/>
      <c r="JT73" s="8"/>
      <c r="JU73" s="8"/>
      <c r="JV73" s="8"/>
      <c r="JW73" s="8"/>
      <c r="JX73" s="8"/>
      <c r="JY73" s="8"/>
      <c r="JZ73" s="8"/>
      <c r="KA73" s="8"/>
      <c r="KB73" s="8"/>
      <c r="KC73" s="6"/>
      <c r="KD73" s="6"/>
      <c r="KE73" s="6"/>
      <c r="KF73" s="6"/>
      <c r="KG73" s="6"/>
      <c r="KH73" s="6"/>
      <c r="KI73" s="6"/>
      <c r="KJ73" s="6"/>
      <c r="KK73" s="6"/>
      <c r="KL73" s="4"/>
      <c r="KM73" s="4"/>
      <c r="KN73" s="6"/>
      <c r="KO73" s="4"/>
      <c r="KP73" s="4"/>
      <c r="KQ73" s="6"/>
      <c r="KR73" s="6"/>
      <c r="KS73" s="4"/>
      <c r="KU73" s="4"/>
      <c r="KV73" s="4"/>
      <c r="KW73" s="4"/>
      <c r="KX73" s="6"/>
      <c r="KY73" s="6"/>
      <c r="KZ73" s="6"/>
      <c r="LA73" s="4"/>
      <c r="LB73" s="6"/>
      <c r="LC73" s="6"/>
      <c r="LD73" s="4"/>
      <c r="LE73" s="4"/>
      <c r="LF73" s="6"/>
      <c r="LG73" s="6"/>
      <c r="LH73" s="6"/>
      <c r="LI73" s="6"/>
      <c r="LJ73" s="6"/>
      <c r="LK73" s="6"/>
      <c r="LL73" s="6"/>
      <c r="LM73" s="6"/>
      <c r="LN73" s="6"/>
      <c r="LO73" s="6"/>
      <c r="LP73" s="6"/>
      <c r="LQ73" s="6"/>
      <c r="LR73" s="6"/>
      <c r="LS73" s="6"/>
      <c r="LT73" s="6"/>
      <c r="LU73" s="6"/>
      <c r="LV73" s="6"/>
      <c r="LW73" s="6"/>
      <c r="LX73" s="6"/>
      <c r="LY73" s="6"/>
      <c r="LZ73" s="6"/>
      <c r="MA73" s="6"/>
      <c r="MB73" s="6"/>
      <c r="MC73" s="6"/>
      <c r="MD73" s="6"/>
      <c r="ME73" s="6"/>
      <c r="MF73" s="6"/>
      <c r="MG73" s="6"/>
      <c r="MH73" s="6"/>
      <c r="MI73" s="6"/>
      <c r="MJ73" s="6"/>
      <c r="MK73" s="6"/>
      <c r="ML73" s="6"/>
      <c r="MM73" s="6"/>
      <c r="MN73" s="6"/>
      <c r="MO73" s="6"/>
      <c r="MP73" s="6"/>
      <c r="MQ73" s="6"/>
      <c r="MR73" s="6"/>
      <c r="MS73" s="6"/>
      <c r="MT73" s="6"/>
      <c r="MU73" s="6"/>
      <c r="MV73" s="6"/>
      <c r="MW73" s="6"/>
      <c r="MX73" s="6"/>
      <c r="MY73" s="6"/>
      <c r="MZ73" s="6"/>
      <c r="NA73" s="6"/>
      <c r="NB73" s="6"/>
      <c r="NC73" s="6"/>
      <c r="ND73" s="6"/>
      <c r="NE73" s="6"/>
      <c r="NF73" s="6"/>
      <c r="NG73" s="6"/>
      <c r="NH73" s="6"/>
      <c r="NI73" s="6"/>
      <c r="NJ73" s="4"/>
    </row>
    <row r="74" spans="1:374" s="1" customFormat="1" x14ac:dyDescent="0.35">
      <c r="A74" s="2">
        <v>43368</v>
      </c>
      <c r="B74" s="15" t="s">
        <v>107</v>
      </c>
      <c r="C74" s="15" t="s">
        <v>235</v>
      </c>
      <c r="D74" s="1">
        <v>73</v>
      </c>
      <c r="E74" s="3">
        <v>2</v>
      </c>
      <c r="F74" s="3">
        <v>2</v>
      </c>
      <c r="G74" s="3">
        <v>1</v>
      </c>
      <c r="H74" s="3">
        <v>19</v>
      </c>
      <c r="I74" s="3">
        <v>1</v>
      </c>
      <c r="J74" s="3">
        <v>1</v>
      </c>
      <c r="K74" s="18">
        <v>0</v>
      </c>
      <c r="L74" s="18">
        <v>1</v>
      </c>
      <c r="M74" s="18">
        <v>1</v>
      </c>
      <c r="N74" s="18">
        <v>1</v>
      </c>
      <c r="O74" s="18">
        <v>1</v>
      </c>
      <c r="P74" s="4">
        <v>0.8</v>
      </c>
      <c r="Q74" s="3">
        <v>84</v>
      </c>
      <c r="R74" s="3">
        <v>120</v>
      </c>
      <c r="S74" s="3">
        <v>106</v>
      </c>
      <c r="T74" s="3">
        <v>106</v>
      </c>
      <c r="U74" s="3">
        <v>76</v>
      </c>
      <c r="V74" s="3">
        <v>77</v>
      </c>
      <c r="W74" s="3">
        <v>36</v>
      </c>
      <c r="X74" s="3">
        <v>69</v>
      </c>
      <c r="Y74" s="3">
        <v>48</v>
      </c>
      <c r="Z74" s="3">
        <v>324</v>
      </c>
      <c r="AA74" s="3">
        <v>432</v>
      </c>
      <c r="AB74" s="3">
        <v>367</v>
      </c>
      <c r="AC74" s="3">
        <v>348</v>
      </c>
      <c r="AD74" s="3">
        <v>246</v>
      </c>
      <c r="AE74" s="3">
        <v>253</v>
      </c>
      <c r="AF74" s="3">
        <v>218</v>
      </c>
      <c r="AG74" s="3">
        <v>205</v>
      </c>
      <c r="AH74" s="3">
        <v>230</v>
      </c>
      <c r="AI74" s="4">
        <v>374.33</v>
      </c>
      <c r="AJ74" s="4">
        <v>282.33</v>
      </c>
      <c r="AK74" s="4">
        <v>217.67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f t="shared" ref="AX74:BC74" si="36">AL74+AL75+AL76+AL77</f>
        <v>0</v>
      </c>
      <c r="AY74" s="19">
        <f t="shared" si="36"/>
        <v>0</v>
      </c>
      <c r="AZ74" s="19">
        <f t="shared" si="36"/>
        <v>0</v>
      </c>
      <c r="BA74" s="19">
        <f t="shared" si="36"/>
        <v>0</v>
      </c>
      <c r="BB74" s="19">
        <f t="shared" si="36"/>
        <v>0</v>
      </c>
      <c r="BC74" s="19">
        <f t="shared" si="36"/>
        <v>0</v>
      </c>
      <c r="BD74" s="1">
        <f>AX74*3</f>
        <v>0</v>
      </c>
      <c r="BE74" s="1">
        <f t="shared" ref="BE74:BI74" si="37">AY74*3</f>
        <v>0</v>
      </c>
      <c r="BF74" s="1">
        <f t="shared" si="37"/>
        <v>0</v>
      </c>
      <c r="BG74" s="1">
        <f t="shared" si="37"/>
        <v>0</v>
      </c>
      <c r="BH74" s="1">
        <f t="shared" si="37"/>
        <v>0</v>
      </c>
      <c r="BI74" s="1">
        <f t="shared" si="37"/>
        <v>0</v>
      </c>
      <c r="BJ74" s="1">
        <f>AX74+AY74+AZ74</f>
        <v>0</v>
      </c>
      <c r="BK74" s="1">
        <f>BA74+BB74+BC74</f>
        <v>0</v>
      </c>
      <c r="BL74" s="1">
        <f>BJ74*3</f>
        <v>0</v>
      </c>
      <c r="BM74" s="1">
        <f>BK74*3</f>
        <v>0</v>
      </c>
      <c r="BN74" s="1">
        <f>BL74/3</f>
        <v>0</v>
      </c>
      <c r="BO74" s="1">
        <f>BM74/3</f>
        <v>0</v>
      </c>
      <c r="BP74" s="4">
        <v>374.33333333333331</v>
      </c>
      <c r="BQ74" s="4">
        <v>282.33333333333331</v>
      </c>
      <c r="BR74" s="4">
        <v>217.66666666666666</v>
      </c>
      <c r="BS74" s="4">
        <v>374.33</v>
      </c>
      <c r="BT74" s="4">
        <v>282.33</v>
      </c>
      <c r="BU74" s="4">
        <v>3.4</v>
      </c>
      <c r="BV74" s="3">
        <v>4</v>
      </c>
      <c r="BW74" s="3">
        <v>4</v>
      </c>
      <c r="BX74" s="3">
        <v>4</v>
      </c>
      <c r="BY74" s="3">
        <v>4</v>
      </c>
      <c r="BZ74" s="3">
        <v>2</v>
      </c>
      <c r="CA74" s="3">
        <v>2</v>
      </c>
      <c r="CB74" s="3">
        <v>2</v>
      </c>
      <c r="CC74" s="3">
        <v>2</v>
      </c>
      <c r="CD74" s="3">
        <v>2</v>
      </c>
      <c r="CE74" s="3">
        <v>2</v>
      </c>
      <c r="CF74" s="3">
        <v>2</v>
      </c>
      <c r="CG74" s="3">
        <v>2</v>
      </c>
      <c r="CH74" s="3">
        <v>1</v>
      </c>
      <c r="CI74" s="1">
        <v>7</v>
      </c>
      <c r="CJ74" s="1">
        <v>7</v>
      </c>
      <c r="CK74" s="1">
        <v>7</v>
      </c>
      <c r="CL74" s="1">
        <v>7</v>
      </c>
      <c r="CM74" s="1">
        <v>7</v>
      </c>
      <c r="CN74" s="1">
        <v>7</v>
      </c>
      <c r="CO74" s="1">
        <v>7</v>
      </c>
      <c r="CP74" s="1">
        <v>2</v>
      </c>
      <c r="CQ74" s="1">
        <v>7</v>
      </c>
      <c r="CR74" s="1">
        <v>7</v>
      </c>
      <c r="CS74" s="1">
        <v>6</v>
      </c>
      <c r="CT74" s="1">
        <v>6</v>
      </c>
      <c r="CU74" s="1">
        <v>6</v>
      </c>
      <c r="CV74" s="1">
        <v>5</v>
      </c>
      <c r="CW74" s="1">
        <v>6</v>
      </c>
      <c r="CX74" s="1">
        <v>6</v>
      </c>
      <c r="CY74" s="1">
        <v>6</v>
      </c>
      <c r="CZ74" s="1">
        <v>7</v>
      </c>
      <c r="DA74" s="1">
        <v>7</v>
      </c>
      <c r="DB74" s="1">
        <v>7</v>
      </c>
      <c r="DC74" s="1">
        <v>6</v>
      </c>
      <c r="DD74" s="1">
        <v>6</v>
      </c>
      <c r="DE74" s="1">
        <v>6</v>
      </c>
      <c r="DF74" s="1">
        <v>6</v>
      </c>
      <c r="DG74" s="1">
        <v>5</v>
      </c>
      <c r="DH74" s="1">
        <v>2</v>
      </c>
      <c r="DI74" s="1">
        <v>5</v>
      </c>
      <c r="DJ74" s="1">
        <v>5</v>
      </c>
      <c r="DK74" s="1">
        <v>4</v>
      </c>
      <c r="DL74" s="1">
        <v>7</v>
      </c>
      <c r="DM74" s="19">
        <v>7</v>
      </c>
      <c r="DN74" s="19">
        <v>6</v>
      </c>
      <c r="DO74" s="1">
        <v>6</v>
      </c>
      <c r="DP74" s="1">
        <v>6</v>
      </c>
      <c r="DQ74" s="1">
        <v>5</v>
      </c>
      <c r="DR74" s="1">
        <v>5</v>
      </c>
      <c r="DS74" s="1">
        <v>7</v>
      </c>
      <c r="DT74" s="1">
        <v>7</v>
      </c>
      <c r="DU74" s="27">
        <v>7</v>
      </c>
      <c r="DV74" s="27">
        <v>7</v>
      </c>
      <c r="DW74" s="27">
        <v>7</v>
      </c>
      <c r="DX74" s="27">
        <v>6</v>
      </c>
      <c r="DY74" s="27">
        <v>6</v>
      </c>
      <c r="DZ74" s="27">
        <v>4</v>
      </c>
      <c r="EA74" s="27">
        <v>1</v>
      </c>
      <c r="EB74" s="27">
        <v>6</v>
      </c>
      <c r="EC74" s="27">
        <v>7</v>
      </c>
      <c r="ED74" s="27">
        <v>6</v>
      </c>
      <c r="EE74" s="27">
        <v>7</v>
      </c>
      <c r="EF74" s="27">
        <v>7</v>
      </c>
      <c r="EG74" s="27">
        <v>6</v>
      </c>
      <c r="EH74" s="27">
        <v>7</v>
      </c>
      <c r="EI74" s="27">
        <v>4</v>
      </c>
      <c r="EJ74" s="27">
        <v>4</v>
      </c>
      <c r="EK74" s="27">
        <v>4</v>
      </c>
      <c r="EL74" s="27">
        <v>4</v>
      </c>
      <c r="EM74" s="27">
        <v>4</v>
      </c>
      <c r="EN74" s="27">
        <v>4</v>
      </c>
      <c r="EO74" s="27">
        <v>7</v>
      </c>
      <c r="EP74" s="27">
        <v>7</v>
      </c>
      <c r="EQ74" s="27">
        <v>7</v>
      </c>
      <c r="ER74" s="27">
        <v>4</v>
      </c>
      <c r="ES74" s="27">
        <v>4</v>
      </c>
      <c r="ET74" s="27">
        <v>4</v>
      </c>
      <c r="EU74" s="27">
        <v>4</v>
      </c>
      <c r="EV74" s="1">
        <v>18</v>
      </c>
      <c r="EW74" s="1">
        <v>1</v>
      </c>
      <c r="EY74" s="1">
        <v>1</v>
      </c>
      <c r="EZ74" s="9"/>
      <c r="FA74" s="1">
        <v>1</v>
      </c>
      <c r="FB74" s="9" t="s">
        <v>829</v>
      </c>
      <c r="FC74" s="1">
        <v>0</v>
      </c>
      <c r="FD74" s="1">
        <v>7</v>
      </c>
      <c r="FE74" s="4">
        <v>6.5</v>
      </c>
      <c r="FF74" s="4">
        <v>6.31</v>
      </c>
      <c r="FG74" s="4">
        <v>7.31</v>
      </c>
      <c r="FH74" s="4">
        <v>6.5</v>
      </c>
      <c r="FI74" s="4">
        <v>5.75</v>
      </c>
      <c r="FJ74" s="23">
        <v>6.75</v>
      </c>
      <c r="FK74" s="4">
        <v>3.83</v>
      </c>
      <c r="FL74" s="4">
        <v>6.25</v>
      </c>
      <c r="FM74" s="4">
        <v>4</v>
      </c>
      <c r="FN74" s="4">
        <v>4.25</v>
      </c>
      <c r="FO74" s="4">
        <v>5.67</v>
      </c>
      <c r="FP74" s="4">
        <v>5.75</v>
      </c>
      <c r="FQ74" s="4">
        <v>4.25</v>
      </c>
      <c r="FR74" s="4">
        <v>2</v>
      </c>
      <c r="FS74" s="4">
        <v>4.75</v>
      </c>
      <c r="FT74" s="4">
        <v>4.5</v>
      </c>
      <c r="FU74" s="4">
        <v>4.75</v>
      </c>
      <c r="FV74" s="4">
        <v>5.75</v>
      </c>
      <c r="FW74" s="4">
        <v>4.5</v>
      </c>
      <c r="FX74" s="4">
        <v>4.5</v>
      </c>
      <c r="FY74" s="4">
        <v>5.75</v>
      </c>
      <c r="FZ74" s="4">
        <v>5.33</v>
      </c>
      <c r="GA74" s="4">
        <v>3.38</v>
      </c>
      <c r="GB74" s="4">
        <v>5.75</v>
      </c>
      <c r="GC74" s="4">
        <v>5.88</v>
      </c>
      <c r="GD74" s="4">
        <v>4</v>
      </c>
      <c r="GE74" s="26"/>
      <c r="GF74" s="26"/>
      <c r="GG74" s="4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S74" s="3"/>
      <c r="HU74" s="3"/>
      <c r="HX74" s="3"/>
      <c r="IA74" s="3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3"/>
      <c r="JP74" s="3"/>
      <c r="JQ74" s="4"/>
      <c r="JR74" s="5"/>
      <c r="JS74" s="5"/>
      <c r="JT74" s="8"/>
      <c r="JU74" s="8"/>
      <c r="JV74" s="8"/>
      <c r="JW74" s="8"/>
      <c r="JX74" s="8"/>
      <c r="JY74" s="8"/>
      <c r="JZ74" s="8"/>
      <c r="KA74" s="8"/>
      <c r="KB74" s="8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</row>
    <row r="75" spans="1:374" s="1" customFormat="1" x14ac:dyDescent="0.35">
      <c r="A75" s="2">
        <v>43368</v>
      </c>
      <c r="B75" s="15" t="s">
        <v>107</v>
      </c>
      <c r="C75" s="15" t="s">
        <v>236</v>
      </c>
      <c r="D75" s="1">
        <v>74</v>
      </c>
      <c r="E75" s="3">
        <v>2</v>
      </c>
      <c r="F75" s="3">
        <v>2</v>
      </c>
      <c r="G75" s="3"/>
      <c r="H75" s="3">
        <v>19</v>
      </c>
      <c r="I75" s="3">
        <v>2</v>
      </c>
      <c r="J75" s="3"/>
      <c r="K75" s="18">
        <v>1</v>
      </c>
      <c r="L75" s="18">
        <v>1</v>
      </c>
      <c r="M75" s="18">
        <v>0</v>
      </c>
      <c r="N75" s="18">
        <v>1</v>
      </c>
      <c r="O75" s="18">
        <v>1</v>
      </c>
      <c r="P75" s="4">
        <v>0.8</v>
      </c>
      <c r="Q75" s="3">
        <v>88</v>
      </c>
      <c r="R75" s="3">
        <v>103</v>
      </c>
      <c r="S75" s="3">
        <v>105</v>
      </c>
      <c r="T75" s="3">
        <v>98</v>
      </c>
      <c r="U75" s="3">
        <v>66</v>
      </c>
      <c r="V75" s="3">
        <v>76</v>
      </c>
      <c r="W75" s="3">
        <v>50</v>
      </c>
      <c r="X75" s="3">
        <v>71</v>
      </c>
      <c r="Y75" s="3">
        <v>62</v>
      </c>
      <c r="Z75" s="3"/>
      <c r="AA75" s="3"/>
      <c r="AB75" s="3"/>
      <c r="AC75" s="3"/>
      <c r="AD75" s="3"/>
      <c r="AE75" s="3"/>
      <c r="AF75" s="3"/>
      <c r="AG75" s="3"/>
      <c r="AH75" s="3"/>
      <c r="AI75" s="4"/>
      <c r="AJ75" s="4"/>
      <c r="AK75" s="4"/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/>
      <c r="AY75"/>
      <c r="AZ75"/>
      <c r="BA75"/>
      <c r="BB75"/>
      <c r="BC75"/>
      <c r="BP75" s="4"/>
      <c r="BQ75" s="4"/>
      <c r="BR75" s="4"/>
      <c r="BS75" s="4"/>
      <c r="BT75" s="4"/>
      <c r="BU75" s="4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1">
        <v>6</v>
      </c>
      <c r="CJ75" s="1">
        <v>6</v>
      </c>
      <c r="CK75" s="1">
        <v>6</v>
      </c>
      <c r="CL75" s="1">
        <v>6</v>
      </c>
      <c r="CM75" s="1">
        <v>6</v>
      </c>
      <c r="CN75" s="1">
        <v>6</v>
      </c>
      <c r="CO75" s="1">
        <v>4</v>
      </c>
      <c r="CP75" s="1">
        <v>2</v>
      </c>
      <c r="CQ75" s="1">
        <v>6</v>
      </c>
      <c r="CR75" s="1">
        <v>6</v>
      </c>
      <c r="CS75" s="1">
        <v>6</v>
      </c>
      <c r="CT75" s="1">
        <v>6</v>
      </c>
      <c r="CU75" s="1">
        <v>6</v>
      </c>
      <c r="CV75" s="1">
        <v>6</v>
      </c>
      <c r="CW75" s="1">
        <v>6</v>
      </c>
      <c r="CX75" s="1">
        <v>6</v>
      </c>
      <c r="CY75" s="1">
        <v>6</v>
      </c>
      <c r="CZ75" s="1">
        <v>6</v>
      </c>
      <c r="DA75" s="1">
        <v>6</v>
      </c>
      <c r="DB75" s="1">
        <v>6</v>
      </c>
      <c r="DC75" s="1">
        <v>6</v>
      </c>
      <c r="DD75" s="1">
        <v>6</v>
      </c>
      <c r="DE75" s="1">
        <v>7</v>
      </c>
      <c r="DF75" s="1">
        <v>3</v>
      </c>
      <c r="DG75" s="1">
        <v>5</v>
      </c>
      <c r="DH75" s="1">
        <v>3</v>
      </c>
      <c r="DI75" s="1">
        <v>5</v>
      </c>
      <c r="DJ75" s="1">
        <v>5</v>
      </c>
      <c r="DK75" s="1">
        <v>4</v>
      </c>
      <c r="DL75" s="1">
        <v>6</v>
      </c>
      <c r="DM75" s="19">
        <v>5</v>
      </c>
      <c r="DN75" s="19">
        <v>3</v>
      </c>
      <c r="DO75" s="1">
        <v>5</v>
      </c>
      <c r="DP75" s="1">
        <v>3</v>
      </c>
      <c r="DQ75" s="1">
        <v>6</v>
      </c>
      <c r="DR75" s="1">
        <v>6</v>
      </c>
      <c r="DS75" s="1">
        <v>6</v>
      </c>
      <c r="DT75" s="1">
        <v>5</v>
      </c>
      <c r="DU75" s="27">
        <v>6</v>
      </c>
      <c r="DV75" s="27">
        <v>6</v>
      </c>
      <c r="DW75" s="27">
        <v>6</v>
      </c>
      <c r="DX75" s="27">
        <v>4</v>
      </c>
      <c r="DY75" s="27">
        <v>4</v>
      </c>
      <c r="DZ75" s="27">
        <v>4</v>
      </c>
      <c r="EA75" s="27">
        <v>4</v>
      </c>
      <c r="EB75" s="27">
        <v>4</v>
      </c>
      <c r="EC75" s="27">
        <v>4</v>
      </c>
      <c r="ED75" s="27">
        <v>4</v>
      </c>
      <c r="EE75" s="27">
        <v>4</v>
      </c>
      <c r="EF75" s="27">
        <v>4</v>
      </c>
      <c r="EG75" s="27">
        <v>4</v>
      </c>
      <c r="EH75" s="27">
        <v>6</v>
      </c>
      <c r="EI75" s="27">
        <v>6</v>
      </c>
      <c r="EJ75" s="27">
        <v>6</v>
      </c>
      <c r="EK75" s="27">
        <v>6</v>
      </c>
      <c r="EL75" s="27">
        <v>6</v>
      </c>
      <c r="EM75" s="27">
        <v>4</v>
      </c>
      <c r="EN75" s="27">
        <v>2</v>
      </c>
      <c r="EO75" s="27">
        <v>6</v>
      </c>
      <c r="EP75" s="27">
        <v>6</v>
      </c>
      <c r="EQ75" s="27">
        <v>4</v>
      </c>
      <c r="ER75" s="27">
        <v>6</v>
      </c>
      <c r="ES75" s="27">
        <v>6</v>
      </c>
      <c r="ET75" s="27">
        <v>4</v>
      </c>
      <c r="EU75" s="27">
        <v>4</v>
      </c>
      <c r="EV75" s="1">
        <v>18</v>
      </c>
      <c r="EW75" s="1">
        <v>2</v>
      </c>
      <c r="EY75" s="1">
        <v>1</v>
      </c>
      <c r="EZ75" s="9"/>
      <c r="FA75" s="1">
        <v>1</v>
      </c>
      <c r="FB75" s="9" t="s">
        <v>816</v>
      </c>
      <c r="FC75" s="1">
        <v>1</v>
      </c>
      <c r="FD75" s="1">
        <v>4</v>
      </c>
      <c r="FE75" s="4"/>
      <c r="FF75" s="4"/>
      <c r="FG75" s="4"/>
      <c r="FH75" s="4"/>
      <c r="FI75" s="4"/>
      <c r="FJ75" s="23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26"/>
      <c r="GF75" s="26"/>
      <c r="GG75" s="4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S75" s="3"/>
      <c r="HU75" s="3"/>
      <c r="HX75" s="3"/>
      <c r="IA75" s="3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6"/>
      <c r="JP75" s="6"/>
      <c r="JQ75" s="6"/>
      <c r="JR75" s="6"/>
      <c r="JS75" s="6"/>
      <c r="JT75" s="8"/>
      <c r="JU75" s="8"/>
      <c r="JV75" s="8"/>
      <c r="JW75" s="8"/>
      <c r="JX75" s="8"/>
      <c r="JY75" s="8"/>
      <c r="JZ75" s="8"/>
      <c r="KA75" s="8"/>
      <c r="KB75" s="8"/>
      <c r="KC75" s="6"/>
      <c r="KD75" s="6"/>
      <c r="KE75" s="6"/>
      <c r="KF75" s="6"/>
      <c r="KG75" s="6"/>
      <c r="KH75" s="6"/>
      <c r="KI75" s="6"/>
      <c r="KJ75" s="6"/>
      <c r="KK75" s="6"/>
      <c r="KL75" s="4"/>
      <c r="KM75" s="4"/>
      <c r="KN75" s="6"/>
      <c r="KO75" s="4"/>
      <c r="KP75" s="4"/>
      <c r="KQ75" s="6"/>
      <c r="KR75" s="6"/>
      <c r="KS75" s="4"/>
      <c r="KU75" s="4"/>
      <c r="KV75" s="4"/>
      <c r="KW75" s="4"/>
      <c r="KX75" s="6"/>
      <c r="KY75" s="6"/>
      <c r="KZ75" s="6"/>
      <c r="LA75" s="4"/>
      <c r="LB75" s="6"/>
      <c r="LC75" s="6"/>
      <c r="LD75" s="4"/>
      <c r="LE75" s="4"/>
      <c r="LF75" s="6"/>
      <c r="LG75" s="6"/>
      <c r="LH75" s="6"/>
      <c r="LI75" s="6"/>
      <c r="LJ75" s="6"/>
      <c r="LK75" s="6"/>
      <c r="LL75" s="6"/>
      <c r="LM75" s="6"/>
      <c r="LN75" s="6"/>
      <c r="LO75" s="6"/>
      <c r="LP75" s="6"/>
      <c r="LQ75" s="6"/>
      <c r="LR75" s="6"/>
      <c r="LS75" s="6"/>
      <c r="LT75" s="6"/>
      <c r="LU75" s="6"/>
      <c r="LV75" s="6"/>
      <c r="LW75" s="6"/>
      <c r="LX75" s="6"/>
      <c r="LY75" s="6"/>
      <c r="LZ75" s="6"/>
      <c r="MA75" s="6"/>
      <c r="MB75" s="6"/>
      <c r="MC75" s="6"/>
      <c r="MD75" s="6"/>
      <c r="ME75" s="6"/>
      <c r="MF75" s="6"/>
      <c r="MG75" s="6"/>
      <c r="MH75" s="6"/>
      <c r="MI75" s="6"/>
      <c r="MJ75" s="6"/>
      <c r="MK75" s="6"/>
      <c r="ML75" s="6"/>
      <c r="MM75" s="6"/>
      <c r="MN75" s="6"/>
      <c r="MO75" s="6"/>
      <c r="MP75" s="6"/>
      <c r="MQ75" s="6"/>
      <c r="MR75" s="6"/>
      <c r="MS75" s="6"/>
      <c r="MT75" s="6"/>
      <c r="MU75" s="6"/>
      <c r="MV75" s="6"/>
      <c r="MW75" s="6"/>
      <c r="MX75" s="6"/>
      <c r="MY75" s="6"/>
      <c r="MZ75" s="6"/>
      <c r="NA75" s="6"/>
      <c r="NB75" s="6"/>
      <c r="NC75" s="6"/>
      <c r="ND75" s="6"/>
      <c r="NE75" s="6"/>
      <c r="NF75" s="6"/>
      <c r="NG75" s="6"/>
      <c r="NH75" s="6"/>
      <c r="NI75" s="6"/>
      <c r="NJ75" s="4"/>
    </row>
    <row r="76" spans="1:374" s="1" customFormat="1" x14ac:dyDescent="0.35">
      <c r="A76" s="2">
        <v>43368</v>
      </c>
      <c r="B76" s="15" t="s">
        <v>107</v>
      </c>
      <c r="C76" s="15" t="s">
        <v>237</v>
      </c>
      <c r="D76" s="1">
        <v>75</v>
      </c>
      <c r="E76" s="3">
        <v>2</v>
      </c>
      <c r="F76" s="3">
        <v>2</v>
      </c>
      <c r="G76" s="3"/>
      <c r="H76" s="3">
        <v>19</v>
      </c>
      <c r="I76" s="3">
        <v>3</v>
      </c>
      <c r="J76" s="3"/>
      <c r="K76" s="18">
        <v>0</v>
      </c>
      <c r="L76" s="18">
        <v>1</v>
      </c>
      <c r="M76" s="18">
        <v>1</v>
      </c>
      <c r="N76" s="18">
        <v>1</v>
      </c>
      <c r="O76" s="18">
        <v>0</v>
      </c>
      <c r="P76" s="4">
        <v>0.6</v>
      </c>
      <c r="Q76" s="3">
        <v>57</v>
      </c>
      <c r="R76" s="3">
        <v>97</v>
      </c>
      <c r="S76" s="3">
        <v>100</v>
      </c>
      <c r="T76" s="3">
        <v>75</v>
      </c>
      <c r="U76" s="3">
        <v>61</v>
      </c>
      <c r="V76" s="3">
        <v>52</v>
      </c>
      <c r="W76" s="3">
        <v>36</v>
      </c>
      <c r="X76" s="3">
        <v>13</v>
      </c>
      <c r="Y76" s="3">
        <v>66</v>
      </c>
      <c r="Z76" s="3"/>
      <c r="AA76" s="3"/>
      <c r="AB76" s="3"/>
      <c r="AC76" s="3"/>
      <c r="AD76" s="3"/>
      <c r="AE76" s="3"/>
      <c r="AF76" s="3"/>
      <c r="AG76" s="3"/>
      <c r="AH76" s="3"/>
      <c r="AI76" s="4"/>
      <c r="AJ76" s="4"/>
      <c r="AK76" s="4"/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/>
      <c r="AY76"/>
      <c r="AZ76"/>
      <c r="BA76"/>
      <c r="BB76"/>
      <c r="BC76"/>
      <c r="BP76" s="4"/>
      <c r="BQ76" s="4"/>
      <c r="BR76" s="4"/>
      <c r="BS76" s="4"/>
      <c r="BT76" s="4"/>
      <c r="BU76" s="4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1">
        <v>7</v>
      </c>
      <c r="CJ76" s="1">
        <v>7</v>
      </c>
      <c r="CK76" s="1">
        <v>7</v>
      </c>
      <c r="CL76" s="1">
        <v>7</v>
      </c>
      <c r="CM76" s="1">
        <v>7</v>
      </c>
      <c r="CN76" s="1">
        <v>7</v>
      </c>
      <c r="CO76" s="1">
        <v>7</v>
      </c>
      <c r="CP76" s="1">
        <v>1</v>
      </c>
      <c r="CQ76" s="1">
        <v>7</v>
      </c>
      <c r="CR76" s="1">
        <v>7</v>
      </c>
      <c r="CS76" s="1">
        <v>7</v>
      </c>
      <c r="CT76" s="1">
        <v>7</v>
      </c>
      <c r="CU76" s="1">
        <v>7</v>
      </c>
      <c r="CV76" s="1">
        <v>6</v>
      </c>
      <c r="CW76" s="1">
        <v>5</v>
      </c>
      <c r="CX76" s="1">
        <v>6</v>
      </c>
      <c r="CY76" s="1">
        <v>6</v>
      </c>
      <c r="CZ76" s="1">
        <v>7</v>
      </c>
      <c r="DA76" s="1">
        <v>7</v>
      </c>
      <c r="DB76" s="1">
        <v>7</v>
      </c>
      <c r="DC76" s="1">
        <v>7</v>
      </c>
      <c r="DD76" s="1">
        <v>5</v>
      </c>
      <c r="DE76" s="1">
        <v>7</v>
      </c>
      <c r="DF76" s="1">
        <v>1</v>
      </c>
      <c r="DG76" s="1">
        <v>1</v>
      </c>
      <c r="DH76" s="1">
        <v>1</v>
      </c>
      <c r="DI76" s="1">
        <v>1</v>
      </c>
      <c r="DJ76" s="1">
        <v>2</v>
      </c>
      <c r="DK76" s="1">
        <v>1</v>
      </c>
      <c r="DL76" s="1">
        <v>6</v>
      </c>
      <c r="DM76" s="19">
        <v>6</v>
      </c>
      <c r="DN76" s="19">
        <v>1</v>
      </c>
      <c r="DO76" s="1">
        <v>1</v>
      </c>
      <c r="DP76" s="1">
        <v>1</v>
      </c>
      <c r="DQ76" s="1">
        <v>5</v>
      </c>
      <c r="DR76" s="1">
        <v>7</v>
      </c>
      <c r="DS76" s="1">
        <v>5</v>
      </c>
      <c r="DT76" s="1">
        <v>5</v>
      </c>
      <c r="DU76" s="27">
        <v>7</v>
      </c>
      <c r="DV76" s="27">
        <v>7</v>
      </c>
      <c r="DW76" s="27">
        <v>2</v>
      </c>
      <c r="DX76" s="27">
        <v>2</v>
      </c>
      <c r="DY76" s="27">
        <v>2</v>
      </c>
      <c r="DZ76" s="27">
        <v>2</v>
      </c>
      <c r="EA76" s="27">
        <v>2</v>
      </c>
      <c r="EB76" s="27">
        <v>2</v>
      </c>
      <c r="EC76" s="27">
        <v>2</v>
      </c>
      <c r="ED76" s="27">
        <v>2</v>
      </c>
      <c r="EE76" s="27">
        <v>6</v>
      </c>
      <c r="EF76" s="27">
        <v>2</v>
      </c>
      <c r="EG76" s="27">
        <v>4</v>
      </c>
      <c r="EH76" s="27">
        <v>7</v>
      </c>
      <c r="EI76" s="27">
        <v>7</v>
      </c>
      <c r="EJ76" s="27">
        <v>7</v>
      </c>
      <c r="EK76" s="27">
        <v>7</v>
      </c>
      <c r="EL76" s="27">
        <v>7</v>
      </c>
      <c r="EM76" s="27">
        <v>1</v>
      </c>
      <c r="EN76" s="27">
        <v>7</v>
      </c>
      <c r="EO76" s="27">
        <v>7</v>
      </c>
      <c r="EP76" s="27">
        <v>7</v>
      </c>
      <c r="EQ76" s="27">
        <v>4</v>
      </c>
      <c r="ER76" s="27">
        <v>7</v>
      </c>
      <c r="ES76" s="27">
        <v>7</v>
      </c>
      <c r="ET76" s="27">
        <v>4</v>
      </c>
      <c r="EU76" s="27">
        <v>4</v>
      </c>
      <c r="EV76" s="1">
        <v>20</v>
      </c>
      <c r="EW76" s="1">
        <v>2</v>
      </c>
      <c r="EY76" s="1">
        <v>2</v>
      </c>
      <c r="EZ76" s="9"/>
      <c r="FA76" s="1">
        <v>3</v>
      </c>
      <c r="FB76" s="9" t="s">
        <v>817</v>
      </c>
      <c r="FC76" s="1">
        <v>1</v>
      </c>
      <c r="FD76" s="1">
        <v>9</v>
      </c>
      <c r="FE76" s="4"/>
      <c r="FF76" s="4"/>
      <c r="FG76" s="4"/>
      <c r="FH76" s="4"/>
      <c r="FI76" s="4"/>
      <c r="FJ76" s="23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26"/>
      <c r="GF76" s="26"/>
      <c r="GG76" s="4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S76" s="3"/>
      <c r="HU76" s="3"/>
      <c r="HX76" s="3"/>
      <c r="IA76" s="3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6"/>
      <c r="JP76" s="6"/>
      <c r="JQ76" s="6"/>
      <c r="JR76" s="6"/>
      <c r="JS76" s="6"/>
      <c r="JT76" s="8"/>
      <c r="JU76" s="8"/>
      <c r="JV76" s="8"/>
      <c r="JW76" s="8"/>
      <c r="JX76" s="8"/>
      <c r="JY76" s="8"/>
      <c r="JZ76" s="8"/>
      <c r="KA76" s="8"/>
      <c r="KB76" s="8"/>
      <c r="KC76" s="6"/>
      <c r="KD76" s="6"/>
      <c r="KE76" s="6"/>
      <c r="KF76" s="6"/>
      <c r="KG76" s="6"/>
      <c r="KH76" s="6"/>
      <c r="KI76" s="6"/>
      <c r="KJ76" s="6"/>
      <c r="KK76" s="6"/>
      <c r="KL76" s="4"/>
      <c r="KM76" s="4"/>
      <c r="KN76" s="6"/>
      <c r="KO76" s="4"/>
      <c r="KP76" s="4"/>
      <c r="KQ76" s="6"/>
      <c r="KR76" s="6"/>
      <c r="KS76" s="4"/>
      <c r="KU76" s="4"/>
      <c r="KV76" s="4"/>
      <c r="KW76" s="4"/>
      <c r="KX76" s="6"/>
      <c r="KY76" s="6"/>
      <c r="KZ76" s="6"/>
      <c r="LA76" s="4"/>
      <c r="LB76" s="6"/>
      <c r="LC76" s="6"/>
      <c r="LD76" s="4"/>
      <c r="LE76" s="4"/>
      <c r="LF76" s="6"/>
      <c r="LG76" s="6"/>
      <c r="LH76" s="6"/>
      <c r="LI76" s="6"/>
      <c r="LJ76" s="6"/>
      <c r="LK76" s="6"/>
      <c r="LL76" s="6"/>
      <c r="LM76" s="6"/>
      <c r="LN76" s="6"/>
      <c r="LO76" s="6"/>
      <c r="LP76" s="6"/>
      <c r="LQ76" s="6"/>
      <c r="LR76" s="6"/>
      <c r="LS76" s="6"/>
      <c r="LT76" s="6"/>
      <c r="LU76" s="6"/>
      <c r="LV76" s="6"/>
      <c r="LW76" s="6"/>
      <c r="LX76" s="6"/>
      <c r="LY76" s="6"/>
      <c r="LZ76" s="6"/>
      <c r="MA76" s="6"/>
      <c r="MB76" s="6"/>
      <c r="MC76" s="6"/>
      <c r="MD76" s="6"/>
      <c r="ME76" s="6"/>
      <c r="MF76" s="6"/>
      <c r="MG76" s="6"/>
      <c r="MH76" s="6"/>
      <c r="MI76" s="6"/>
      <c r="MJ76" s="6"/>
      <c r="MK76" s="6"/>
      <c r="ML76" s="6"/>
      <c r="MM76" s="6"/>
      <c r="MN76" s="6"/>
      <c r="MO76" s="6"/>
      <c r="MP76" s="6"/>
      <c r="MQ76" s="6"/>
      <c r="MR76" s="6"/>
      <c r="MS76" s="6"/>
      <c r="MT76" s="6"/>
      <c r="MU76" s="6"/>
      <c r="MV76" s="6"/>
      <c r="MW76" s="6"/>
      <c r="MX76" s="6"/>
      <c r="MY76" s="6"/>
      <c r="MZ76" s="6"/>
      <c r="NA76" s="6"/>
      <c r="NB76" s="6"/>
      <c r="NC76" s="6"/>
      <c r="ND76" s="6"/>
      <c r="NE76" s="6"/>
      <c r="NF76" s="6"/>
      <c r="NG76" s="6"/>
      <c r="NH76" s="6"/>
      <c r="NI76" s="6"/>
      <c r="NJ76" s="4"/>
    </row>
    <row r="77" spans="1:374" s="1" customFormat="1" x14ac:dyDescent="0.35">
      <c r="A77" s="2">
        <v>43368</v>
      </c>
      <c r="B77" s="15" t="s">
        <v>107</v>
      </c>
      <c r="C77" s="15" t="s">
        <v>238</v>
      </c>
      <c r="D77" s="1">
        <v>76</v>
      </c>
      <c r="E77" s="3">
        <v>2</v>
      </c>
      <c r="F77" s="3">
        <v>2</v>
      </c>
      <c r="G77" s="3"/>
      <c r="H77" s="3">
        <v>19</v>
      </c>
      <c r="I77" s="3">
        <v>4</v>
      </c>
      <c r="J77" s="3"/>
      <c r="K77" s="18">
        <v>0</v>
      </c>
      <c r="L77" s="18">
        <v>0</v>
      </c>
      <c r="M77" s="18">
        <v>1</v>
      </c>
      <c r="N77" s="18">
        <v>1</v>
      </c>
      <c r="O77" s="18">
        <v>1</v>
      </c>
      <c r="P77" s="4">
        <v>0.6</v>
      </c>
      <c r="Q77" s="3">
        <v>95</v>
      </c>
      <c r="R77" s="3">
        <v>112</v>
      </c>
      <c r="S77" s="3">
        <v>56</v>
      </c>
      <c r="T77" s="3">
        <v>69</v>
      </c>
      <c r="U77" s="3">
        <v>43</v>
      </c>
      <c r="V77" s="3">
        <v>48</v>
      </c>
      <c r="W77" s="3">
        <v>96</v>
      </c>
      <c r="X77" s="3">
        <v>52</v>
      </c>
      <c r="Y77" s="3">
        <v>54</v>
      </c>
      <c r="Z77" s="3"/>
      <c r="AA77" s="3"/>
      <c r="AB77" s="3"/>
      <c r="AC77" s="3"/>
      <c r="AD77" s="3"/>
      <c r="AE77" s="3"/>
      <c r="AF77" s="3"/>
      <c r="AG77" s="3"/>
      <c r="AH77" s="3"/>
      <c r="AI77" s="4"/>
      <c r="AJ77" s="4"/>
      <c r="AK77" s="4"/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/>
      <c r="AY77"/>
      <c r="AZ77"/>
      <c r="BA77"/>
      <c r="BB77"/>
      <c r="BC77"/>
      <c r="BP77" s="4"/>
      <c r="BQ77" s="4"/>
      <c r="BR77" s="4"/>
      <c r="BS77" s="4"/>
      <c r="BT77" s="4"/>
      <c r="BU77" s="4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1">
        <v>7</v>
      </c>
      <c r="CJ77" s="1">
        <v>6</v>
      </c>
      <c r="CK77" s="1">
        <v>6</v>
      </c>
      <c r="CL77" s="1">
        <v>7</v>
      </c>
      <c r="CM77" s="1">
        <v>7</v>
      </c>
      <c r="CN77" s="1">
        <v>7</v>
      </c>
      <c r="CO77" s="1">
        <v>4</v>
      </c>
      <c r="CP77" s="1">
        <v>2</v>
      </c>
      <c r="CQ77" s="1">
        <v>6</v>
      </c>
      <c r="CR77" s="1">
        <v>6</v>
      </c>
      <c r="CS77" s="1">
        <v>5</v>
      </c>
      <c r="CT77" s="1">
        <v>6</v>
      </c>
      <c r="CU77" s="1">
        <v>6</v>
      </c>
      <c r="CV77" s="1">
        <v>4</v>
      </c>
      <c r="CW77" s="1">
        <v>6</v>
      </c>
      <c r="CX77" s="1">
        <v>6</v>
      </c>
      <c r="CY77" s="1">
        <v>6</v>
      </c>
      <c r="CZ77" s="1">
        <v>6</v>
      </c>
      <c r="DA77" s="1">
        <v>6</v>
      </c>
      <c r="DB77" s="1">
        <v>6</v>
      </c>
      <c r="DC77" s="1">
        <v>7</v>
      </c>
      <c r="DD77" s="1">
        <v>3</v>
      </c>
      <c r="DE77" s="1">
        <v>7</v>
      </c>
      <c r="DF77" s="1">
        <v>6</v>
      </c>
      <c r="DG77" s="1">
        <v>4</v>
      </c>
      <c r="DH77" s="1">
        <v>5</v>
      </c>
      <c r="DI77" s="1">
        <v>4</v>
      </c>
      <c r="DJ77" s="1">
        <v>7</v>
      </c>
      <c r="DK77" s="1">
        <v>7</v>
      </c>
      <c r="DL77" s="1">
        <v>7</v>
      </c>
      <c r="DM77" s="19">
        <v>6</v>
      </c>
      <c r="DN77" s="19">
        <v>6</v>
      </c>
      <c r="DO77" s="1">
        <v>4</v>
      </c>
      <c r="DP77" s="1">
        <v>3</v>
      </c>
      <c r="DQ77" s="1">
        <v>5</v>
      </c>
      <c r="DR77" s="1">
        <v>6</v>
      </c>
      <c r="DS77" s="1">
        <v>5</v>
      </c>
      <c r="DT77" s="1">
        <v>4</v>
      </c>
      <c r="DU77" s="27">
        <v>6</v>
      </c>
      <c r="DV77" s="27">
        <v>6</v>
      </c>
      <c r="DW77" s="27">
        <v>2</v>
      </c>
      <c r="DX77" s="27">
        <v>4</v>
      </c>
      <c r="DY77" s="27">
        <v>6</v>
      </c>
      <c r="DZ77" s="27">
        <v>4</v>
      </c>
      <c r="EA77" s="27">
        <v>1</v>
      </c>
      <c r="EB77" s="27">
        <v>7</v>
      </c>
      <c r="EC77" s="27">
        <v>5</v>
      </c>
      <c r="ED77" s="27">
        <v>7</v>
      </c>
      <c r="EE77" s="27">
        <v>6</v>
      </c>
      <c r="EF77" s="27">
        <v>5</v>
      </c>
      <c r="EG77" s="27">
        <v>4</v>
      </c>
      <c r="EH77" s="27">
        <v>6</v>
      </c>
      <c r="EI77" s="27">
        <v>3</v>
      </c>
      <c r="EJ77" s="27">
        <v>2</v>
      </c>
      <c r="EK77" s="27">
        <v>5</v>
      </c>
      <c r="EL77" s="27">
        <v>6</v>
      </c>
      <c r="EM77" s="27">
        <v>2</v>
      </c>
      <c r="EN77" s="27">
        <v>3</v>
      </c>
      <c r="EO77" s="27">
        <v>5</v>
      </c>
      <c r="EP77" s="27">
        <v>5</v>
      </c>
      <c r="EQ77" s="27">
        <v>4</v>
      </c>
      <c r="ER77" s="27">
        <v>6</v>
      </c>
      <c r="ES77" s="27">
        <v>7</v>
      </c>
      <c r="ET77" s="27">
        <v>4</v>
      </c>
      <c r="EU77" s="27">
        <v>4</v>
      </c>
      <c r="EV77" s="1">
        <v>20</v>
      </c>
      <c r="EW77" s="1">
        <v>1</v>
      </c>
      <c r="EY77" s="1">
        <v>4</v>
      </c>
      <c r="EZ77" s="9"/>
      <c r="FA77" s="1">
        <v>3</v>
      </c>
      <c r="FB77" s="9" t="s">
        <v>830</v>
      </c>
      <c r="FC77" s="1">
        <v>0</v>
      </c>
      <c r="FD77" s="1">
        <v>4</v>
      </c>
      <c r="FE77" s="4"/>
      <c r="FF77" s="4"/>
      <c r="FG77" s="4"/>
      <c r="FH77" s="4"/>
      <c r="FI77" s="4"/>
      <c r="FJ77" s="23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26"/>
      <c r="GF77" s="26"/>
      <c r="GG77" s="4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S77" s="3"/>
      <c r="HU77" s="3"/>
      <c r="HX77" s="3"/>
      <c r="IA77" s="3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6"/>
      <c r="JP77" s="6"/>
      <c r="JQ77" s="6"/>
      <c r="JR77" s="6"/>
      <c r="JS77" s="6"/>
      <c r="JT77" s="8"/>
      <c r="JU77" s="8"/>
      <c r="JV77" s="8"/>
      <c r="JW77" s="8"/>
      <c r="JX77" s="8"/>
      <c r="JY77" s="8"/>
      <c r="JZ77" s="8"/>
      <c r="KA77" s="8"/>
      <c r="KB77" s="8"/>
      <c r="KC77" s="6"/>
      <c r="KD77" s="6"/>
      <c r="KE77" s="6"/>
      <c r="KF77" s="6"/>
      <c r="KG77" s="6"/>
      <c r="KH77" s="6"/>
      <c r="KI77" s="6"/>
      <c r="KJ77" s="6"/>
      <c r="KK77" s="6"/>
      <c r="KL77" s="4"/>
      <c r="KM77" s="4"/>
      <c r="KN77" s="6"/>
      <c r="KO77" s="4"/>
      <c r="KP77" s="4"/>
      <c r="KQ77" s="6"/>
      <c r="KR77" s="6"/>
      <c r="KS77" s="4"/>
      <c r="KU77" s="4"/>
      <c r="KV77" s="4"/>
      <c r="KW77" s="4"/>
      <c r="KX77" s="6"/>
      <c r="KY77" s="6"/>
      <c r="KZ77" s="6"/>
      <c r="LA77" s="4"/>
      <c r="LB77" s="6"/>
      <c r="LC77" s="6"/>
      <c r="LD77" s="4"/>
      <c r="LE77" s="4"/>
      <c r="LF77" s="6"/>
      <c r="LG77" s="6"/>
      <c r="LH77" s="6"/>
      <c r="LI77" s="6"/>
      <c r="LJ77" s="6"/>
      <c r="LK77" s="6"/>
      <c r="LL77" s="6"/>
      <c r="LM77" s="6"/>
      <c r="LN77" s="6"/>
      <c r="LO77" s="6"/>
      <c r="LP77" s="6"/>
      <c r="LQ77" s="6"/>
      <c r="LR77" s="6"/>
      <c r="LS77" s="6"/>
      <c r="LT77" s="6"/>
      <c r="LU77" s="6"/>
      <c r="LV77" s="6"/>
      <c r="LW77" s="6"/>
      <c r="LX77" s="6"/>
      <c r="LY77" s="6"/>
      <c r="LZ77" s="6"/>
      <c r="MA77" s="6"/>
      <c r="MB77" s="6"/>
      <c r="MC77" s="6"/>
      <c r="MD77" s="6"/>
      <c r="ME77" s="6"/>
      <c r="MF77" s="6"/>
      <c r="MG77" s="6"/>
      <c r="MH77" s="6"/>
      <c r="MI77" s="6"/>
      <c r="MJ77" s="6"/>
      <c r="MK77" s="6"/>
      <c r="ML77" s="6"/>
      <c r="MM77" s="6"/>
      <c r="MN77" s="6"/>
      <c r="MO77" s="6"/>
      <c r="MP77" s="6"/>
      <c r="MQ77" s="6"/>
      <c r="MR77" s="6"/>
      <c r="MS77" s="6"/>
      <c r="MT77" s="6"/>
      <c r="MU77" s="6"/>
      <c r="MV77" s="6"/>
      <c r="MW77" s="6"/>
      <c r="MX77" s="6"/>
      <c r="MY77" s="6"/>
      <c r="MZ77" s="6"/>
      <c r="NA77" s="6"/>
      <c r="NB77" s="6"/>
      <c r="NC77" s="6"/>
      <c r="ND77" s="6"/>
      <c r="NE77" s="6"/>
      <c r="NF77" s="6"/>
      <c r="NG77" s="6"/>
      <c r="NH77" s="6"/>
      <c r="NI77" s="6"/>
      <c r="NJ77" s="4"/>
    </row>
    <row r="78" spans="1:374" s="1" customFormat="1" x14ac:dyDescent="0.35">
      <c r="A78" s="2">
        <v>43368</v>
      </c>
      <c r="B78" s="15" t="s">
        <v>108</v>
      </c>
      <c r="C78" s="15" t="s">
        <v>239</v>
      </c>
      <c r="D78" s="1">
        <v>77</v>
      </c>
      <c r="E78" s="3">
        <v>2</v>
      </c>
      <c r="F78" s="3">
        <v>2</v>
      </c>
      <c r="G78" s="3">
        <v>1</v>
      </c>
      <c r="H78" s="3">
        <v>20</v>
      </c>
      <c r="I78" s="3">
        <v>1</v>
      </c>
      <c r="J78" s="3">
        <v>1</v>
      </c>
      <c r="K78" s="18">
        <v>1</v>
      </c>
      <c r="L78" s="18">
        <v>1</v>
      </c>
      <c r="M78" s="18">
        <v>1</v>
      </c>
      <c r="N78" s="18">
        <v>1</v>
      </c>
      <c r="O78" s="18">
        <v>0</v>
      </c>
      <c r="P78" s="4">
        <v>0.8</v>
      </c>
      <c r="Q78" s="3">
        <v>86</v>
      </c>
      <c r="R78" s="3">
        <v>116</v>
      </c>
      <c r="S78" s="3">
        <v>123</v>
      </c>
      <c r="T78" s="3">
        <v>151</v>
      </c>
      <c r="U78" s="3">
        <v>123</v>
      </c>
      <c r="V78" s="3">
        <v>120</v>
      </c>
      <c r="W78" s="3">
        <v>110</v>
      </c>
      <c r="X78" s="3">
        <v>96</v>
      </c>
      <c r="Y78" s="3">
        <v>78</v>
      </c>
      <c r="Z78" s="3">
        <v>400</v>
      </c>
      <c r="AA78" s="3">
        <v>386</v>
      </c>
      <c r="AB78" s="3">
        <v>407</v>
      </c>
      <c r="AC78" s="3">
        <v>435</v>
      </c>
      <c r="AD78" s="3">
        <v>374</v>
      </c>
      <c r="AE78" s="3">
        <v>367</v>
      </c>
      <c r="AF78" s="3">
        <v>325</v>
      </c>
      <c r="AG78" s="3">
        <v>366</v>
      </c>
      <c r="AH78" s="3">
        <v>301</v>
      </c>
      <c r="AI78" s="4">
        <v>397.67</v>
      </c>
      <c r="AJ78" s="4">
        <v>392</v>
      </c>
      <c r="AK78" s="4">
        <v>330.67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f t="shared" ref="AX78:BC78" si="38">AL78+AL79+AL80+AL81</f>
        <v>0</v>
      </c>
      <c r="AY78" s="19">
        <f t="shared" si="38"/>
        <v>0</v>
      </c>
      <c r="AZ78" s="19">
        <f t="shared" si="38"/>
        <v>0</v>
      </c>
      <c r="BA78" s="19">
        <f t="shared" si="38"/>
        <v>0</v>
      </c>
      <c r="BB78" s="19">
        <f t="shared" si="38"/>
        <v>0</v>
      </c>
      <c r="BC78" s="19">
        <f t="shared" si="38"/>
        <v>0</v>
      </c>
      <c r="BD78" s="1">
        <f>AX78*3</f>
        <v>0</v>
      </c>
      <c r="BE78" s="1">
        <f t="shared" ref="BE78:BI78" si="39">AY78*3</f>
        <v>0</v>
      </c>
      <c r="BF78" s="1">
        <f t="shared" si="39"/>
        <v>0</v>
      </c>
      <c r="BG78" s="1">
        <f t="shared" si="39"/>
        <v>0</v>
      </c>
      <c r="BH78" s="1">
        <f t="shared" si="39"/>
        <v>0</v>
      </c>
      <c r="BI78" s="1">
        <f t="shared" si="39"/>
        <v>0</v>
      </c>
      <c r="BJ78" s="1">
        <f>AX78+AY78+AZ78</f>
        <v>0</v>
      </c>
      <c r="BK78" s="1">
        <f>BA78+BB78+BC78</f>
        <v>0</v>
      </c>
      <c r="BL78" s="1">
        <f>BJ78*3</f>
        <v>0</v>
      </c>
      <c r="BM78" s="1">
        <f>BK78*3</f>
        <v>0</v>
      </c>
      <c r="BN78" s="1">
        <f>BL78/3</f>
        <v>0</v>
      </c>
      <c r="BO78" s="1">
        <f>BM78/3</f>
        <v>0</v>
      </c>
      <c r="BP78" s="4">
        <v>397.66666666666669</v>
      </c>
      <c r="BQ78" s="4">
        <v>392</v>
      </c>
      <c r="BR78" s="4">
        <v>330.66666666666669</v>
      </c>
      <c r="BS78" s="4">
        <v>397.67</v>
      </c>
      <c r="BT78" s="4">
        <v>392</v>
      </c>
      <c r="BU78" s="4">
        <v>3.86</v>
      </c>
      <c r="BV78" s="3">
        <v>4</v>
      </c>
      <c r="BW78" s="3">
        <v>4</v>
      </c>
      <c r="BX78" s="3">
        <v>4</v>
      </c>
      <c r="BY78" s="3">
        <v>4</v>
      </c>
      <c r="BZ78" s="3">
        <v>2</v>
      </c>
      <c r="CA78" s="3">
        <v>2</v>
      </c>
      <c r="CB78" s="3">
        <v>2</v>
      </c>
      <c r="CC78" s="3">
        <v>2</v>
      </c>
      <c r="CD78" s="3">
        <v>2</v>
      </c>
      <c r="CE78" s="3">
        <v>2</v>
      </c>
      <c r="CF78" s="3">
        <v>2</v>
      </c>
      <c r="CG78" s="3">
        <v>2</v>
      </c>
      <c r="CH78" s="3">
        <v>1</v>
      </c>
      <c r="CI78" s="1">
        <v>6</v>
      </c>
      <c r="CJ78" s="1">
        <v>7</v>
      </c>
      <c r="CK78" s="1">
        <v>6</v>
      </c>
      <c r="CL78" s="1">
        <v>6</v>
      </c>
      <c r="CM78" s="1">
        <v>5</v>
      </c>
      <c r="CN78" s="1">
        <v>6</v>
      </c>
      <c r="CO78" s="1">
        <v>6</v>
      </c>
      <c r="CP78" s="1">
        <v>5</v>
      </c>
      <c r="CQ78" s="1">
        <v>6</v>
      </c>
      <c r="CR78" s="1">
        <v>6</v>
      </c>
      <c r="CS78" s="1">
        <v>6</v>
      </c>
      <c r="CT78" s="1">
        <v>3</v>
      </c>
      <c r="CU78" s="1">
        <v>6</v>
      </c>
      <c r="CV78" s="1">
        <v>5</v>
      </c>
      <c r="CW78" s="1">
        <v>6</v>
      </c>
      <c r="CX78" s="1">
        <v>6</v>
      </c>
      <c r="CY78" s="1">
        <v>6</v>
      </c>
      <c r="CZ78" s="1">
        <v>7</v>
      </c>
      <c r="DA78" s="1">
        <v>7</v>
      </c>
      <c r="DB78" s="1">
        <v>7</v>
      </c>
      <c r="DC78" s="1">
        <v>6</v>
      </c>
      <c r="DD78" s="1">
        <v>6</v>
      </c>
      <c r="DE78" s="1">
        <v>6</v>
      </c>
      <c r="DF78" s="1">
        <v>6</v>
      </c>
      <c r="DG78" s="1">
        <v>5</v>
      </c>
      <c r="DH78" s="1">
        <v>5</v>
      </c>
      <c r="DI78" s="1">
        <v>5</v>
      </c>
      <c r="DJ78" s="1">
        <v>6</v>
      </c>
      <c r="DK78" s="1">
        <v>5</v>
      </c>
      <c r="DL78" s="1">
        <v>6</v>
      </c>
      <c r="DM78" s="19">
        <v>6</v>
      </c>
      <c r="DN78" s="19">
        <v>5</v>
      </c>
      <c r="DO78" s="1">
        <v>5</v>
      </c>
      <c r="DP78" s="1">
        <v>6</v>
      </c>
      <c r="DQ78" s="1">
        <v>6</v>
      </c>
      <c r="DR78" s="1">
        <v>4</v>
      </c>
      <c r="DS78" s="1">
        <v>5</v>
      </c>
      <c r="DT78" s="1">
        <v>6</v>
      </c>
      <c r="DU78" s="27">
        <v>7</v>
      </c>
      <c r="DV78" s="27">
        <v>7</v>
      </c>
      <c r="DW78" s="27">
        <v>6</v>
      </c>
      <c r="DX78" s="27">
        <v>6</v>
      </c>
      <c r="DY78" s="27">
        <v>2</v>
      </c>
      <c r="DZ78" s="27">
        <v>2</v>
      </c>
      <c r="EA78" s="27">
        <v>2</v>
      </c>
      <c r="EB78" s="27">
        <v>5</v>
      </c>
      <c r="EC78" s="27">
        <v>4</v>
      </c>
      <c r="ED78" s="27">
        <v>2</v>
      </c>
      <c r="EE78" s="27">
        <v>7</v>
      </c>
      <c r="EF78" s="27">
        <v>4</v>
      </c>
      <c r="EG78" s="27">
        <v>5</v>
      </c>
      <c r="EH78" s="27">
        <v>6</v>
      </c>
      <c r="EI78" s="27">
        <v>6</v>
      </c>
      <c r="EJ78" s="27">
        <v>5</v>
      </c>
      <c r="EK78" s="27">
        <v>2</v>
      </c>
      <c r="EL78" s="27">
        <v>6</v>
      </c>
      <c r="EM78" s="27">
        <v>4</v>
      </c>
      <c r="EN78" s="27">
        <v>2</v>
      </c>
      <c r="EO78" s="27">
        <v>6</v>
      </c>
      <c r="EP78" s="27">
        <v>6</v>
      </c>
      <c r="EQ78" s="27">
        <v>4</v>
      </c>
      <c r="ER78" s="27">
        <v>6</v>
      </c>
      <c r="ES78" s="27">
        <v>6</v>
      </c>
      <c r="ET78" s="27">
        <v>4</v>
      </c>
      <c r="EU78" s="27">
        <v>4</v>
      </c>
      <c r="EV78" s="1">
        <v>18</v>
      </c>
      <c r="EW78" s="1">
        <v>1</v>
      </c>
      <c r="EY78" s="1">
        <v>1</v>
      </c>
      <c r="EZ78" s="9"/>
      <c r="FA78" s="1">
        <v>1</v>
      </c>
      <c r="FB78" s="9" t="s">
        <v>831</v>
      </c>
      <c r="FC78" s="1">
        <v>1</v>
      </c>
      <c r="FD78" s="1">
        <v>4</v>
      </c>
      <c r="FE78" s="4">
        <v>6.29</v>
      </c>
      <c r="FF78" s="4">
        <v>5.5</v>
      </c>
      <c r="FG78" s="4">
        <v>6.88</v>
      </c>
      <c r="FH78" s="4">
        <v>6.67</v>
      </c>
      <c r="FI78" s="4">
        <v>5.13</v>
      </c>
      <c r="FJ78" s="23">
        <v>6</v>
      </c>
      <c r="FK78" s="4">
        <v>4.71</v>
      </c>
      <c r="FL78" s="4">
        <v>6.25</v>
      </c>
      <c r="FM78" s="4">
        <v>5.88</v>
      </c>
      <c r="FN78" s="4">
        <v>4.38</v>
      </c>
      <c r="FO78" s="4">
        <v>5.17</v>
      </c>
      <c r="FP78" s="4">
        <v>5.67</v>
      </c>
      <c r="FQ78" s="4">
        <v>4.38</v>
      </c>
      <c r="FR78" s="4">
        <v>1.5</v>
      </c>
      <c r="FS78" s="4">
        <v>5.5</v>
      </c>
      <c r="FT78" s="4">
        <v>5.75</v>
      </c>
      <c r="FU78" s="4">
        <v>4</v>
      </c>
      <c r="FV78" s="4">
        <v>4.5</v>
      </c>
      <c r="FW78" s="4">
        <v>5.25</v>
      </c>
      <c r="FX78" s="4">
        <v>5.25</v>
      </c>
      <c r="FY78" s="4">
        <v>6.25</v>
      </c>
      <c r="FZ78" s="4">
        <v>5.5</v>
      </c>
      <c r="GA78" s="4">
        <v>3.13</v>
      </c>
      <c r="GB78" s="4">
        <v>6.17</v>
      </c>
      <c r="GC78" s="4">
        <v>5.75</v>
      </c>
      <c r="GD78" s="4">
        <v>4</v>
      </c>
      <c r="GE78" s="26"/>
      <c r="GF78" s="26"/>
      <c r="GG78" s="4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S78" s="3"/>
      <c r="HU78" s="3"/>
      <c r="HX78" s="3"/>
      <c r="IA78" s="3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3"/>
      <c r="JP78" s="3"/>
      <c r="JQ78" s="4"/>
      <c r="JR78" s="5"/>
      <c r="JS78" s="5"/>
      <c r="JT78" s="8"/>
      <c r="JU78" s="8"/>
      <c r="JV78" s="8"/>
      <c r="JW78" s="8"/>
      <c r="JX78" s="8"/>
      <c r="JY78" s="8"/>
      <c r="JZ78" s="8"/>
      <c r="KA78" s="8"/>
      <c r="KB78" s="8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</row>
    <row r="79" spans="1:374" s="1" customFormat="1" x14ac:dyDescent="0.35">
      <c r="A79" s="2">
        <v>43368</v>
      </c>
      <c r="B79" s="15" t="s">
        <v>108</v>
      </c>
      <c r="C79" s="15" t="s">
        <v>240</v>
      </c>
      <c r="D79" s="1">
        <v>78</v>
      </c>
      <c r="E79" s="3">
        <v>2</v>
      </c>
      <c r="F79" s="3">
        <v>2</v>
      </c>
      <c r="G79" s="3"/>
      <c r="H79" s="3">
        <v>20</v>
      </c>
      <c r="I79" s="3">
        <v>2</v>
      </c>
      <c r="J79" s="3"/>
      <c r="K79" s="18">
        <v>0</v>
      </c>
      <c r="L79" s="18">
        <v>1</v>
      </c>
      <c r="M79" s="18">
        <v>1</v>
      </c>
      <c r="N79" s="18">
        <v>1</v>
      </c>
      <c r="O79" s="18">
        <v>0</v>
      </c>
      <c r="P79" s="4">
        <v>0.6</v>
      </c>
      <c r="Q79" s="3">
        <v>115</v>
      </c>
      <c r="R79" s="3">
        <v>107</v>
      </c>
      <c r="S79" s="3">
        <v>116</v>
      </c>
      <c r="T79" s="3">
        <v>114</v>
      </c>
      <c r="U79" s="3">
        <v>100</v>
      </c>
      <c r="V79" s="3">
        <v>106</v>
      </c>
      <c r="W79" s="3">
        <v>80</v>
      </c>
      <c r="X79" s="3">
        <v>99</v>
      </c>
      <c r="Y79" s="3">
        <v>76</v>
      </c>
      <c r="Z79" s="3"/>
      <c r="AA79" s="3"/>
      <c r="AB79" s="3"/>
      <c r="AC79" s="3"/>
      <c r="AD79" s="3"/>
      <c r="AE79" s="3"/>
      <c r="AF79" s="3"/>
      <c r="AG79" s="3"/>
      <c r="AH79" s="3"/>
      <c r="AI79" s="4"/>
      <c r="AJ79" s="4"/>
      <c r="AK79" s="4"/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/>
      <c r="AY79"/>
      <c r="AZ79"/>
      <c r="BA79"/>
      <c r="BB79"/>
      <c r="BC79"/>
      <c r="BP79" s="4"/>
      <c r="BQ79" s="4"/>
      <c r="BR79" s="4"/>
      <c r="BS79" s="4"/>
      <c r="BT79" s="4"/>
      <c r="BU79" s="4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1">
        <v>6</v>
      </c>
      <c r="CJ79" s="1">
        <v>7</v>
      </c>
      <c r="CK79" s="1">
        <v>7</v>
      </c>
      <c r="CL79" s="1">
        <v>7</v>
      </c>
      <c r="CM79" s="1">
        <v>7</v>
      </c>
      <c r="CN79" s="1">
        <v>7</v>
      </c>
      <c r="CO79" s="1">
        <v>7</v>
      </c>
      <c r="CP79" s="1">
        <v>1</v>
      </c>
      <c r="CQ79" s="1">
        <v>4</v>
      </c>
      <c r="CR79" s="1">
        <v>7</v>
      </c>
      <c r="CS79" s="1">
        <v>6</v>
      </c>
      <c r="CT79" s="1">
        <v>7</v>
      </c>
      <c r="CU79" s="1">
        <v>4</v>
      </c>
      <c r="CV79" s="1">
        <v>4</v>
      </c>
      <c r="CW79" s="1">
        <v>4</v>
      </c>
      <c r="CX79" s="1">
        <v>7</v>
      </c>
      <c r="CY79" s="1">
        <v>6</v>
      </c>
      <c r="CZ79" s="1">
        <v>7</v>
      </c>
      <c r="DA79" s="1">
        <v>7</v>
      </c>
      <c r="DB79" s="1">
        <v>6</v>
      </c>
      <c r="DC79" s="1">
        <v>4</v>
      </c>
      <c r="DD79" s="1">
        <v>4</v>
      </c>
      <c r="DE79" s="1">
        <v>6</v>
      </c>
      <c r="DF79" s="1">
        <v>5</v>
      </c>
      <c r="DG79" s="1">
        <v>4</v>
      </c>
      <c r="DH79" s="1">
        <v>5</v>
      </c>
      <c r="DI79" s="1">
        <v>6</v>
      </c>
      <c r="DJ79" s="1">
        <v>4</v>
      </c>
      <c r="DK79" s="1">
        <v>6</v>
      </c>
      <c r="DL79" s="1">
        <v>7</v>
      </c>
      <c r="DM79" s="19">
        <v>7</v>
      </c>
      <c r="DN79" s="19">
        <v>7</v>
      </c>
      <c r="DO79" s="1">
        <v>7</v>
      </c>
      <c r="DP79" s="1">
        <v>2</v>
      </c>
      <c r="DQ79" s="1">
        <v>2</v>
      </c>
      <c r="DR79" s="1">
        <v>3</v>
      </c>
      <c r="DS79" s="1">
        <v>7</v>
      </c>
      <c r="DT79" s="1">
        <v>6</v>
      </c>
      <c r="DU79" s="27">
        <v>7</v>
      </c>
      <c r="DV79" s="27">
        <v>6</v>
      </c>
      <c r="DW79" s="27">
        <v>2</v>
      </c>
      <c r="DX79" s="27">
        <v>2</v>
      </c>
      <c r="DY79" s="27">
        <v>2</v>
      </c>
      <c r="DZ79" s="27">
        <v>2</v>
      </c>
      <c r="EA79" s="27">
        <v>1</v>
      </c>
      <c r="EB79" s="27">
        <v>6</v>
      </c>
      <c r="EC79" s="27">
        <v>7</v>
      </c>
      <c r="ED79" s="27">
        <v>4</v>
      </c>
      <c r="EE79" s="27">
        <v>6</v>
      </c>
      <c r="EF79" s="27">
        <v>6</v>
      </c>
      <c r="EG79" s="27">
        <v>4</v>
      </c>
      <c r="EH79" s="27">
        <v>6</v>
      </c>
      <c r="EI79" s="27">
        <v>6</v>
      </c>
      <c r="EJ79" s="27">
        <v>6</v>
      </c>
      <c r="EK79" s="27">
        <v>6</v>
      </c>
      <c r="EL79" s="27">
        <v>6</v>
      </c>
      <c r="EM79" s="27">
        <v>2</v>
      </c>
      <c r="EN79" s="27">
        <v>2</v>
      </c>
      <c r="EO79" s="27">
        <v>7</v>
      </c>
      <c r="EP79" s="27">
        <v>7</v>
      </c>
      <c r="EQ79" s="27">
        <v>7</v>
      </c>
      <c r="ER79" s="27">
        <v>6</v>
      </c>
      <c r="ES79" s="27">
        <v>6</v>
      </c>
      <c r="ET79" s="27">
        <v>4</v>
      </c>
      <c r="EU79" s="27">
        <v>4</v>
      </c>
      <c r="EV79" s="1">
        <v>19</v>
      </c>
      <c r="EW79" s="1">
        <v>2</v>
      </c>
      <c r="EY79" s="1">
        <v>1</v>
      </c>
      <c r="EZ79" s="9"/>
      <c r="FA79" s="1">
        <v>2</v>
      </c>
      <c r="FB79" s="9" t="s">
        <v>832</v>
      </c>
      <c r="FC79" s="1">
        <v>1</v>
      </c>
      <c r="FD79" s="1">
        <v>4</v>
      </c>
      <c r="FE79" s="4"/>
      <c r="FF79" s="4"/>
      <c r="FG79" s="4"/>
      <c r="FH79" s="4"/>
      <c r="FI79" s="4"/>
      <c r="FJ79" s="23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26"/>
      <c r="GF79" s="26"/>
      <c r="GG79" s="4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S79" s="3"/>
      <c r="HU79" s="3"/>
      <c r="HX79" s="3"/>
      <c r="IA79" s="3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6"/>
      <c r="JP79" s="6"/>
      <c r="JQ79" s="6"/>
      <c r="JR79" s="6"/>
      <c r="JS79" s="6"/>
      <c r="JT79" s="8"/>
      <c r="JU79" s="8"/>
      <c r="JV79" s="8"/>
      <c r="JW79" s="8"/>
      <c r="JX79" s="8"/>
      <c r="JY79" s="8"/>
      <c r="JZ79" s="8"/>
      <c r="KA79" s="8"/>
      <c r="KB79" s="8"/>
      <c r="KC79" s="6"/>
      <c r="KD79" s="6"/>
      <c r="KE79" s="6"/>
      <c r="KF79" s="6"/>
      <c r="KG79" s="6"/>
      <c r="KH79" s="6"/>
      <c r="KI79" s="6"/>
      <c r="KJ79" s="6"/>
      <c r="KK79" s="6"/>
      <c r="KL79" s="4"/>
      <c r="KM79" s="4"/>
      <c r="KN79" s="6"/>
      <c r="KO79" s="4"/>
      <c r="KP79" s="4"/>
      <c r="KQ79" s="6"/>
      <c r="KR79" s="6"/>
      <c r="KS79" s="4"/>
      <c r="KU79" s="4"/>
      <c r="KV79" s="4"/>
      <c r="KW79" s="4"/>
      <c r="KX79" s="6"/>
      <c r="KY79" s="6"/>
      <c r="KZ79" s="6"/>
      <c r="LA79" s="4"/>
      <c r="LB79" s="6"/>
      <c r="LC79" s="6"/>
      <c r="LD79" s="4"/>
      <c r="LE79" s="4"/>
      <c r="LF79" s="6"/>
      <c r="LG79" s="6"/>
      <c r="LH79" s="6"/>
      <c r="LI79" s="6"/>
      <c r="LJ79" s="6"/>
      <c r="LK79" s="6"/>
      <c r="LL79" s="6"/>
      <c r="LM79" s="6"/>
      <c r="LN79" s="6"/>
      <c r="LO79" s="6"/>
      <c r="LP79" s="6"/>
      <c r="LQ79" s="6"/>
      <c r="LR79" s="6"/>
      <c r="LS79" s="6"/>
      <c r="LT79" s="6"/>
      <c r="LU79" s="6"/>
      <c r="LV79" s="6"/>
      <c r="LW79" s="6"/>
      <c r="LX79" s="6"/>
      <c r="LY79" s="6"/>
      <c r="LZ79" s="6"/>
      <c r="MA79" s="6"/>
      <c r="MB79" s="6"/>
      <c r="MC79" s="6"/>
      <c r="MD79" s="6"/>
      <c r="ME79" s="6"/>
      <c r="MF79" s="6"/>
      <c r="MG79" s="6"/>
      <c r="MH79" s="6"/>
      <c r="MI79" s="6"/>
      <c r="MJ79" s="6"/>
      <c r="MK79" s="6"/>
      <c r="ML79" s="6"/>
      <c r="MM79" s="6"/>
      <c r="MN79" s="6"/>
      <c r="MO79" s="6"/>
      <c r="MP79" s="6"/>
      <c r="MQ79" s="6"/>
      <c r="MR79" s="6"/>
      <c r="MS79" s="6"/>
      <c r="MT79" s="6"/>
      <c r="MU79" s="6"/>
      <c r="MV79" s="6"/>
      <c r="MW79" s="6"/>
      <c r="MX79" s="6"/>
      <c r="MY79" s="6"/>
      <c r="MZ79" s="6"/>
      <c r="NA79" s="6"/>
      <c r="NB79" s="6"/>
      <c r="NC79" s="6"/>
      <c r="ND79" s="6"/>
      <c r="NE79" s="6"/>
      <c r="NF79" s="6"/>
      <c r="NG79" s="6"/>
      <c r="NH79" s="6"/>
      <c r="NI79" s="6"/>
      <c r="NJ79" s="4"/>
    </row>
    <row r="80" spans="1:374" s="1" customFormat="1" x14ac:dyDescent="0.35">
      <c r="A80" s="2">
        <v>43368</v>
      </c>
      <c r="B80" s="15" t="s">
        <v>108</v>
      </c>
      <c r="C80" s="15" t="s">
        <v>241</v>
      </c>
      <c r="D80" s="1">
        <v>79</v>
      </c>
      <c r="E80" s="3">
        <v>2</v>
      </c>
      <c r="F80" s="3">
        <v>2</v>
      </c>
      <c r="G80" s="3"/>
      <c r="H80" s="3">
        <v>20</v>
      </c>
      <c r="I80" s="3">
        <v>3</v>
      </c>
      <c r="J80" s="3"/>
      <c r="K80" s="18">
        <v>0</v>
      </c>
      <c r="L80" s="18">
        <v>1</v>
      </c>
      <c r="M80" s="18">
        <v>1</v>
      </c>
      <c r="N80" s="18">
        <v>1</v>
      </c>
      <c r="O80" s="18">
        <v>1</v>
      </c>
      <c r="P80" s="4">
        <v>0.8</v>
      </c>
      <c r="Q80" s="3">
        <v>99</v>
      </c>
      <c r="R80" s="3">
        <v>85</v>
      </c>
      <c r="S80" s="3">
        <v>75</v>
      </c>
      <c r="T80" s="3">
        <v>88</v>
      </c>
      <c r="U80" s="3">
        <v>86</v>
      </c>
      <c r="V80" s="3">
        <v>65</v>
      </c>
      <c r="W80" s="3">
        <v>68</v>
      </c>
      <c r="X80" s="3">
        <v>76</v>
      </c>
      <c r="Y80" s="3">
        <v>77</v>
      </c>
      <c r="Z80" s="3"/>
      <c r="AA80" s="3"/>
      <c r="AB80" s="3"/>
      <c r="AC80" s="3"/>
      <c r="AD80" s="3"/>
      <c r="AE80" s="3"/>
      <c r="AF80" s="3"/>
      <c r="AG80" s="3"/>
      <c r="AH80" s="3"/>
      <c r="AI80" s="4"/>
      <c r="AJ80" s="4"/>
      <c r="AK80" s="4"/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/>
      <c r="AY80"/>
      <c r="AZ80"/>
      <c r="BA80"/>
      <c r="BB80"/>
      <c r="BC80"/>
      <c r="BP80" s="4"/>
      <c r="BQ80" s="4"/>
      <c r="BR80" s="4"/>
      <c r="BS80" s="4"/>
      <c r="BT80" s="4"/>
      <c r="BU80" s="4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1">
        <v>6</v>
      </c>
      <c r="CJ80" s="1">
        <v>6</v>
      </c>
      <c r="CK80" s="1">
        <v>6</v>
      </c>
      <c r="CL80" s="1">
        <v>6</v>
      </c>
      <c r="CM80" s="1">
        <v>5</v>
      </c>
      <c r="CN80" s="1">
        <v>6</v>
      </c>
      <c r="CO80" s="1">
        <v>5</v>
      </c>
      <c r="CP80" s="1">
        <v>5</v>
      </c>
      <c r="CQ80" s="1">
        <v>5</v>
      </c>
      <c r="CR80" s="1">
        <v>5</v>
      </c>
      <c r="CS80" s="1">
        <v>5</v>
      </c>
      <c r="CT80" s="1">
        <v>3</v>
      </c>
      <c r="CU80" s="1">
        <v>4</v>
      </c>
      <c r="CV80" s="1">
        <v>4</v>
      </c>
      <c r="CW80" s="1">
        <v>4</v>
      </c>
      <c r="CX80" s="1">
        <v>4</v>
      </c>
      <c r="CY80" s="1">
        <v>5</v>
      </c>
      <c r="CZ80" s="1">
        <v>6</v>
      </c>
      <c r="DA80" s="1">
        <v>6</v>
      </c>
      <c r="DB80" s="1">
        <v>6</v>
      </c>
      <c r="DC80" s="1">
        <v>5</v>
      </c>
      <c r="DD80" s="1">
        <v>4</v>
      </c>
      <c r="DE80" s="1">
        <v>6</v>
      </c>
      <c r="DF80" s="1">
        <v>3</v>
      </c>
      <c r="DG80" s="1">
        <v>2</v>
      </c>
      <c r="DH80" s="1">
        <v>3</v>
      </c>
      <c r="DI80" s="1">
        <v>2</v>
      </c>
      <c r="DJ80" s="1">
        <v>4</v>
      </c>
      <c r="DK80" s="1">
        <v>3</v>
      </c>
      <c r="DL80" s="1">
        <v>6</v>
      </c>
      <c r="DM80" s="19">
        <v>6</v>
      </c>
      <c r="DN80" s="19">
        <v>7</v>
      </c>
      <c r="DO80" s="1">
        <v>6</v>
      </c>
      <c r="DP80" s="1">
        <v>5</v>
      </c>
      <c r="DQ80" s="1">
        <v>4</v>
      </c>
      <c r="DR80" s="1">
        <v>3</v>
      </c>
      <c r="DS80" s="1">
        <v>5</v>
      </c>
      <c r="DT80" s="1">
        <v>5</v>
      </c>
      <c r="DU80" s="27">
        <v>6</v>
      </c>
      <c r="DV80" s="27">
        <v>7</v>
      </c>
      <c r="DW80" s="27">
        <v>4</v>
      </c>
      <c r="DX80" s="27">
        <v>6</v>
      </c>
      <c r="DY80" s="27">
        <v>6</v>
      </c>
      <c r="DZ80" s="27">
        <v>6</v>
      </c>
      <c r="EA80" s="27">
        <v>2</v>
      </c>
      <c r="EB80" s="27">
        <v>6</v>
      </c>
      <c r="EC80" s="27">
        <v>6</v>
      </c>
      <c r="ED80" s="27">
        <v>6</v>
      </c>
      <c r="EE80" s="27">
        <v>4</v>
      </c>
      <c r="EF80" s="27">
        <v>5</v>
      </c>
      <c r="EG80" s="27">
        <v>6</v>
      </c>
      <c r="EH80" s="27">
        <v>7</v>
      </c>
      <c r="EI80" s="27">
        <v>7</v>
      </c>
      <c r="EJ80" s="27">
        <v>6</v>
      </c>
      <c r="EK80" s="27">
        <v>5</v>
      </c>
      <c r="EL80" s="27">
        <v>6</v>
      </c>
      <c r="EM80" s="27">
        <v>2</v>
      </c>
      <c r="EN80" s="27">
        <v>3</v>
      </c>
      <c r="EO80" s="27">
        <v>6</v>
      </c>
      <c r="EP80" s="27">
        <v>6</v>
      </c>
      <c r="EQ80" s="27">
        <v>4</v>
      </c>
      <c r="ER80" s="27">
        <v>6</v>
      </c>
      <c r="ES80" s="27">
        <v>4</v>
      </c>
      <c r="ET80" s="27">
        <v>4</v>
      </c>
      <c r="EU80" s="27">
        <v>4</v>
      </c>
      <c r="EV80" s="1">
        <v>20</v>
      </c>
      <c r="EW80" s="1">
        <v>2</v>
      </c>
      <c r="EY80" s="1">
        <v>1</v>
      </c>
      <c r="EZ80" s="9"/>
      <c r="FA80" s="1">
        <v>3</v>
      </c>
      <c r="FB80" s="9" t="s">
        <v>833</v>
      </c>
      <c r="FC80" s="1">
        <v>1</v>
      </c>
      <c r="FD80" s="1">
        <v>3</v>
      </c>
      <c r="FE80" s="4"/>
      <c r="FF80" s="4"/>
      <c r="FG80" s="4"/>
      <c r="FH80" s="4"/>
      <c r="FI80" s="4"/>
      <c r="FJ80" s="23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26"/>
      <c r="GF80" s="26"/>
      <c r="GG80" s="4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S80" s="3"/>
      <c r="HU80" s="3"/>
      <c r="HX80" s="3"/>
      <c r="IA80" s="3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6"/>
      <c r="JP80" s="6"/>
      <c r="JQ80" s="6"/>
      <c r="JR80" s="6"/>
      <c r="JS80" s="6"/>
      <c r="JT80" s="8"/>
      <c r="JU80" s="8"/>
      <c r="JV80" s="8"/>
      <c r="JW80" s="8"/>
      <c r="JX80" s="8"/>
      <c r="JY80" s="8"/>
      <c r="JZ80" s="8"/>
      <c r="KA80" s="8"/>
      <c r="KB80" s="8"/>
      <c r="KC80" s="6"/>
      <c r="KD80" s="6"/>
      <c r="KE80" s="6"/>
      <c r="KF80" s="6"/>
      <c r="KG80" s="6"/>
      <c r="KH80" s="6"/>
      <c r="KI80" s="6"/>
      <c r="KJ80" s="6"/>
      <c r="KK80" s="6"/>
      <c r="KL80" s="4"/>
      <c r="KM80" s="4"/>
      <c r="KN80" s="6"/>
      <c r="KO80" s="4"/>
      <c r="KP80" s="4"/>
      <c r="KQ80" s="6"/>
      <c r="KR80" s="6"/>
      <c r="KS80" s="4"/>
      <c r="KU80" s="4"/>
      <c r="KV80" s="4"/>
      <c r="KW80" s="4"/>
      <c r="KX80" s="6"/>
      <c r="KY80" s="6"/>
      <c r="KZ80" s="6"/>
      <c r="LA80" s="4"/>
      <c r="LB80" s="6"/>
      <c r="LC80" s="6"/>
      <c r="LD80" s="4"/>
      <c r="LE80" s="4"/>
      <c r="LF80" s="6"/>
      <c r="LG80" s="6"/>
      <c r="LH80" s="6"/>
      <c r="LI80" s="6"/>
      <c r="LJ80" s="6"/>
      <c r="LK80" s="6"/>
      <c r="LL80" s="6"/>
      <c r="LM80" s="6"/>
      <c r="LN80" s="6"/>
      <c r="LO80" s="6"/>
      <c r="LP80" s="6"/>
      <c r="LQ80" s="6"/>
      <c r="LR80" s="6"/>
      <c r="LS80" s="6"/>
      <c r="LT80" s="6"/>
      <c r="LU80" s="6"/>
      <c r="LV80" s="6"/>
      <c r="LW80" s="6"/>
      <c r="LX80" s="6"/>
      <c r="LY80" s="6"/>
      <c r="LZ80" s="6"/>
      <c r="MA80" s="6"/>
      <c r="MB80" s="6"/>
      <c r="MC80" s="6"/>
      <c r="MD80" s="6"/>
      <c r="ME80" s="6"/>
      <c r="MF80" s="6"/>
      <c r="MG80" s="6"/>
      <c r="MH80" s="6"/>
      <c r="MI80" s="6"/>
      <c r="MJ80" s="6"/>
      <c r="MK80" s="6"/>
      <c r="ML80" s="6"/>
      <c r="MM80" s="6"/>
      <c r="MN80" s="6"/>
      <c r="MO80" s="6"/>
      <c r="MP80" s="6"/>
      <c r="MQ80" s="6"/>
      <c r="MR80" s="6"/>
      <c r="MS80" s="6"/>
      <c r="MT80" s="6"/>
      <c r="MU80" s="6"/>
      <c r="MV80" s="6"/>
      <c r="MW80" s="6"/>
      <c r="MX80" s="6"/>
      <c r="MY80" s="6"/>
      <c r="MZ80" s="6"/>
      <c r="NA80" s="6"/>
      <c r="NB80" s="6"/>
      <c r="NC80" s="6"/>
      <c r="ND80" s="6"/>
      <c r="NE80" s="6"/>
      <c r="NF80" s="6"/>
      <c r="NG80" s="6"/>
      <c r="NH80" s="6"/>
      <c r="NI80" s="6"/>
      <c r="NJ80" s="4"/>
    </row>
    <row r="81" spans="1:374" s="1" customFormat="1" x14ac:dyDescent="0.35">
      <c r="A81" s="2">
        <v>43368</v>
      </c>
      <c r="B81" s="15" t="s">
        <v>108</v>
      </c>
      <c r="C81" s="15" t="s">
        <v>242</v>
      </c>
      <c r="D81" s="1">
        <v>80</v>
      </c>
      <c r="E81" s="3">
        <v>2</v>
      </c>
      <c r="F81" s="3">
        <v>2</v>
      </c>
      <c r="G81" s="3"/>
      <c r="H81" s="3">
        <v>20</v>
      </c>
      <c r="I81" s="3">
        <v>4</v>
      </c>
      <c r="J81" s="3"/>
      <c r="K81" s="18">
        <v>0</v>
      </c>
      <c r="L81" s="18">
        <v>1</v>
      </c>
      <c r="M81" s="18">
        <v>1</v>
      </c>
      <c r="N81" s="18">
        <v>1</v>
      </c>
      <c r="O81" s="18">
        <v>0</v>
      </c>
      <c r="P81" s="4">
        <v>0.6</v>
      </c>
      <c r="Q81" s="3">
        <v>100</v>
      </c>
      <c r="R81" s="3">
        <v>78</v>
      </c>
      <c r="S81" s="3">
        <v>93</v>
      </c>
      <c r="T81" s="3">
        <v>82</v>
      </c>
      <c r="U81" s="3">
        <v>65</v>
      </c>
      <c r="V81" s="3">
        <v>76</v>
      </c>
      <c r="W81" s="3">
        <v>67</v>
      </c>
      <c r="X81" s="3">
        <v>95</v>
      </c>
      <c r="Y81" s="3">
        <v>70</v>
      </c>
      <c r="Z81" s="3"/>
      <c r="AA81" s="3"/>
      <c r="AB81" s="3"/>
      <c r="AC81" s="3"/>
      <c r="AD81" s="3"/>
      <c r="AE81" s="3"/>
      <c r="AF81" s="3"/>
      <c r="AG81" s="3"/>
      <c r="AH81" s="3"/>
      <c r="AI81" s="4"/>
      <c r="AJ81" s="4"/>
      <c r="AK81" s="4"/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/>
      <c r="AY81"/>
      <c r="AZ81"/>
      <c r="BA81"/>
      <c r="BB81"/>
      <c r="BC81"/>
      <c r="BP81" s="4"/>
      <c r="BQ81" s="4"/>
      <c r="BR81" s="4"/>
      <c r="BS81" s="4"/>
      <c r="BT81" s="4"/>
      <c r="BU81" s="4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1">
        <v>7</v>
      </c>
      <c r="CJ81" s="1">
        <v>7</v>
      </c>
      <c r="CK81" s="1">
        <v>7</v>
      </c>
      <c r="CL81" s="1">
        <v>6</v>
      </c>
      <c r="CM81" s="1">
        <v>7</v>
      </c>
      <c r="CN81" s="1">
        <v>6</v>
      </c>
      <c r="CO81" s="1">
        <v>6</v>
      </c>
      <c r="CP81" s="1">
        <v>3</v>
      </c>
      <c r="CQ81" s="1">
        <v>6</v>
      </c>
      <c r="CR81" s="1">
        <v>7</v>
      </c>
      <c r="CS81" s="1">
        <v>7</v>
      </c>
      <c r="CT81" s="1">
        <v>5</v>
      </c>
      <c r="CU81" s="1">
        <v>7</v>
      </c>
      <c r="CV81" s="1">
        <v>7</v>
      </c>
      <c r="CW81" s="1">
        <v>7</v>
      </c>
      <c r="CX81" s="1">
        <v>7</v>
      </c>
      <c r="CY81" s="1">
        <v>7</v>
      </c>
      <c r="CZ81" s="1">
        <v>7</v>
      </c>
      <c r="DA81" s="1">
        <v>7</v>
      </c>
      <c r="DB81" s="1">
        <v>7</v>
      </c>
      <c r="DC81" s="1">
        <v>6</v>
      </c>
      <c r="DD81" s="1">
        <v>6</v>
      </c>
      <c r="DE81" s="1">
        <v>6</v>
      </c>
      <c r="DF81" s="1">
        <v>7</v>
      </c>
      <c r="DG81" s="1">
        <v>3</v>
      </c>
      <c r="DH81" s="1">
        <v>6</v>
      </c>
      <c r="DI81" s="1">
        <v>6</v>
      </c>
      <c r="DJ81" s="1">
        <v>6</v>
      </c>
      <c r="DK81" s="1">
        <v>6</v>
      </c>
      <c r="DL81" s="1">
        <v>6</v>
      </c>
      <c r="DM81" s="19">
        <v>6</v>
      </c>
      <c r="DN81" s="19">
        <v>6</v>
      </c>
      <c r="DO81" s="1">
        <v>4</v>
      </c>
      <c r="DP81" s="1">
        <v>6</v>
      </c>
      <c r="DQ81" s="1">
        <v>4</v>
      </c>
      <c r="DR81" s="1">
        <v>5</v>
      </c>
      <c r="DS81" s="1">
        <v>7</v>
      </c>
      <c r="DT81" s="1">
        <v>6</v>
      </c>
      <c r="DU81" s="27">
        <v>6</v>
      </c>
      <c r="DV81" s="27">
        <v>6</v>
      </c>
      <c r="DW81" s="27">
        <v>4</v>
      </c>
      <c r="DX81" s="27">
        <v>6</v>
      </c>
      <c r="DY81" s="27">
        <v>5</v>
      </c>
      <c r="DZ81" s="27">
        <v>1</v>
      </c>
      <c r="EA81" s="27">
        <v>1</v>
      </c>
      <c r="EB81" s="27">
        <v>5</v>
      </c>
      <c r="EC81" s="27">
        <v>6</v>
      </c>
      <c r="ED81" s="27">
        <v>4</v>
      </c>
      <c r="EE81" s="27">
        <v>1</v>
      </c>
      <c r="EF81" s="27">
        <v>6</v>
      </c>
      <c r="EG81" s="27">
        <v>6</v>
      </c>
      <c r="EH81" s="27">
        <v>6</v>
      </c>
      <c r="EI81" s="27">
        <v>6</v>
      </c>
      <c r="EJ81" s="27">
        <v>6</v>
      </c>
      <c r="EK81" s="27">
        <v>6</v>
      </c>
      <c r="EL81" s="27">
        <v>6</v>
      </c>
      <c r="EM81" s="27">
        <v>4</v>
      </c>
      <c r="EN81" s="27">
        <v>6</v>
      </c>
      <c r="EO81" s="27">
        <v>7</v>
      </c>
      <c r="EP81" s="27">
        <v>7</v>
      </c>
      <c r="EQ81" s="27">
        <v>7</v>
      </c>
      <c r="ER81" s="27">
        <v>6</v>
      </c>
      <c r="ES81" s="27">
        <v>6</v>
      </c>
      <c r="ET81" s="27">
        <v>4</v>
      </c>
      <c r="EU81" s="27">
        <v>4</v>
      </c>
      <c r="EV81" s="1">
        <v>20</v>
      </c>
      <c r="EW81" s="1">
        <v>2</v>
      </c>
      <c r="EY81" s="1">
        <v>1</v>
      </c>
      <c r="EZ81" s="9"/>
      <c r="FA81" s="1">
        <v>3</v>
      </c>
      <c r="FB81" s="9" t="s">
        <v>834</v>
      </c>
      <c r="FC81" s="1">
        <v>0</v>
      </c>
      <c r="FD81" s="1">
        <v>7</v>
      </c>
      <c r="FE81" s="4"/>
      <c r="FF81" s="4"/>
      <c r="FG81" s="4"/>
      <c r="FH81" s="4"/>
      <c r="FI81" s="4"/>
      <c r="FJ81" s="23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26"/>
      <c r="GF81" s="26"/>
      <c r="GG81" s="4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S81" s="3"/>
      <c r="HU81" s="3"/>
      <c r="HX81" s="3"/>
      <c r="IA81" s="3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6"/>
      <c r="JP81" s="6"/>
      <c r="JQ81" s="6"/>
      <c r="JR81" s="6"/>
      <c r="JS81" s="6"/>
      <c r="JT81" s="8"/>
      <c r="JU81" s="8"/>
      <c r="JV81" s="8"/>
      <c r="JW81" s="8"/>
      <c r="JX81" s="8"/>
      <c r="JY81" s="8"/>
      <c r="JZ81" s="8"/>
      <c r="KA81" s="8"/>
      <c r="KB81" s="8"/>
      <c r="KC81" s="6"/>
      <c r="KD81" s="6"/>
      <c r="KE81" s="6"/>
      <c r="KF81" s="6"/>
      <c r="KG81" s="6"/>
      <c r="KH81" s="6"/>
      <c r="KI81" s="6"/>
      <c r="KJ81" s="6"/>
      <c r="KK81" s="6"/>
      <c r="KL81" s="4"/>
      <c r="KM81" s="4"/>
      <c r="KN81" s="6"/>
      <c r="KO81" s="4"/>
      <c r="KP81" s="4"/>
      <c r="KQ81" s="6"/>
      <c r="KR81" s="6"/>
      <c r="KS81" s="4"/>
      <c r="KU81" s="4"/>
      <c r="KV81" s="4"/>
      <c r="KW81" s="4"/>
      <c r="KX81" s="6"/>
      <c r="KY81" s="6"/>
      <c r="KZ81" s="6"/>
      <c r="LA81" s="4"/>
      <c r="LB81" s="6"/>
      <c r="LC81" s="6"/>
      <c r="LD81" s="4"/>
      <c r="LE81" s="4"/>
      <c r="LF81" s="6"/>
      <c r="LG81" s="6"/>
      <c r="LH81" s="6"/>
      <c r="LI81" s="6"/>
      <c r="LJ81" s="6"/>
      <c r="LK81" s="6"/>
      <c r="LL81" s="6"/>
      <c r="LM81" s="6"/>
      <c r="LN81" s="6"/>
      <c r="LO81" s="6"/>
      <c r="LP81" s="6"/>
      <c r="LQ81" s="6"/>
      <c r="LR81" s="6"/>
      <c r="LS81" s="6"/>
      <c r="LT81" s="6"/>
      <c r="LU81" s="6"/>
      <c r="LV81" s="6"/>
      <c r="LW81" s="6"/>
      <c r="LX81" s="6"/>
      <c r="LY81" s="6"/>
      <c r="LZ81" s="6"/>
      <c r="MA81" s="6"/>
      <c r="MB81" s="6"/>
      <c r="MC81" s="6"/>
      <c r="MD81" s="6"/>
      <c r="ME81" s="6"/>
      <c r="MF81" s="6"/>
      <c r="MG81" s="6"/>
      <c r="MH81" s="6"/>
      <c r="MI81" s="6"/>
      <c r="MJ81" s="6"/>
      <c r="MK81" s="6"/>
      <c r="ML81" s="6"/>
      <c r="MM81" s="6"/>
      <c r="MN81" s="6"/>
      <c r="MO81" s="6"/>
      <c r="MP81" s="6"/>
      <c r="MQ81" s="6"/>
      <c r="MR81" s="6"/>
      <c r="MS81" s="6"/>
      <c r="MT81" s="6"/>
      <c r="MU81" s="6"/>
      <c r="MV81" s="6"/>
      <c r="MW81" s="6"/>
      <c r="MX81" s="6"/>
      <c r="MY81" s="6"/>
      <c r="MZ81" s="6"/>
      <c r="NA81" s="6"/>
      <c r="NB81" s="6"/>
      <c r="NC81" s="6"/>
      <c r="ND81" s="6"/>
      <c r="NE81" s="6"/>
      <c r="NF81" s="6"/>
      <c r="NG81" s="6"/>
      <c r="NH81" s="6"/>
      <c r="NI81" s="6"/>
      <c r="NJ81" s="4"/>
    </row>
    <row r="82" spans="1:374" s="1" customFormat="1" x14ac:dyDescent="0.35">
      <c r="A82" s="2">
        <v>43490</v>
      </c>
      <c r="B82" s="15" t="s">
        <v>109</v>
      </c>
      <c r="C82" s="15" t="s">
        <v>243</v>
      </c>
      <c r="D82" s="1">
        <v>81</v>
      </c>
      <c r="E82" s="3">
        <v>2</v>
      </c>
      <c r="F82" s="3">
        <v>2</v>
      </c>
      <c r="G82" s="3">
        <v>1</v>
      </c>
      <c r="H82" s="3">
        <v>21</v>
      </c>
      <c r="I82" s="3">
        <v>1</v>
      </c>
      <c r="J82" s="3">
        <v>1</v>
      </c>
      <c r="K82" s="18">
        <v>0</v>
      </c>
      <c r="L82" s="18">
        <v>1</v>
      </c>
      <c r="M82" s="18">
        <v>1</v>
      </c>
      <c r="N82" s="18">
        <v>1</v>
      </c>
      <c r="O82" s="18">
        <v>1</v>
      </c>
      <c r="P82" s="4">
        <v>0.8</v>
      </c>
      <c r="Q82" s="3">
        <v>56</v>
      </c>
      <c r="R82" s="3">
        <v>74</v>
      </c>
      <c r="S82" s="3">
        <v>68</v>
      </c>
      <c r="T82" s="3">
        <v>67</v>
      </c>
      <c r="U82" s="3">
        <v>73</v>
      </c>
      <c r="V82" s="3">
        <v>60</v>
      </c>
      <c r="W82" s="3">
        <v>66</v>
      </c>
      <c r="X82" s="3">
        <v>69</v>
      </c>
      <c r="Y82" s="3">
        <v>71</v>
      </c>
      <c r="Z82" s="3">
        <v>222</v>
      </c>
      <c r="AA82" s="3">
        <v>297</v>
      </c>
      <c r="AB82" s="3">
        <v>273</v>
      </c>
      <c r="AC82" s="3">
        <v>272</v>
      </c>
      <c r="AD82" s="3">
        <v>298</v>
      </c>
      <c r="AE82" s="3">
        <v>238</v>
      </c>
      <c r="AF82" s="3">
        <v>267</v>
      </c>
      <c r="AG82" s="3">
        <v>273</v>
      </c>
      <c r="AH82" s="3">
        <v>281</v>
      </c>
      <c r="AI82" s="4">
        <v>264</v>
      </c>
      <c r="AJ82" s="4">
        <v>269.33</v>
      </c>
      <c r="AK82" s="4">
        <v>273.67</v>
      </c>
      <c r="AL82" s="1">
        <v>0</v>
      </c>
      <c r="AM82" s="1">
        <v>0</v>
      </c>
      <c r="AN82" s="1">
        <v>1</v>
      </c>
      <c r="AO82" s="1">
        <v>0</v>
      </c>
      <c r="AP82" s="1">
        <v>0</v>
      </c>
      <c r="AQ82" s="1">
        <v>0</v>
      </c>
      <c r="AR82" s="1">
        <v>2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f t="shared" ref="AX82:BC82" si="40">AL82+AL83+AL84+AL85</f>
        <v>3</v>
      </c>
      <c r="AY82" s="19">
        <f t="shared" si="40"/>
        <v>0</v>
      </c>
      <c r="AZ82" s="19">
        <f t="shared" si="40"/>
        <v>1</v>
      </c>
      <c r="BA82" s="19">
        <f t="shared" si="40"/>
        <v>0</v>
      </c>
      <c r="BB82" s="19">
        <f t="shared" si="40"/>
        <v>0</v>
      </c>
      <c r="BC82" s="19">
        <f t="shared" si="40"/>
        <v>0</v>
      </c>
      <c r="BD82" s="1">
        <f>AX82*3</f>
        <v>9</v>
      </c>
      <c r="BE82" s="1">
        <f t="shared" ref="BE82:BI82" si="41">AY82*3</f>
        <v>0</v>
      </c>
      <c r="BF82" s="1">
        <f t="shared" si="41"/>
        <v>3</v>
      </c>
      <c r="BG82" s="1">
        <f t="shared" si="41"/>
        <v>0</v>
      </c>
      <c r="BH82" s="1">
        <f t="shared" si="41"/>
        <v>0</v>
      </c>
      <c r="BI82" s="1">
        <f t="shared" si="41"/>
        <v>0</v>
      </c>
      <c r="BJ82" s="1">
        <f>AX82+AY82+AZ82</f>
        <v>4</v>
      </c>
      <c r="BK82" s="1">
        <f>BA82+BB82+BC82</f>
        <v>0</v>
      </c>
      <c r="BL82" s="1">
        <f>BJ82*3</f>
        <v>12</v>
      </c>
      <c r="BM82" s="1">
        <f>BK82*3</f>
        <v>0</v>
      </c>
      <c r="BN82" s="1">
        <f>BL82/3</f>
        <v>4</v>
      </c>
      <c r="BO82" s="1">
        <f>BM82/3</f>
        <v>0</v>
      </c>
      <c r="BP82" s="4">
        <v>260</v>
      </c>
      <c r="BQ82" s="4">
        <v>269.33333333333331</v>
      </c>
      <c r="BR82" s="4">
        <v>273.66666666666669</v>
      </c>
      <c r="BS82" s="4">
        <v>260</v>
      </c>
      <c r="BT82" s="4">
        <v>269.33</v>
      </c>
      <c r="BU82" s="4">
        <v>3.67</v>
      </c>
      <c r="BV82" s="3">
        <v>3</v>
      </c>
      <c r="BW82" s="3">
        <v>4</v>
      </c>
      <c r="BX82" s="3">
        <v>4</v>
      </c>
      <c r="BY82" s="3">
        <v>4</v>
      </c>
      <c r="BZ82" s="3">
        <v>2</v>
      </c>
      <c r="CA82" s="3">
        <v>2</v>
      </c>
      <c r="CB82" s="3">
        <v>2</v>
      </c>
      <c r="CC82" s="3">
        <v>2</v>
      </c>
      <c r="CD82" s="3">
        <v>2</v>
      </c>
      <c r="CE82" s="3">
        <v>2</v>
      </c>
      <c r="CF82" s="3">
        <v>2</v>
      </c>
      <c r="CG82" s="3">
        <v>2</v>
      </c>
      <c r="CH82" s="3">
        <v>1</v>
      </c>
      <c r="CI82" s="1">
        <v>7</v>
      </c>
      <c r="CJ82" s="1">
        <v>7</v>
      </c>
      <c r="CK82" s="1">
        <v>7</v>
      </c>
      <c r="CL82" s="1">
        <v>6</v>
      </c>
      <c r="CM82" s="1">
        <v>5</v>
      </c>
      <c r="CN82" s="1">
        <v>6</v>
      </c>
      <c r="CO82" s="1">
        <v>7</v>
      </c>
      <c r="CP82" s="1">
        <v>1</v>
      </c>
      <c r="CQ82" s="1">
        <v>7</v>
      </c>
      <c r="CR82" s="1">
        <v>7</v>
      </c>
      <c r="CS82" s="1">
        <v>7</v>
      </c>
      <c r="CT82" s="1">
        <v>7</v>
      </c>
      <c r="CU82" s="1">
        <v>7</v>
      </c>
      <c r="CV82" s="1">
        <v>7</v>
      </c>
      <c r="CW82" s="1">
        <v>7</v>
      </c>
      <c r="CX82" s="1">
        <v>7</v>
      </c>
      <c r="CY82" s="1">
        <v>7</v>
      </c>
      <c r="CZ82" s="1">
        <v>7</v>
      </c>
      <c r="DA82" s="1">
        <v>7</v>
      </c>
      <c r="DB82" s="1">
        <v>7</v>
      </c>
      <c r="DC82" s="1">
        <v>6</v>
      </c>
      <c r="DD82" s="1">
        <v>7</v>
      </c>
      <c r="DE82" s="1">
        <v>7</v>
      </c>
      <c r="DF82" s="1">
        <v>6</v>
      </c>
      <c r="DG82" s="1">
        <v>5</v>
      </c>
      <c r="DH82" s="1">
        <v>6</v>
      </c>
      <c r="DI82" s="1">
        <v>6</v>
      </c>
      <c r="DJ82" s="1">
        <v>5</v>
      </c>
      <c r="DK82" s="1">
        <v>7</v>
      </c>
      <c r="DL82" s="1">
        <v>7</v>
      </c>
      <c r="DM82" s="19">
        <v>7</v>
      </c>
      <c r="DN82" s="19">
        <v>7</v>
      </c>
      <c r="DO82" s="1">
        <v>6</v>
      </c>
      <c r="DP82" s="1">
        <v>7</v>
      </c>
      <c r="DQ82" s="1">
        <v>7</v>
      </c>
      <c r="DR82" s="1">
        <v>7</v>
      </c>
      <c r="DS82" s="1">
        <v>7</v>
      </c>
      <c r="DT82" s="1">
        <v>7</v>
      </c>
      <c r="DU82" s="27">
        <v>7</v>
      </c>
      <c r="DV82" s="27">
        <v>7</v>
      </c>
      <c r="DW82" s="27">
        <v>2</v>
      </c>
      <c r="DX82" s="27">
        <v>5</v>
      </c>
      <c r="DY82" s="27">
        <v>1</v>
      </c>
      <c r="DZ82" s="27">
        <v>1</v>
      </c>
      <c r="EA82" s="27">
        <v>1</v>
      </c>
      <c r="EB82" s="27">
        <v>5</v>
      </c>
      <c r="EC82" s="27">
        <v>5</v>
      </c>
      <c r="ED82" s="27">
        <v>2</v>
      </c>
      <c r="EE82" s="27">
        <v>4</v>
      </c>
      <c r="EF82" s="27">
        <v>2</v>
      </c>
      <c r="EG82" s="27">
        <v>4</v>
      </c>
      <c r="EH82" s="27">
        <v>6</v>
      </c>
      <c r="EI82" s="27">
        <v>6</v>
      </c>
      <c r="EJ82" s="27">
        <v>6</v>
      </c>
      <c r="EK82" s="27">
        <v>7</v>
      </c>
      <c r="EL82" s="27">
        <v>6</v>
      </c>
      <c r="EM82" s="27">
        <v>1</v>
      </c>
      <c r="EN82" s="27">
        <v>1</v>
      </c>
      <c r="EO82" s="27">
        <v>7</v>
      </c>
      <c r="EP82" s="27">
        <v>7</v>
      </c>
      <c r="EQ82" s="27">
        <v>7</v>
      </c>
      <c r="ER82" s="27">
        <v>4</v>
      </c>
      <c r="ES82" s="27">
        <v>5</v>
      </c>
      <c r="ET82" s="27">
        <v>7</v>
      </c>
      <c r="EU82" s="27">
        <v>6</v>
      </c>
      <c r="EV82" s="1">
        <v>20</v>
      </c>
      <c r="EW82" s="1">
        <v>2</v>
      </c>
      <c r="EY82" s="1">
        <v>2</v>
      </c>
      <c r="EZ82" s="9"/>
      <c r="FA82" s="1">
        <v>3</v>
      </c>
      <c r="FB82" s="9" t="s">
        <v>835</v>
      </c>
      <c r="FC82" s="1">
        <v>1</v>
      </c>
      <c r="FD82" s="1">
        <v>4</v>
      </c>
      <c r="FE82" s="4">
        <v>6.04</v>
      </c>
      <c r="FF82" s="4">
        <v>6.31</v>
      </c>
      <c r="FG82" s="4">
        <v>7.38</v>
      </c>
      <c r="FH82" s="4">
        <v>6.42</v>
      </c>
      <c r="FI82" s="4">
        <v>6.5</v>
      </c>
      <c r="FJ82" s="23">
        <v>7</v>
      </c>
      <c r="FK82" s="4">
        <v>5.88</v>
      </c>
      <c r="FL82" s="4">
        <v>6</v>
      </c>
      <c r="FM82" s="4">
        <v>4.88</v>
      </c>
      <c r="FN82" s="4">
        <v>6.63</v>
      </c>
      <c r="FO82" s="4">
        <v>6.5</v>
      </c>
      <c r="FP82" s="4">
        <v>6</v>
      </c>
      <c r="FQ82" s="4">
        <v>3.75</v>
      </c>
      <c r="FR82" s="4">
        <v>1.75</v>
      </c>
      <c r="FS82" s="4">
        <v>6.25</v>
      </c>
      <c r="FT82" s="4">
        <v>4.75</v>
      </c>
      <c r="FU82" s="4">
        <v>4</v>
      </c>
      <c r="FV82" s="4">
        <v>4</v>
      </c>
      <c r="FW82" s="4">
        <v>3.75</v>
      </c>
      <c r="FX82" s="4">
        <v>5.25</v>
      </c>
      <c r="FY82" s="4">
        <v>6.5</v>
      </c>
      <c r="FZ82" s="4">
        <v>5.08</v>
      </c>
      <c r="GA82" s="4">
        <v>2.25</v>
      </c>
      <c r="GB82" s="4">
        <v>6.75</v>
      </c>
      <c r="GC82" s="4">
        <v>4.5</v>
      </c>
      <c r="GD82" s="4">
        <v>5.5</v>
      </c>
      <c r="GE82" s="26"/>
      <c r="GF82" s="26"/>
      <c r="GG82" s="4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S82" s="3"/>
      <c r="HU82" s="3"/>
      <c r="HX82" s="3"/>
      <c r="IA82" s="3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3"/>
      <c r="JP82" s="3"/>
      <c r="JQ82" s="4"/>
      <c r="JR82" s="5"/>
      <c r="JS82" s="5"/>
      <c r="JT82" s="8"/>
      <c r="JU82" s="8"/>
      <c r="JV82" s="8"/>
      <c r="JW82" s="8"/>
      <c r="JX82" s="8"/>
      <c r="JY82" s="8"/>
      <c r="JZ82" s="8"/>
      <c r="KA82" s="8"/>
      <c r="KB82" s="8"/>
      <c r="KC82" s="4"/>
      <c r="KD82" s="4"/>
      <c r="KE82" s="4"/>
      <c r="KF82" s="4"/>
      <c r="KG82" s="4"/>
      <c r="KH82" s="4"/>
      <c r="KI82" s="4"/>
      <c r="KJ82" s="4"/>
      <c r="KK82" s="4"/>
      <c r="KL82" s="4"/>
      <c r="KM82" s="4"/>
      <c r="KN82" s="4"/>
      <c r="KO82" s="4"/>
      <c r="KP82" s="4"/>
      <c r="KQ82" s="4"/>
      <c r="KR82" s="4"/>
      <c r="KS82" s="4"/>
      <c r="KU82" s="4"/>
      <c r="KV82" s="4"/>
      <c r="KW82" s="4"/>
      <c r="KX82" s="4"/>
      <c r="KY82" s="4"/>
      <c r="KZ82" s="4"/>
      <c r="LA82" s="4"/>
      <c r="LB82" s="4"/>
      <c r="LC82" s="4"/>
      <c r="LD82" s="4"/>
      <c r="LE82" s="4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4"/>
      <c r="MI82" s="4"/>
      <c r="MJ82" s="4"/>
      <c r="MK82" s="4"/>
      <c r="ML82" s="4"/>
      <c r="MM82" s="4"/>
      <c r="MN82" s="4"/>
      <c r="MO82" s="4"/>
      <c r="MP82" s="4"/>
      <c r="MQ82" s="4"/>
      <c r="MR82" s="4"/>
      <c r="MS82" s="4"/>
      <c r="MT82" s="4"/>
      <c r="MU82" s="4"/>
      <c r="MV82" s="4"/>
      <c r="MW82" s="4"/>
      <c r="MX82" s="4"/>
      <c r="MY82" s="4"/>
      <c r="MZ82" s="4"/>
      <c r="NA82" s="4"/>
      <c r="NB82" s="4"/>
      <c r="NC82" s="4"/>
      <c r="ND82" s="4"/>
      <c r="NE82" s="4"/>
      <c r="NF82" s="4"/>
      <c r="NG82" s="4"/>
      <c r="NH82" s="4"/>
      <c r="NI82" s="4"/>
      <c r="NJ82" s="4"/>
    </row>
    <row r="83" spans="1:374" s="1" customFormat="1" x14ac:dyDescent="0.35">
      <c r="A83" s="2">
        <v>43490</v>
      </c>
      <c r="B83" s="15" t="s">
        <v>109</v>
      </c>
      <c r="C83" s="15" t="s">
        <v>244</v>
      </c>
      <c r="D83" s="1">
        <v>82</v>
      </c>
      <c r="E83" s="3">
        <v>2</v>
      </c>
      <c r="F83" s="3">
        <v>2</v>
      </c>
      <c r="G83" s="3"/>
      <c r="H83" s="3">
        <v>21</v>
      </c>
      <c r="I83" s="3">
        <v>2</v>
      </c>
      <c r="J83" s="3"/>
      <c r="K83" s="18">
        <v>0</v>
      </c>
      <c r="L83" s="18">
        <v>1</v>
      </c>
      <c r="M83" s="18">
        <v>1</v>
      </c>
      <c r="N83" s="18">
        <v>1</v>
      </c>
      <c r="O83" s="18">
        <v>1</v>
      </c>
      <c r="P83" s="4">
        <v>0.8</v>
      </c>
      <c r="Q83" s="3">
        <v>54</v>
      </c>
      <c r="R83" s="3">
        <v>75</v>
      </c>
      <c r="S83" s="3">
        <v>68</v>
      </c>
      <c r="T83" s="3">
        <v>69</v>
      </c>
      <c r="U83" s="3">
        <v>73</v>
      </c>
      <c r="V83" s="3">
        <v>60</v>
      </c>
      <c r="W83" s="3">
        <v>67</v>
      </c>
      <c r="X83" s="3">
        <v>68</v>
      </c>
      <c r="Y83" s="3">
        <v>70</v>
      </c>
      <c r="Z83" s="3"/>
      <c r="AA83" s="3"/>
      <c r="AB83" s="3"/>
      <c r="AC83" s="3"/>
      <c r="AD83" s="3"/>
      <c r="AE83" s="3"/>
      <c r="AF83" s="3"/>
      <c r="AG83" s="3"/>
      <c r="AH83" s="3"/>
      <c r="AI83" s="4"/>
      <c r="AJ83" s="4"/>
      <c r="AK83" s="4"/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/>
      <c r="AY83"/>
      <c r="AZ83"/>
      <c r="BA83"/>
      <c r="BB83"/>
      <c r="BC83"/>
      <c r="BP83" s="4"/>
      <c r="BQ83" s="4"/>
      <c r="BR83" s="4"/>
      <c r="BS83" s="4"/>
      <c r="BT83" s="4"/>
      <c r="BU83" s="4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1">
        <v>6</v>
      </c>
      <c r="CJ83" s="1">
        <v>6</v>
      </c>
      <c r="CK83" s="1">
        <v>6</v>
      </c>
      <c r="CL83" s="1">
        <v>7</v>
      </c>
      <c r="CM83" s="1">
        <v>2</v>
      </c>
      <c r="CN83" s="1">
        <v>2</v>
      </c>
      <c r="CO83" s="1">
        <v>7</v>
      </c>
      <c r="CP83" s="1">
        <v>5</v>
      </c>
      <c r="CQ83" s="1">
        <v>6</v>
      </c>
      <c r="CR83" s="1">
        <v>7</v>
      </c>
      <c r="CS83" s="1">
        <v>5</v>
      </c>
      <c r="CT83" s="1">
        <v>3</v>
      </c>
      <c r="CU83" s="1">
        <v>5</v>
      </c>
      <c r="CV83" s="1">
        <v>6</v>
      </c>
      <c r="CW83" s="1">
        <v>5</v>
      </c>
      <c r="CX83" s="1">
        <v>3</v>
      </c>
      <c r="CY83" s="1">
        <v>4</v>
      </c>
      <c r="CZ83" s="1">
        <v>7</v>
      </c>
      <c r="DA83" s="1">
        <v>6</v>
      </c>
      <c r="DB83" s="1">
        <v>7</v>
      </c>
      <c r="DC83" s="1">
        <v>6</v>
      </c>
      <c r="DD83" s="1">
        <v>6</v>
      </c>
      <c r="DE83" s="1">
        <v>7</v>
      </c>
      <c r="DF83" s="1">
        <v>6</v>
      </c>
      <c r="DG83" s="1">
        <v>5</v>
      </c>
      <c r="DH83" s="1">
        <v>6</v>
      </c>
      <c r="DI83" s="1">
        <v>7</v>
      </c>
      <c r="DJ83" s="1">
        <v>6</v>
      </c>
      <c r="DK83" s="1">
        <v>5</v>
      </c>
      <c r="DL83" s="1">
        <v>6</v>
      </c>
      <c r="DM83" s="19">
        <v>7</v>
      </c>
      <c r="DN83" s="19">
        <v>5</v>
      </c>
      <c r="DO83" s="1">
        <v>4</v>
      </c>
      <c r="DP83" s="1">
        <v>6</v>
      </c>
      <c r="DQ83" s="1">
        <v>5</v>
      </c>
      <c r="DR83" s="1">
        <v>6</v>
      </c>
      <c r="DS83" s="1">
        <v>5</v>
      </c>
      <c r="DT83" s="1">
        <v>6</v>
      </c>
      <c r="DU83" s="27">
        <v>6</v>
      </c>
      <c r="DV83" s="27">
        <v>6</v>
      </c>
      <c r="DW83" s="27">
        <v>5</v>
      </c>
      <c r="DX83" s="27">
        <v>6</v>
      </c>
      <c r="DY83" s="27">
        <v>4</v>
      </c>
      <c r="DZ83" s="27">
        <v>5</v>
      </c>
      <c r="EA83" s="27">
        <v>1</v>
      </c>
      <c r="EB83" s="27">
        <v>7</v>
      </c>
      <c r="EC83" s="27">
        <v>7</v>
      </c>
      <c r="ED83" s="27">
        <v>7</v>
      </c>
      <c r="EE83" s="27">
        <v>5</v>
      </c>
      <c r="EF83" s="27">
        <v>1</v>
      </c>
      <c r="EG83" s="27">
        <v>7</v>
      </c>
      <c r="EH83" s="27">
        <v>7</v>
      </c>
      <c r="EI83" s="27">
        <v>7</v>
      </c>
      <c r="EJ83" s="27">
        <v>7</v>
      </c>
      <c r="EK83" s="27">
        <v>7</v>
      </c>
      <c r="EL83" s="27">
        <v>7</v>
      </c>
      <c r="EM83" s="27">
        <v>2</v>
      </c>
      <c r="EN83" s="27">
        <v>4</v>
      </c>
      <c r="EO83" s="27">
        <v>7</v>
      </c>
      <c r="EP83" s="27">
        <v>7</v>
      </c>
      <c r="EQ83" s="27">
        <v>7</v>
      </c>
      <c r="ER83" s="27">
        <v>6</v>
      </c>
      <c r="ES83" s="27">
        <v>7</v>
      </c>
      <c r="ET83" s="27">
        <v>2</v>
      </c>
      <c r="EU83" s="27">
        <v>3</v>
      </c>
      <c r="EV83" s="1">
        <v>19</v>
      </c>
      <c r="EW83" s="1">
        <v>1</v>
      </c>
      <c r="EY83" s="1">
        <v>1</v>
      </c>
      <c r="EZ83" s="9"/>
      <c r="FA83" s="1">
        <v>1</v>
      </c>
      <c r="FB83" s="9" t="s">
        <v>836</v>
      </c>
      <c r="FC83" s="1">
        <v>0</v>
      </c>
      <c r="FD83" s="1">
        <v>9</v>
      </c>
      <c r="FE83" s="4"/>
      <c r="FF83" s="4"/>
      <c r="FG83" s="4"/>
      <c r="FH83" s="4"/>
      <c r="FI83" s="4"/>
      <c r="FJ83" s="23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26"/>
      <c r="GF83" s="26"/>
      <c r="GG83" s="4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S83" s="3"/>
      <c r="HU83" s="3"/>
      <c r="HX83" s="3"/>
      <c r="IA83" s="3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6"/>
      <c r="JP83" s="6"/>
      <c r="JQ83" s="6"/>
      <c r="JR83" s="6"/>
      <c r="JS83" s="6"/>
      <c r="JT83" s="8"/>
      <c r="JU83" s="8"/>
      <c r="JV83" s="8"/>
      <c r="JW83" s="8"/>
      <c r="JX83" s="8"/>
      <c r="JY83" s="8"/>
      <c r="JZ83" s="8"/>
      <c r="KA83" s="8"/>
      <c r="KB83" s="8"/>
      <c r="KC83" s="6"/>
      <c r="KD83" s="6"/>
      <c r="KE83" s="6"/>
      <c r="KF83" s="6"/>
      <c r="KG83" s="6"/>
      <c r="KH83" s="6"/>
      <c r="KI83" s="6"/>
      <c r="KJ83" s="6"/>
      <c r="KK83" s="6"/>
      <c r="KL83" s="4"/>
      <c r="KM83" s="4"/>
      <c r="KN83" s="6"/>
      <c r="KO83" s="4"/>
      <c r="KP83" s="4"/>
      <c r="KQ83" s="6"/>
      <c r="KR83" s="6"/>
      <c r="KS83" s="4"/>
      <c r="KU83" s="4"/>
      <c r="KV83" s="4"/>
      <c r="KW83" s="4"/>
      <c r="KX83" s="6"/>
      <c r="KY83" s="6"/>
      <c r="KZ83" s="6"/>
      <c r="LA83" s="4"/>
      <c r="LB83" s="6"/>
      <c r="LC83" s="6"/>
      <c r="LD83" s="4"/>
      <c r="LE83" s="4"/>
      <c r="LF83" s="6"/>
      <c r="LG83" s="6"/>
      <c r="LH83" s="6"/>
      <c r="LI83" s="6"/>
      <c r="LJ83" s="6"/>
      <c r="LK83" s="6"/>
      <c r="LL83" s="6"/>
      <c r="LM83" s="6"/>
      <c r="LN83" s="6"/>
      <c r="LO83" s="6"/>
      <c r="LP83" s="6"/>
      <c r="LQ83" s="6"/>
      <c r="LR83" s="6"/>
      <c r="LS83" s="6"/>
      <c r="LT83" s="6"/>
      <c r="LU83" s="6"/>
      <c r="LV83" s="6"/>
      <c r="LW83" s="6"/>
      <c r="LX83" s="6"/>
      <c r="LY83" s="6"/>
      <c r="LZ83" s="6"/>
      <c r="MA83" s="6"/>
      <c r="MB83" s="6"/>
      <c r="MC83" s="6"/>
      <c r="MD83" s="6"/>
      <c r="ME83" s="6"/>
      <c r="MF83" s="6"/>
      <c r="MG83" s="6"/>
      <c r="MH83" s="6"/>
      <c r="MI83" s="6"/>
      <c r="MJ83" s="6"/>
      <c r="MK83" s="6"/>
      <c r="ML83" s="6"/>
      <c r="MM83" s="6"/>
      <c r="MN83" s="6"/>
      <c r="MO83" s="6"/>
      <c r="MP83" s="6"/>
      <c r="MQ83" s="6"/>
      <c r="MR83" s="6"/>
      <c r="MS83" s="6"/>
      <c r="MT83" s="6"/>
      <c r="MU83" s="6"/>
      <c r="MV83" s="6"/>
      <c r="MW83" s="6"/>
      <c r="MX83" s="6"/>
      <c r="MY83" s="6"/>
      <c r="MZ83" s="6"/>
      <c r="NA83" s="6"/>
      <c r="NB83" s="6"/>
      <c r="NC83" s="6"/>
      <c r="ND83" s="6"/>
      <c r="NE83" s="6"/>
      <c r="NF83" s="6"/>
      <c r="NG83" s="6"/>
      <c r="NH83" s="6"/>
      <c r="NI83" s="6"/>
      <c r="NJ83" s="4"/>
    </row>
    <row r="84" spans="1:374" s="1" customFormat="1" x14ac:dyDescent="0.35">
      <c r="A84" s="2">
        <v>43490</v>
      </c>
      <c r="B84" s="15" t="s">
        <v>109</v>
      </c>
      <c r="C84" s="15" t="s">
        <v>245</v>
      </c>
      <c r="D84" s="1">
        <v>83</v>
      </c>
      <c r="E84" s="3">
        <v>2</v>
      </c>
      <c r="F84" s="3">
        <v>2</v>
      </c>
      <c r="G84" s="3"/>
      <c r="H84" s="3">
        <v>21</v>
      </c>
      <c r="I84" s="3">
        <v>3</v>
      </c>
      <c r="J84" s="3"/>
      <c r="K84" s="18">
        <v>0</v>
      </c>
      <c r="L84" s="18">
        <v>1</v>
      </c>
      <c r="M84" s="18">
        <v>1</v>
      </c>
      <c r="N84" s="18">
        <v>1</v>
      </c>
      <c r="O84" s="18">
        <v>0</v>
      </c>
      <c r="P84" s="4">
        <v>0.6</v>
      </c>
      <c r="Q84" s="3">
        <v>58</v>
      </c>
      <c r="R84" s="3">
        <v>72</v>
      </c>
      <c r="S84" s="3">
        <v>69</v>
      </c>
      <c r="T84" s="3">
        <v>67</v>
      </c>
      <c r="U84" s="3">
        <v>75</v>
      </c>
      <c r="V84" s="3">
        <v>58</v>
      </c>
      <c r="W84" s="3">
        <v>68</v>
      </c>
      <c r="X84" s="3">
        <v>69</v>
      </c>
      <c r="Y84" s="3">
        <v>70</v>
      </c>
      <c r="Z84" s="3"/>
      <c r="AA84" s="3"/>
      <c r="AB84" s="3"/>
      <c r="AC84" s="3"/>
      <c r="AD84" s="3"/>
      <c r="AE84" s="3"/>
      <c r="AF84" s="3"/>
      <c r="AG84" s="3"/>
      <c r="AH84" s="3"/>
      <c r="AI84" s="4"/>
      <c r="AJ84" s="4"/>
      <c r="AK84" s="4"/>
      <c r="AL84" s="1">
        <v>1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/>
      <c r="AY84"/>
      <c r="AZ84"/>
      <c r="BA84"/>
      <c r="BB84"/>
      <c r="BC84"/>
      <c r="BP84" s="4"/>
      <c r="BQ84" s="4"/>
      <c r="BR84" s="4"/>
      <c r="BS84" s="4"/>
      <c r="BT84" s="4"/>
      <c r="BU84" s="4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1">
        <v>7</v>
      </c>
      <c r="CJ84" s="1">
        <v>7</v>
      </c>
      <c r="CK84" s="1">
        <v>7</v>
      </c>
      <c r="CL84" s="1">
        <v>6</v>
      </c>
      <c r="CM84" s="1">
        <v>6</v>
      </c>
      <c r="CN84" s="1">
        <v>7</v>
      </c>
      <c r="CO84" s="1">
        <v>4</v>
      </c>
      <c r="CP84" s="1">
        <v>1</v>
      </c>
      <c r="CQ84" s="1">
        <v>7</v>
      </c>
      <c r="CR84" s="1">
        <v>7</v>
      </c>
      <c r="CS84" s="1">
        <v>7</v>
      </c>
      <c r="CT84" s="1">
        <v>7</v>
      </c>
      <c r="CU84" s="1">
        <v>7</v>
      </c>
      <c r="CV84" s="1">
        <v>7</v>
      </c>
      <c r="CW84" s="1">
        <v>7</v>
      </c>
      <c r="CX84" s="1">
        <v>2</v>
      </c>
      <c r="CY84" s="1">
        <v>7</v>
      </c>
      <c r="CZ84" s="1">
        <v>7</v>
      </c>
      <c r="DA84" s="1">
        <v>7</v>
      </c>
      <c r="DB84" s="1">
        <v>7</v>
      </c>
      <c r="DC84" s="1">
        <v>7</v>
      </c>
      <c r="DD84" s="1">
        <v>7</v>
      </c>
      <c r="DE84" s="1">
        <v>7</v>
      </c>
      <c r="DF84" s="1">
        <v>7</v>
      </c>
      <c r="DG84" s="1">
        <v>1</v>
      </c>
      <c r="DH84" s="1">
        <v>6</v>
      </c>
      <c r="DI84" s="1">
        <v>7</v>
      </c>
      <c r="DJ84" s="1">
        <v>7</v>
      </c>
      <c r="DK84" s="1">
        <v>7</v>
      </c>
      <c r="DL84" s="1">
        <v>6</v>
      </c>
      <c r="DM84" s="19">
        <v>5</v>
      </c>
      <c r="DN84" s="19">
        <v>7</v>
      </c>
      <c r="DO84" s="1">
        <v>1</v>
      </c>
      <c r="DP84" s="1">
        <v>7</v>
      </c>
      <c r="DQ84" s="1">
        <v>7</v>
      </c>
      <c r="DR84" s="1">
        <v>7</v>
      </c>
      <c r="DS84" s="1">
        <v>7</v>
      </c>
      <c r="DT84" s="1">
        <v>7</v>
      </c>
      <c r="DU84" s="27">
        <v>7</v>
      </c>
      <c r="DV84" s="27">
        <v>7</v>
      </c>
      <c r="DW84" s="27">
        <v>7</v>
      </c>
      <c r="DX84" s="27">
        <v>1</v>
      </c>
      <c r="DY84" s="27">
        <v>1</v>
      </c>
      <c r="DZ84" s="27">
        <v>1</v>
      </c>
      <c r="EA84" s="27">
        <v>1</v>
      </c>
      <c r="EB84" s="27">
        <v>7</v>
      </c>
      <c r="EC84" s="27">
        <v>1</v>
      </c>
      <c r="ED84" s="27">
        <v>1</v>
      </c>
      <c r="EE84" s="27">
        <v>1</v>
      </c>
      <c r="EF84" s="27">
        <v>6</v>
      </c>
      <c r="EG84" s="27">
        <v>4</v>
      </c>
      <c r="EH84" s="27">
        <v>7</v>
      </c>
      <c r="EI84" s="27">
        <v>7</v>
      </c>
      <c r="EJ84" s="27">
        <v>1</v>
      </c>
      <c r="EK84" s="27">
        <v>1</v>
      </c>
      <c r="EL84" s="27">
        <v>1</v>
      </c>
      <c r="EM84" s="27">
        <v>1</v>
      </c>
      <c r="EN84" s="27">
        <v>1</v>
      </c>
      <c r="EO84" s="27">
        <v>7</v>
      </c>
      <c r="EP84" s="27">
        <v>7</v>
      </c>
      <c r="EQ84" s="27">
        <v>7</v>
      </c>
      <c r="ER84" s="27">
        <v>1</v>
      </c>
      <c r="ES84" s="27">
        <v>1</v>
      </c>
      <c r="ET84" s="27">
        <v>7</v>
      </c>
      <c r="EU84" s="27">
        <v>7</v>
      </c>
      <c r="EV84" s="1">
        <v>18</v>
      </c>
      <c r="EW84" s="1">
        <v>2</v>
      </c>
      <c r="EY84" s="1">
        <v>2</v>
      </c>
      <c r="EZ84" s="9"/>
      <c r="FA84" s="1">
        <v>1</v>
      </c>
      <c r="FB84" s="9" t="s">
        <v>785</v>
      </c>
      <c r="FC84" s="1">
        <v>1</v>
      </c>
      <c r="FD84" s="1">
        <v>9</v>
      </c>
      <c r="FE84" s="4"/>
      <c r="FF84" s="4"/>
      <c r="FG84" s="4"/>
      <c r="FH84" s="4"/>
      <c r="FI84" s="4"/>
      <c r="FJ84" s="23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26"/>
      <c r="GF84" s="26"/>
      <c r="GG84" s="4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S84" s="3"/>
      <c r="HU84" s="3"/>
      <c r="HX84" s="3"/>
      <c r="IA84" s="3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6"/>
      <c r="JP84" s="6"/>
      <c r="JQ84" s="6"/>
      <c r="JR84" s="6"/>
      <c r="JS84" s="6"/>
      <c r="JT84" s="8"/>
      <c r="JU84" s="8"/>
      <c r="JV84" s="8"/>
      <c r="JW84" s="8"/>
      <c r="JX84" s="8"/>
      <c r="JY84" s="8"/>
      <c r="JZ84" s="8"/>
      <c r="KA84" s="8"/>
      <c r="KB84" s="8"/>
      <c r="KC84" s="6"/>
      <c r="KD84" s="6"/>
      <c r="KE84" s="6"/>
      <c r="KF84" s="6"/>
      <c r="KG84" s="6"/>
      <c r="KH84" s="6"/>
      <c r="KI84" s="6"/>
      <c r="KJ84" s="6"/>
      <c r="KK84" s="6"/>
      <c r="KL84" s="4"/>
      <c r="KM84" s="4"/>
      <c r="KN84" s="6"/>
      <c r="KO84" s="4"/>
      <c r="KP84" s="4"/>
      <c r="KQ84" s="6"/>
      <c r="KR84" s="6"/>
      <c r="KS84" s="4"/>
      <c r="KU84" s="4"/>
      <c r="KV84" s="4"/>
      <c r="KW84" s="4"/>
      <c r="KX84" s="6"/>
      <c r="KY84" s="6"/>
      <c r="KZ84" s="6"/>
      <c r="LA84" s="4"/>
      <c r="LB84" s="6"/>
      <c r="LC84" s="6"/>
      <c r="LD84" s="4"/>
      <c r="LE84" s="4"/>
      <c r="LF84" s="6"/>
      <c r="LG84" s="6"/>
      <c r="LH84" s="6"/>
      <c r="LI84" s="6"/>
      <c r="LJ84" s="6"/>
      <c r="LK84" s="6"/>
      <c r="LL84" s="6"/>
      <c r="LM84" s="6"/>
      <c r="LN84" s="6"/>
      <c r="LO84" s="6"/>
      <c r="LP84" s="6"/>
      <c r="LQ84" s="6"/>
      <c r="LR84" s="6"/>
      <c r="LS84" s="6"/>
      <c r="LT84" s="6"/>
      <c r="LU84" s="6"/>
      <c r="LV84" s="6"/>
      <c r="LW84" s="6"/>
      <c r="LX84" s="6"/>
      <c r="LY84" s="6"/>
      <c r="LZ84" s="6"/>
      <c r="MA84" s="6"/>
      <c r="MB84" s="6"/>
      <c r="MC84" s="6"/>
      <c r="MD84" s="6"/>
      <c r="ME84" s="6"/>
      <c r="MF84" s="6"/>
      <c r="MG84" s="6"/>
      <c r="MH84" s="6"/>
      <c r="MI84" s="6"/>
      <c r="MJ84" s="6"/>
      <c r="MK84" s="6"/>
      <c r="ML84" s="6"/>
      <c r="MM84" s="6"/>
      <c r="MN84" s="6"/>
      <c r="MO84" s="6"/>
      <c r="MP84" s="6"/>
      <c r="MQ84" s="6"/>
      <c r="MR84" s="6"/>
      <c r="MS84" s="6"/>
      <c r="MT84" s="6"/>
      <c r="MU84" s="6"/>
      <c r="MV84" s="6"/>
      <c r="MW84" s="6"/>
      <c r="MX84" s="6"/>
      <c r="MY84" s="6"/>
      <c r="MZ84" s="6"/>
      <c r="NA84" s="6"/>
      <c r="NB84" s="6"/>
      <c r="NC84" s="6"/>
      <c r="ND84" s="6"/>
      <c r="NE84" s="6"/>
      <c r="NF84" s="6"/>
      <c r="NG84" s="6"/>
      <c r="NH84" s="6"/>
      <c r="NI84" s="6"/>
      <c r="NJ84" s="4"/>
    </row>
    <row r="85" spans="1:374" s="1" customFormat="1" x14ac:dyDescent="0.35">
      <c r="A85" s="2">
        <v>43490</v>
      </c>
      <c r="B85" s="15" t="s">
        <v>109</v>
      </c>
      <c r="C85" s="15" t="s">
        <v>246</v>
      </c>
      <c r="D85" s="1">
        <v>84</v>
      </c>
      <c r="E85" s="3">
        <v>2</v>
      </c>
      <c r="F85" s="3">
        <v>2</v>
      </c>
      <c r="G85" s="3"/>
      <c r="H85" s="3">
        <v>21</v>
      </c>
      <c r="I85" s="3">
        <v>4</v>
      </c>
      <c r="J85" s="3"/>
      <c r="K85" s="18">
        <v>0</v>
      </c>
      <c r="L85" s="18">
        <v>0</v>
      </c>
      <c r="M85" s="18">
        <v>1</v>
      </c>
      <c r="N85" s="18">
        <v>1</v>
      </c>
      <c r="O85" s="18">
        <v>0</v>
      </c>
      <c r="P85" s="4">
        <v>0.4</v>
      </c>
      <c r="Q85" s="3">
        <v>54</v>
      </c>
      <c r="R85" s="3">
        <v>76</v>
      </c>
      <c r="S85" s="3">
        <v>68</v>
      </c>
      <c r="T85" s="3">
        <v>69</v>
      </c>
      <c r="U85" s="3">
        <v>77</v>
      </c>
      <c r="V85" s="3">
        <v>60</v>
      </c>
      <c r="W85" s="3">
        <v>66</v>
      </c>
      <c r="X85" s="3">
        <v>67</v>
      </c>
      <c r="Y85" s="3">
        <v>70</v>
      </c>
      <c r="Z85" s="3"/>
      <c r="AA85" s="3"/>
      <c r="AB85" s="3"/>
      <c r="AC85" s="3"/>
      <c r="AD85" s="3"/>
      <c r="AE85" s="3"/>
      <c r="AF85" s="3"/>
      <c r="AG85" s="3"/>
      <c r="AH85" s="3"/>
      <c r="AI85" s="4"/>
      <c r="AJ85" s="4"/>
      <c r="AK85" s="4"/>
      <c r="AL85" s="1">
        <v>2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9">
        <v>0</v>
      </c>
      <c r="AT85" s="19">
        <v>2</v>
      </c>
      <c r="AU85" s="19">
        <v>0</v>
      </c>
      <c r="AV85" s="19">
        <v>0</v>
      </c>
      <c r="AW85" s="19">
        <v>0</v>
      </c>
      <c r="AX85" s="19"/>
      <c r="AY85"/>
      <c r="AZ85"/>
      <c r="BA85"/>
      <c r="BB85"/>
      <c r="BC85"/>
      <c r="BP85" s="4"/>
      <c r="BQ85" s="4"/>
      <c r="BR85" s="4"/>
      <c r="BS85" s="4"/>
      <c r="BT85" s="4"/>
      <c r="BU85" s="4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1">
        <v>7</v>
      </c>
      <c r="CJ85" s="1">
        <v>6</v>
      </c>
      <c r="CK85" s="1">
        <v>7</v>
      </c>
      <c r="CL85" s="1">
        <v>6</v>
      </c>
      <c r="CM85" s="1">
        <v>6</v>
      </c>
      <c r="CN85" s="1">
        <v>6</v>
      </c>
      <c r="CO85" s="1">
        <v>6</v>
      </c>
      <c r="CP85" s="1">
        <v>2</v>
      </c>
      <c r="CQ85" s="1">
        <v>6</v>
      </c>
      <c r="CR85" s="1">
        <v>6</v>
      </c>
      <c r="CS85" s="1">
        <v>6</v>
      </c>
      <c r="CT85" s="1">
        <v>6</v>
      </c>
      <c r="CU85" s="1">
        <v>6</v>
      </c>
      <c r="CV85" s="1">
        <v>6</v>
      </c>
      <c r="CW85" s="1">
        <v>6</v>
      </c>
      <c r="CX85" s="1">
        <v>6</v>
      </c>
      <c r="CY85" s="1">
        <v>6</v>
      </c>
      <c r="CZ85" s="1">
        <v>7</v>
      </c>
      <c r="DA85" s="1">
        <v>1</v>
      </c>
      <c r="DB85" s="1">
        <v>7</v>
      </c>
      <c r="DC85" s="1">
        <v>7</v>
      </c>
      <c r="DD85" s="1">
        <v>6</v>
      </c>
      <c r="DE85" s="1">
        <v>7</v>
      </c>
      <c r="DF85" s="1">
        <v>4</v>
      </c>
      <c r="DG85" s="1">
        <v>4</v>
      </c>
      <c r="DH85" s="1">
        <v>7</v>
      </c>
      <c r="DI85" s="1">
        <v>7</v>
      </c>
      <c r="DJ85" s="1">
        <v>7</v>
      </c>
      <c r="DK85" s="1">
        <v>7</v>
      </c>
      <c r="DL85" s="1">
        <v>5</v>
      </c>
      <c r="DM85" s="19">
        <v>5</v>
      </c>
      <c r="DN85" s="19">
        <v>5</v>
      </c>
      <c r="DO85" s="1">
        <v>4</v>
      </c>
      <c r="DP85" s="1">
        <v>7</v>
      </c>
      <c r="DQ85" s="1">
        <v>7</v>
      </c>
      <c r="DR85" s="1">
        <v>7</v>
      </c>
      <c r="DS85" s="1">
        <v>6</v>
      </c>
      <c r="DT85" s="1">
        <v>6</v>
      </c>
      <c r="DU85" s="27">
        <v>6</v>
      </c>
      <c r="DV85" s="27">
        <v>6</v>
      </c>
      <c r="DW85" s="27">
        <v>6</v>
      </c>
      <c r="DX85" s="27">
        <v>6</v>
      </c>
      <c r="DY85" s="27">
        <v>6</v>
      </c>
      <c r="DZ85" s="27">
        <v>3</v>
      </c>
      <c r="EA85" s="27">
        <v>4</v>
      </c>
      <c r="EB85" s="27">
        <v>6</v>
      </c>
      <c r="EC85" s="27">
        <v>6</v>
      </c>
      <c r="ED85" s="27">
        <v>6</v>
      </c>
      <c r="EE85" s="27">
        <v>6</v>
      </c>
      <c r="EF85" s="27">
        <v>6</v>
      </c>
      <c r="EG85" s="27">
        <v>6</v>
      </c>
      <c r="EH85" s="27">
        <v>6</v>
      </c>
      <c r="EI85" s="27">
        <v>6</v>
      </c>
      <c r="EJ85" s="27">
        <v>6</v>
      </c>
      <c r="EK85" s="27">
        <v>6</v>
      </c>
      <c r="EL85" s="27">
        <v>6</v>
      </c>
      <c r="EM85" s="27">
        <v>2</v>
      </c>
      <c r="EN85" s="27">
        <v>6</v>
      </c>
      <c r="EO85" s="27">
        <v>6</v>
      </c>
      <c r="EP85" s="27">
        <v>6</v>
      </c>
      <c r="EQ85" s="27">
        <v>6</v>
      </c>
      <c r="ER85" s="27">
        <v>6</v>
      </c>
      <c r="ES85" s="27">
        <v>6</v>
      </c>
      <c r="ET85" s="27">
        <v>6</v>
      </c>
      <c r="EU85" s="27">
        <v>6</v>
      </c>
      <c r="EV85" s="1">
        <v>18</v>
      </c>
      <c r="EW85" s="1">
        <v>1</v>
      </c>
      <c r="EY85" s="1">
        <v>1</v>
      </c>
      <c r="EZ85" s="9"/>
      <c r="FA85" s="1">
        <v>1</v>
      </c>
      <c r="FB85" s="9" t="s">
        <v>837</v>
      </c>
      <c r="FC85" s="1">
        <v>0</v>
      </c>
      <c r="FD85" s="1">
        <v>3</v>
      </c>
      <c r="FE85" s="4"/>
      <c r="FF85" s="4"/>
      <c r="FG85" s="4"/>
      <c r="FH85" s="4"/>
      <c r="FI85" s="4"/>
      <c r="FJ85" s="23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26"/>
      <c r="GF85" s="26"/>
      <c r="GG85" s="4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S85" s="3"/>
      <c r="HU85" s="3"/>
      <c r="HX85" s="3"/>
      <c r="IA85" s="3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6"/>
      <c r="JP85" s="6"/>
      <c r="JQ85" s="6"/>
      <c r="JR85" s="6"/>
      <c r="JS85" s="6"/>
      <c r="JT85" s="8"/>
      <c r="JU85" s="8"/>
      <c r="JV85" s="8"/>
      <c r="JW85" s="8"/>
      <c r="JX85" s="8"/>
      <c r="JY85" s="8"/>
      <c r="JZ85" s="8"/>
      <c r="KA85" s="8"/>
      <c r="KB85" s="8"/>
      <c r="KC85" s="6"/>
      <c r="KD85" s="6"/>
      <c r="KE85" s="6"/>
      <c r="KF85" s="6"/>
      <c r="KG85" s="6"/>
      <c r="KH85" s="6"/>
      <c r="KI85" s="6"/>
      <c r="KJ85" s="6"/>
      <c r="KK85" s="6"/>
      <c r="KL85" s="4"/>
      <c r="KM85" s="4"/>
      <c r="KN85" s="6"/>
      <c r="KO85" s="4"/>
      <c r="KP85" s="4"/>
      <c r="KQ85" s="6"/>
      <c r="KR85" s="6"/>
      <c r="KS85" s="4"/>
      <c r="KU85" s="4"/>
      <c r="KV85" s="4"/>
      <c r="KW85" s="4"/>
      <c r="KX85" s="6"/>
      <c r="KY85" s="6"/>
      <c r="KZ85" s="6"/>
      <c r="LA85" s="4"/>
      <c r="LB85" s="6"/>
      <c r="LC85" s="6"/>
      <c r="LD85" s="4"/>
      <c r="LE85" s="4"/>
      <c r="LF85" s="6"/>
      <c r="LG85" s="6"/>
      <c r="LH85" s="6"/>
      <c r="LI85" s="6"/>
      <c r="LJ85" s="6"/>
      <c r="LK85" s="6"/>
      <c r="LL85" s="6"/>
      <c r="LM85" s="6"/>
      <c r="LN85" s="6"/>
      <c r="LO85" s="6"/>
      <c r="LP85" s="6"/>
      <c r="LQ85" s="6"/>
      <c r="LR85" s="6"/>
      <c r="LS85" s="6"/>
      <c r="LT85" s="6"/>
      <c r="LU85" s="6"/>
      <c r="LV85" s="6"/>
      <c r="LW85" s="6"/>
      <c r="LX85" s="6"/>
      <c r="LY85" s="6"/>
      <c r="LZ85" s="6"/>
      <c r="MA85" s="6"/>
      <c r="MB85" s="6"/>
      <c r="MC85" s="6"/>
      <c r="MD85" s="6"/>
      <c r="ME85" s="6"/>
      <c r="MF85" s="6"/>
      <c r="MG85" s="6"/>
      <c r="MH85" s="6"/>
      <c r="MI85" s="6"/>
      <c r="MJ85" s="6"/>
      <c r="MK85" s="6"/>
      <c r="ML85" s="6"/>
      <c r="MM85" s="6"/>
      <c r="MN85" s="6"/>
      <c r="MO85" s="6"/>
      <c r="MP85" s="6"/>
      <c r="MQ85" s="6"/>
      <c r="MR85" s="6"/>
      <c r="MS85" s="6"/>
      <c r="MT85" s="6"/>
      <c r="MU85" s="6"/>
      <c r="MV85" s="6"/>
      <c r="MW85" s="6"/>
      <c r="MX85" s="6"/>
      <c r="MY85" s="6"/>
      <c r="MZ85" s="6"/>
      <c r="NA85" s="6"/>
      <c r="NB85" s="6"/>
      <c r="NC85" s="6"/>
      <c r="ND85" s="6"/>
      <c r="NE85" s="6"/>
      <c r="NF85" s="6"/>
      <c r="NG85" s="6"/>
      <c r="NH85" s="6"/>
      <c r="NI85" s="6"/>
      <c r="NJ85" s="4"/>
    </row>
    <row r="86" spans="1:374" s="1" customFormat="1" x14ac:dyDescent="0.35">
      <c r="A86" s="2">
        <v>43490</v>
      </c>
      <c r="B86" s="15" t="s">
        <v>110</v>
      </c>
      <c r="C86" s="15" t="s">
        <v>247</v>
      </c>
      <c r="D86" s="1">
        <v>85</v>
      </c>
      <c r="E86" s="3">
        <v>2</v>
      </c>
      <c r="F86" s="3">
        <v>2</v>
      </c>
      <c r="G86" s="3">
        <v>1</v>
      </c>
      <c r="H86" s="3">
        <v>22</v>
      </c>
      <c r="I86" s="3">
        <v>1</v>
      </c>
      <c r="J86" s="3">
        <v>1</v>
      </c>
      <c r="K86" s="18">
        <v>0</v>
      </c>
      <c r="L86" s="18">
        <v>1</v>
      </c>
      <c r="M86" s="18">
        <v>1</v>
      </c>
      <c r="N86" s="18">
        <v>1</v>
      </c>
      <c r="O86" s="18">
        <v>0</v>
      </c>
      <c r="P86" s="4">
        <v>0.6</v>
      </c>
      <c r="Q86" s="3">
        <v>45</v>
      </c>
      <c r="R86" s="3">
        <v>72</v>
      </c>
      <c r="S86" s="3">
        <v>103</v>
      </c>
      <c r="T86" s="3">
        <v>72</v>
      </c>
      <c r="U86" s="3">
        <v>103</v>
      </c>
      <c r="V86" s="3">
        <v>57</v>
      </c>
      <c r="W86" s="3">
        <v>36</v>
      </c>
      <c r="X86" s="3">
        <v>52</v>
      </c>
      <c r="Y86" s="3">
        <v>37</v>
      </c>
      <c r="Z86" s="3">
        <v>248</v>
      </c>
      <c r="AA86" s="3">
        <v>342</v>
      </c>
      <c r="AB86" s="3">
        <v>386</v>
      </c>
      <c r="AC86" s="3">
        <v>390</v>
      </c>
      <c r="AD86" s="3">
        <v>380</v>
      </c>
      <c r="AE86" s="3">
        <v>313</v>
      </c>
      <c r="AF86" s="3">
        <v>224</v>
      </c>
      <c r="AG86" s="3">
        <v>228</v>
      </c>
      <c r="AH86" s="3">
        <v>224</v>
      </c>
      <c r="AI86" s="4">
        <v>325.33</v>
      </c>
      <c r="AJ86" s="4">
        <v>361</v>
      </c>
      <c r="AK86" s="4">
        <v>225.33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f t="shared" ref="AX86:BC86" si="42">AL86+AL87+AL88+AL89</f>
        <v>0</v>
      </c>
      <c r="AY86" s="19">
        <f t="shared" si="42"/>
        <v>0</v>
      </c>
      <c r="AZ86" s="19">
        <f t="shared" si="42"/>
        <v>0</v>
      </c>
      <c r="BA86" s="19">
        <f t="shared" si="42"/>
        <v>0</v>
      </c>
      <c r="BB86" s="19">
        <f t="shared" si="42"/>
        <v>0</v>
      </c>
      <c r="BC86" s="19">
        <f t="shared" si="42"/>
        <v>0</v>
      </c>
      <c r="BD86" s="1">
        <f>AX86*3</f>
        <v>0</v>
      </c>
      <c r="BE86" s="1">
        <f t="shared" ref="BE86:BI86" si="43">AY86*3</f>
        <v>0</v>
      </c>
      <c r="BF86" s="1">
        <f t="shared" si="43"/>
        <v>0</v>
      </c>
      <c r="BG86" s="1">
        <f t="shared" si="43"/>
        <v>0</v>
      </c>
      <c r="BH86" s="1">
        <f t="shared" si="43"/>
        <v>0</v>
      </c>
      <c r="BI86" s="1">
        <f t="shared" si="43"/>
        <v>0</v>
      </c>
      <c r="BJ86" s="1">
        <f>AX86+AY86+AZ86</f>
        <v>0</v>
      </c>
      <c r="BK86" s="1">
        <f>BA86+BB86+BC86</f>
        <v>0</v>
      </c>
      <c r="BL86" s="1">
        <f>BJ86*3</f>
        <v>0</v>
      </c>
      <c r="BM86" s="1">
        <f>BK86*3</f>
        <v>0</v>
      </c>
      <c r="BN86" s="1">
        <f>BL86/3</f>
        <v>0</v>
      </c>
      <c r="BO86" s="1">
        <f>BM86/3</f>
        <v>0</v>
      </c>
      <c r="BP86" s="4">
        <v>325.33333333333331</v>
      </c>
      <c r="BQ86" s="4">
        <v>361</v>
      </c>
      <c r="BR86" s="4">
        <v>225.33333333333334</v>
      </c>
      <c r="BS86" s="4">
        <v>325.33</v>
      </c>
      <c r="BT86" s="4">
        <v>361</v>
      </c>
      <c r="BU86" s="4">
        <v>3.14</v>
      </c>
      <c r="BV86" s="3">
        <v>4</v>
      </c>
      <c r="BW86" s="3">
        <v>4</v>
      </c>
      <c r="BX86" s="3">
        <v>4</v>
      </c>
      <c r="BY86" s="3">
        <v>4</v>
      </c>
      <c r="BZ86" s="3">
        <v>1</v>
      </c>
      <c r="CA86" s="3">
        <v>1</v>
      </c>
      <c r="CB86" s="3">
        <v>1</v>
      </c>
      <c r="CC86" s="3">
        <v>1</v>
      </c>
      <c r="CD86" s="3">
        <v>1</v>
      </c>
      <c r="CE86" s="3">
        <v>1</v>
      </c>
      <c r="CF86" s="3">
        <v>1</v>
      </c>
      <c r="CG86" s="3">
        <v>1</v>
      </c>
      <c r="CH86" s="3">
        <v>0</v>
      </c>
      <c r="CI86" s="1">
        <v>7</v>
      </c>
      <c r="CJ86" s="1">
        <v>7</v>
      </c>
      <c r="CK86" s="1">
        <v>7</v>
      </c>
      <c r="CL86" s="1">
        <v>7</v>
      </c>
      <c r="CM86" s="1">
        <v>7</v>
      </c>
      <c r="CN86" s="1">
        <v>7</v>
      </c>
      <c r="CO86" s="1">
        <v>7</v>
      </c>
      <c r="CP86" s="1">
        <v>1</v>
      </c>
      <c r="CQ86" s="1">
        <v>7</v>
      </c>
      <c r="CR86" s="1">
        <v>7</v>
      </c>
      <c r="CS86" s="1">
        <v>7</v>
      </c>
      <c r="CT86" s="1">
        <v>7</v>
      </c>
      <c r="CU86" s="1">
        <v>7</v>
      </c>
      <c r="CV86" s="1">
        <v>7</v>
      </c>
      <c r="CW86" s="1">
        <v>7</v>
      </c>
      <c r="CX86" s="1">
        <v>6</v>
      </c>
      <c r="CY86" s="1">
        <v>7</v>
      </c>
      <c r="CZ86" s="1">
        <v>7</v>
      </c>
      <c r="DA86" s="1">
        <v>7</v>
      </c>
      <c r="DB86" s="1">
        <v>7</v>
      </c>
      <c r="DC86" s="1">
        <v>5</v>
      </c>
      <c r="DD86" s="1">
        <v>6</v>
      </c>
      <c r="DE86" s="1">
        <v>7</v>
      </c>
      <c r="DF86" s="1">
        <v>5</v>
      </c>
      <c r="DG86" s="1">
        <v>2</v>
      </c>
      <c r="DH86" s="1">
        <v>3</v>
      </c>
      <c r="DI86" s="1">
        <v>7</v>
      </c>
      <c r="DJ86" s="1">
        <v>6</v>
      </c>
      <c r="DK86" s="1">
        <v>6</v>
      </c>
      <c r="DL86" s="1">
        <v>6</v>
      </c>
      <c r="DM86" s="19">
        <v>5</v>
      </c>
      <c r="DN86" s="19">
        <v>5</v>
      </c>
      <c r="DO86" s="1">
        <v>2</v>
      </c>
      <c r="DP86" s="1">
        <v>6</v>
      </c>
      <c r="DQ86" s="1">
        <v>6</v>
      </c>
      <c r="DR86" s="1">
        <v>7</v>
      </c>
      <c r="DS86" s="1">
        <v>7</v>
      </c>
      <c r="DT86" s="1">
        <v>7</v>
      </c>
      <c r="DU86" s="27">
        <v>7</v>
      </c>
      <c r="DV86" s="27">
        <v>7</v>
      </c>
      <c r="DW86" s="27">
        <v>6</v>
      </c>
      <c r="DX86" s="27">
        <v>1</v>
      </c>
      <c r="DY86" s="27">
        <v>1</v>
      </c>
      <c r="DZ86" s="27">
        <v>1</v>
      </c>
      <c r="EA86" s="27">
        <v>1</v>
      </c>
      <c r="EB86" s="27">
        <v>1</v>
      </c>
      <c r="EC86" s="27">
        <v>5</v>
      </c>
      <c r="ED86" s="27">
        <v>5</v>
      </c>
      <c r="EE86" s="27">
        <v>7</v>
      </c>
      <c r="EF86" s="27">
        <v>7</v>
      </c>
      <c r="EG86" s="27">
        <v>7</v>
      </c>
      <c r="EH86" s="27">
        <v>7</v>
      </c>
      <c r="EI86" s="27">
        <v>7</v>
      </c>
      <c r="EJ86" s="27">
        <v>7</v>
      </c>
      <c r="EK86" s="27">
        <v>7</v>
      </c>
      <c r="EL86" s="27">
        <v>7</v>
      </c>
      <c r="EM86" s="27">
        <v>1</v>
      </c>
      <c r="EN86" s="27">
        <v>1</v>
      </c>
      <c r="EO86" s="27">
        <v>7</v>
      </c>
      <c r="EP86" s="27">
        <v>7</v>
      </c>
      <c r="EQ86" s="27">
        <v>7</v>
      </c>
      <c r="ER86" s="27">
        <v>7</v>
      </c>
      <c r="ES86" s="27">
        <v>7</v>
      </c>
      <c r="ET86" s="27">
        <v>7</v>
      </c>
      <c r="EU86" s="27">
        <v>4</v>
      </c>
      <c r="EV86" s="1">
        <v>20</v>
      </c>
      <c r="EW86" s="1">
        <v>1</v>
      </c>
      <c r="EY86" s="1">
        <v>2</v>
      </c>
      <c r="EZ86" s="9"/>
      <c r="FA86" s="1">
        <v>3</v>
      </c>
      <c r="FB86" s="9" t="s">
        <v>800</v>
      </c>
      <c r="FC86" s="1">
        <v>1</v>
      </c>
      <c r="FD86" s="1">
        <v>9</v>
      </c>
      <c r="FE86" s="4">
        <v>6.68</v>
      </c>
      <c r="FF86" s="4">
        <v>6.75</v>
      </c>
      <c r="FG86" s="4">
        <v>7.94</v>
      </c>
      <c r="FH86" s="4">
        <v>6.83</v>
      </c>
      <c r="FI86" s="4">
        <v>6.38</v>
      </c>
      <c r="FJ86" s="23">
        <v>7</v>
      </c>
      <c r="FK86" s="4">
        <v>5.83</v>
      </c>
      <c r="FL86" s="4">
        <v>6.5</v>
      </c>
      <c r="FM86" s="4">
        <v>5.38</v>
      </c>
      <c r="FN86" s="4">
        <v>6.5</v>
      </c>
      <c r="FO86" s="4">
        <v>6.42</v>
      </c>
      <c r="FP86" s="4">
        <v>6.5</v>
      </c>
      <c r="FQ86" s="4">
        <v>2.75</v>
      </c>
      <c r="FR86" s="4">
        <v>1.75</v>
      </c>
      <c r="FS86" s="4">
        <v>4.5</v>
      </c>
      <c r="FT86" s="4">
        <v>4.75</v>
      </c>
      <c r="FU86" s="4">
        <v>5.25</v>
      </c>
      <c r="FV86" s="4">
        <v>6.75</v>
      </c>
      <c r="FW86" s="4">
        <v>5.75</v>
      </c>
      <c r="FX86" s="4">
        <v>6.75</v>
      </c>
      <c r="FY86" s="4">
        <v>6.75</v>
      </c>
      <c r="FZ86" s="4">
        <v>6.83</v>
      </c>
      <c r="GA86" s="4">
        <v>1.75</v>
      </c>
      <c r="GB86" s="4">
        <v>6.5</v>
      </c>
      <c r="GC86" s="4">
        <v>6.75</v>
      </c>
      <c r="GD86" s="4">
        <v>5.38</v>
      </c>
      <c r="GE86" s="26"/>
      <c r="GF86" s="26"/>
      <c r="GG86" s="4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S86" s="3"/>
      <c r="HU86" s="3"/>
      <c r="HX86" s="3"/>
      <c r="IA86" s="3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3"/>
      <c r="JP86" s="3"/>
      <c r="JQ86" s="4"/>
      <c r="JR86" s="5"/>
      <c r="JS86" s="5"/>
      <c r="JT86" s="8"/>
      <c r="JU86" s="8"/>
      <c r="JV86" s="8"/>
      <c r="JW86" s="8"/>
      <c r="JX86" s="8"/>
      <c r="JY86" s="8"/>
      <c r="JZ86" s="8"/>
      <c r="KA86" s="8"/>
      <c r="KB86" s="8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</row>
    <row r="87" spans="1:374" s="1" customFormat="1" x14ac:dyDescent="0.35">
      <c r="A87" s="2">
        <v>43490</v>
      </c>
      <c r="B87" s="15" t="s">
        <v>110</v>
      </c>
      <c r="C87" s="15" t="s">
        <v>248</v>
      </c>
      <c r="D87" s="1">
        <v>86</v>
      </c>
      <c r="E87" s="3">
        <v>2</v>
      </c>
      <c r="F87" s="3">
        <v>2</v>
      </c>
      <c r="G87" s="3"/>
      <c r="H87" s="3">
        <v>22</v>
      </c>
      <c r="I87" s="3">
        <v>2</v>
      </c>
      <c r="J87" s="3"/>
      <c r="K87" s="18">
        <v>0</v>
      </c>
      <c r="L87" s="18">
        <v>1</v>
      </c>
      <c r="M87" s="18">
        <v>1</v>
      </c>
      <c r="N87" s="18">
        <v>1</v>
      </c>
      <c r="O87" s="18">
        <v>0</v>
      </c>
      <c r="P87" s="4">
        <v>0.6</v>
      </c>
      <c r="Q87" s="3">
        <v>80</v>
      </c>
      <c r="R87" s="3">
        <v>88</v>
      </c>
      <c r="S87" s="3">
        <v>111</v>
      </c>
      <c r="T87" s="3">
        <v>141</v>
      </c>
      <c r="U87" s="3">
        <v>119</v>
      </c>
      <c r="V87" s="3">
        <v>89</v>
      </c>
      <c r="W87" s="3">
        <v>89</v>
      </c>
      <c r="X87" s="3">
        <v>85</v>
      </c>
      <c r="Y87" s="3">
        <v>75</v>
      </c>
      <c r="Z87" s="3"/>
      <c r="AA87" s="3"/>
      <c r="AB87" s="3"/>
      <c r="AC87" s="3"/>
      <c r="AD87" s="3"/>
      <c r="AE87" s="3"/>
      <c r="AF87" s="3"/>
      <c r="AG87" s="3"/>
      <c r="AH87" s="3"/>
      <c r="AI87" s="4"/>
      <c r="AJ87" s="4"/>
      <c r="AK87" s="4"/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/>
      <c r="AY87"/>
      <c r="AZ87"/>
      <c r="BA87"/>
      <c r="BB87"/>
      <c r="BC87"/>
      <c r="BP87" s="4"/>
      <c r="BQ87" s="4"/>
      <c r="BR87" s="4"/>
      <c r="BS87" s="4"/>
      <c r="BT87" s="4"/>
      <c r="BU87" s="4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1">
        <v>7</v>
      </c>
      <c r="CJ87" s="1">
        <v>7</v>
      </c>
      <c r="CK87" s="1">
        <v>7</v>
      </c>
      <c r="CL87" s="1">
        <v>6</v>
      </c>
      <c r="CM87" s="1">
        <v>6</v>
      </c>
      <c r="CN87" s="1">
        <v>6</v>
      </c>
      <c r="CO87" s="1">
        <v>6</v>
      </c>
      <c r="CP87" s="1">
        <v>1</v>
      </c>
      <c r="CQ87" s="1">
        <v>7</v>
      </c>
      <c r="CR87" s="1">
        <v>7</v>
      </c>
      <c r="CS87" s="1">
        <v>7</v>
      </c>
      <c r="CT87" s="1">
        <v>7</v>
      </c>
      <c r="CU87" s="1">
        <v>7</v>
      </c>
      <c r="CV87" s="1">
        <v>7</v>
      </c>
      <c r="CW87" s="1">
        <v>7</v>
      </c>
      <c r="CX87" s="1">
        <v>7</v>
      </c>
      <c r="CY87" s="1">
        <v>7</v>
      </c>
      <c r="CZ87" s="1">
        <v>6</v>
      </c>
      <c r="DA87" s="1">
        <v>7</v>
      </c>
      <c r="DB87" s="1">
        <v>6</v>
      </c>
      <c r="DC87" s="1">
        <v>6</v>
      </c>
      <c r="DD87" s="1">
        <v>6</v>
      </c>
      <c r="DE87" s="1">
        <v>7</v>
      </c>
      <c r="DF87" s="1">
        <v>7</v>
      </c>
      <c r="DG87" s="1">
        <v>6</v>
      </c>
      <c r="DH87" s="1">
        <v>6</v>
      </c>
      <c r="DI87" s="1">
        <v>6</v>
      </c>
      <c r="DJ87" s="1">
        <v>6</v>
      </c>
      <c r="DK87" s="1">
        <v>6</v>
      </c>
      <c r="DL87" s="1">
        <v>7</v>
      </c>
      <c r="DM87" s="19">
        <v>6</v>
      </c>
      <c r="DN87" s="19">
        <v>6</v>
      </c>
      <c r="DO87" s="1">
        <v>6</v>
      </c>
      <c r="DP87" s="1">
        <v>6</v>
      </c>
      <c r="DQ87" s="1">
        <v>7</v>
      </c>
      <c r="DR87" s="1">
        <v>7</v>
      </c>
      <c r="DS87" s="1">
        <v>7</v>
      </c>
      <c r="DT87" s="1">
        <v>7</v>
      </c>
      <c r="DU87" s="27">
        <v>7</v>
      </c>
      <c r="DV87" s="27">
        <v>7</v>
      </c>
      <c r="DW87" s="27">
        <v>4</v>
      </c>
      <c r="DX87" s="27">
        <v>6</v>
      </c>
      <c r="DY87" s="27">
        <v>1</v>
      </c>
      <c r="DZ87" s="27">
        <v>4</v>
      </c>
      <c r="EA87" s="27">
        <v>2</v>
      </c>
      <c r="EB87" s="27">
        <v>6</v>
      </c>
      <c r="EC87" s="27">
        <v>6</v>
      </c>
      <c r="ED87" s="27">
        <v>6</v>
      </c>
      <c r="EE87" s="27">
        <v>6</v>
      </c>
      <c r="EF87" s="27">
        <v>6</v>
      </c>
      <c r="EG87" s="27">
        <v>6</v>
      </c>
      <c r="EH87" s="27">
        <v>6</v>
      </c>
      <c r="EI87" s="27">
        <v>6</v>
      </c>
      <c r="EJ87" s="27">
        <v>6</v>
      </c>
      <c r="EK87" s="27">
        <v>7</v>
      </c>
      <c r="EL87" s="27">
        <v>6</v>
      </c>
      <c r="EM87" s="27">
        <v>2</v>
      </c>
      <c r="EN87" s="27">
        <v>6</v>
      </c>
      <c r="EO87" s="27">
        <v>7</v>
      </c>
      <c r="EP87" s="27">
        <v>7</v>
      </c>
      <c r="EQ87" s="27">
        <v>7</v>
      </c>
      <c r="ER87" s="27">
        <v>6</v>
      </c>
      <c r="ES87" s="27">
        <v>6</v>
      </c>
      <c r="ET87" s="27">
        <v>7</v>
      </c>
      <c r="EU87" s="27">
        <v>7</v>
      </c>
      <c r="EV87" s="1">
        <v>18</v>
      </c>
      <c r="EW87" s="1">
        <v>1</v>
      </c>
      <c r="EY87" s="1">
        <v>2</v>
      </c>
      <c r="EZ87" s="9"/>
      <c r="FA87" s="1">
        <v>1</v>
      </c>
      <c r="FB87" s="9" t="s">
        <v>838</v>
      </c>
      <c r="FC87" s="1">
        <v>1</v>
      </c>
      <c r="FD87" s="1">
        <v>2</v>
      </c>
      <c r="FE87" s="4"/>
      <c r="FF87" s="4"/>
      <c r="FG87" s="4"/>
      <c r="FH87" s="4"/>
      <c r="FI87" s="4"/>
      <c r="FJ87" s="23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26"/>
      <c r="GF87" s="26"/>
      <c r="GG87" s="4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S87" s="3"/>
      <c r="HU87" s="3"/>
      <c r="HX87" s="3"/>
      <c r="IA87" s="3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6"/>
      <c r="JP87" s="6"/>
      <c r="JQ87" s="6"/>
      <c r="JR87" s="6"/>
      <c r="JS87" s="6"/>
      <c r="JT87" s="8"/>
      <c r="JU87" s="8"/>
      <c r="JV87" s="8"/>
      <c r="JW87" s="8"/>
      <c r="JX87" s="8"/>
      <c r="JY87" s="8"/>
      <c r="JZ87" s="8"/>
      <c r="KA87" s="8"/>
      <c r="KB87" s="8"/>
      <c r="KC87" s="6"/>
      <c r="KD87" s="6"/>
      <c r="KE87" s="6"/>
      <c r="KF87" s="6"/>
      <c r="KG87" s="6"/>
      <c r="KH87" s="6"/>
      <c r="KI87" s="6"/>
      <c r="KJ87" s="6"/>
      <c r="KK87" s="6"/>
      <c r="KL87" s="4"/>
      <c r="KM87" s="4"/>
      <c r="KN87" s="6"/>
      <c r="KO87" s="4"/>
      <c r="KP87" s="4"/>
      <c r="KQ87" s="6"/>
      <c r="KR87" s="6"/>
      <c r="KS87" s="4"/>
      <c r="KU87" s="4"/>
      <c r="KV87" s="4"/>
      <c r="KW87" s="4"/>
      <c r="KX87" s="6"/>
      <c r="KY87" s="6"/>
      <c r="KZ87" s="6"/>
      <c r="LA87" s="4"/>
      <c r="LB87" s="6"/>
      <c r="LC87" s="6"/>
      <c r="LD87" s="4"/>
      <c r="LE87" s="4"/>
      <c r="LF87" s="6"/>
      <c r="LG87" s="6"/>
      <c r="LH87" s="6"/>
      <c r="LI87" s="6"/>
      <c r="LJ87" s="6"/>
      <c r="LK87" s="6"/>
      <c r="LL87" s="6"/>
      <c r="LM87" s="6"/>
      <c r="LN87" s="6"/>
      <c r="LO87" s="6"/>
      <c r="LP87" s="6"/>
      <c r="LQ87" s="6"/>
      <c r="LR87" s="6"/>
      <c r="LS87" s="6"/>
      <c r="LT87" s="6"/>
      <c r="LU87" s="6"/>
      <c r="LV87" s="6"/>
      <c r="LW87" s="6"/>
      <c r="LX87" s="6"/>
      <c r="LY87" s="6"/>
      <c r="LZ87" s="6"/>
      <c r="MA87" s="6"/>
      <c r="MB87" s="6"/>
      <c r="MC87" s="6"/>
      <c r="MD87" s="6"/>
      <c r="ME87" s="6"/>
      <c r="MF87" s="6"/>
      <c r="MG87" s="6"/>
      <c r="MH87" s="6"/>
      <c r="MI87" s="6"/>
      <c r="MJ87" s="6"/>
      <c r="MK87" s="6"/>
      <c r="ML87" s="6"/>
      <c r="MM87" s="6"/>
      <c r="MN87" s="6"/>
      <c r="MO87" s="6"/>
      <c r="MP87" s="6"/>
      <c r="MQ87" s="6"/>
      <c r="MR87" s="6"/>
      <c r="MS87" s="6"/>
      <c r="MT87" s="6"/>
      <c r="MU87" s="6"/>
      <c r="MV87" s="6"/>
      <c r="MW87" s="6"/>
      <c r="MX87" s="6"/>
      <c r="MY87" s="6"/>
      <c r="MZ87" s="6"/>
      <c r="NA87" s="6"/>
      <c r="NB87" s="6"/>
      <c r="NC87" s="6"/>
      <c r="ND87" s="6"/>
      <c r="NE87" s="6"/>
      <c r="NF87" s="6"/>
      <c r="NG87" s="6"/>
      <c r="NH87" s="6"/>
      <c r="NI87" s="6"/>
      <c r="NJ87" s="4"/>
    </row>
    <row r="88" spans="1:374" s="1" customFormat="1" x14ac:dyDescent="0.35">
      <c r="A88" s="2">
        <v>43490</v>
      </c>
      <c r="B88" s="15" t="s">
        <v>110</v>
      </c>
      <c r="C88" s="15" t="s">
        <v>249</v>
      </c>
      <c r="D88" s="1">
        <v>87</v>
      </c>
      <c r="E88" s="3">
        <v>2</v>
      </c>
      <c r="F88" s="3">
        <v>2</v>
      </c>
      <c r="G88" s="3"/>
      <c r="H88" s="3">
        <v>22</v>
      </c>
      <c r="I88" s="3">
        <v>3</v>
      </c>
      <c r="J88" s="3"/>
      <c r="K88" s="18">
        <v>0</v>
      </c>
      <c r="L88" s="18">
        <v>1</v>
      </c>
      <c r="M88" s="18">
        <v>1</v>
      </c>
      <c r="N88" s="18">
        <v>1</v>
      </c>
      <c r="O88" s="18">
        <v>0</v>
      </c>
      <c r="P88" s="4">
        <v>0.6</v>
      </c>
      <c r="Q88" s="3">
        <v>47</v>
      </c>
      <c r="R88" s="3">
        <v>106</v>
      </c>
      <c r="S88" s="3">
        <v>99</v>
      </c>
      <c r="T88" s="3">
        <v>96</v>
      </c>
      <c r="U88" s="3">
        <v>58</v>
      </c>
      <c r="V88" s="3">
        <v>78</v>
      </c>
      <c r="W88" s="3">
        <v>55</v>
      </c>
      <c r="X88" s="3">
        <v>45</v>
      </c>
      <c r="Y88" s="3">
        <v>61</v>
      </c>
      <c r="Z88" s="3"/>
      <c r="AA88" s="3"/>
      <c r="AB88" s="3"/>
      <c r="AC88" s="3"/>
      <c r="AD88" s="3"/>
      <c r="AE88" s="3"/>
      <c r="AF88" s="3"/>
      <c r="AG88" s="3"/>
      <c r="AH88" s="3"/>
      <c r="AI88" s="4"/>
      <c r="AJ88" s="4"/>
      <c r="AK88" s="4"/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/>
      <c r="AY88"/>
      <c r="AZ88"/>
      <c r="BA88"/>
      <c r="BB88"/>
      <c r="BC88"/>
      <c r="BP88" s="4"/>
      <c r="BQ88" s="4"/>
      <c r="BR88" s="4"/>
      <c r="BS88" s="4"/>
      <c r="BT88" s="4"/>
      <c r="BU88" s="4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1">
        <v>7</v>
      </c>
      <c r="CJ88" s="1">
        <v>7</v>
      </c>
      <c r="CK88" s="1">
        <v>7</v>
      </c>
      <c r="CL88" s="1">
        <v>7</v>
      </c>
      <c r="CM88" s="1">
        <v>6</v>
      </c>
      <c r="CN88" s="1">
        <v>7</v>
      </c>
      <c r="CO88" s="1">
        <v>7</v>
      </c>
      <c r="CP88" s="1">
        <v>2</v>
      </c>
      <c r="CQ88" s="1">
        <v>7</v>
      </c>
      <c r="CR88" s="1">
        <v>7</v>
      </c>
      <c r="CS88" s="1">
        <v>7</v>
      </c>
      <c r="CT88" s="1">
        <v>6</v>
      </c>
      <c r="CU88" s="1">
        <v>7</v>
      </c>
      <c r="CV88" s="1">
        <v>7</v>
      </c>
      <c r="CW88" s="1">
        <v>4</v>
      </c>
      <c r="CX88" s="1">
        <v>7</v>
      </c>
      <c r="CY88" s="1">
        <v>7</v>
      </c>
      <c r="CZ88" s="1">
        <v>7</v>
      </c>
      <c r="DA88" s="1">
        <v>7</v>
      </c>
      <c r="DB88" s="1">
        <v>7</v>
      </c>
      <c r="DC88" s="1">
        <v>7</v>
      </c>
      <c r="DD88" s="1">
        <v>7</v>
      </c>
      <c r="DE88" s="1">
        <v>7</v>
      </c>
      <c r="DF88" s="1">
        <v>6</v>
      </c>
      <c r="DG88" s="1">
        <v>4</v>
      </c>
      <c r="DH88" s="1">
        <v>4</v>
      </c>
      <c r="DI88" s="1">
        <v>6</v>
      </c>
      <c r="DJ88" s="1">
        <v>6</v>
      </c>
      <c r="DK88" s="1">
        <v>6</v>
      </c>
      <c r="DL88" s="1">
        <v>7</v>
      </c>
      <c r="DM88" s="19">
        <v>7</v>
      </c>
      <c r="DN88" s="19">
        <v>6</v>
      </c>
      <c r="DO88" s="1">
        <v>4</v>
      </c>
      <c r="DP88" s="1">
        <v>7</v>
      </c>
      <c r="DQ88" s="1">
        <v>7</v>
      </c>
      <c r="DR88" s="1">
        <v>6</v>
      </c>
      <c r="DS88" s="1">
        <v>7</v>
      </c>
      <c r="DT88" s="1">
        <v>7</v>
      </c>
      <c r="DU88" s="27">
        <v>7</v>
      </c>
      <c r="DV88" s="27">
        <v>7</v>
      </c>
      <c r="DW88" s="27">
        <v>7</v>
      </c>
      <c r="DX88" s="27">
        <v>4</v>
      </c>
      <c r="DY88" s="27">
        <v>4</v>
      </c>
      <c r="DZ88" s="27">
        <v>4</v>
      </c>
      <c r="EA88" s="27">
        <v>2</v>
      </c>
      <c r="EB88" s="27">
        <v>4</v>
      </c>
      <c r="EC88" s="27">
        <v>4</v>
      </c>
      <c r="ED88" s="27">
        <v>4</v>
      </c>
      <c r="EE88" s="27">
        <v>7</v>
      </c>
      <c r="EF88" s="27">
        <v>4</v>
      </c>
      <c r="EG88" s="27">
        <v>7</v>
      </c>
      <c r="EH88" s="27">
        <v>7</v>
      </c>
      <c r="EI88" s="27">
        <v>7</v>
      </c>
      <c r="EJ88" s="27">
        <v>7</v>
      </c>
      <c r="EK88" s="27">
        <v>7</v>
      </c>
      <c r="EL88" s="27">
        <v>7</v>
      </c>
      <c r="EM88" s="27">
        <v>1</v>
      </c>
      <c r="EN88" s="27">
        <v>1</v>
      </c>
      <c r="EO88" s="27">
        <v>7</v>
      </c>
      <c r="EP88" s="27">
        <v>7</v>
      </c>
      <c r="EQ88" s="27">
        <v>7</v>
      </c>
      <c r="ER88" s="27">
        <v>7</v>
      </c>
      <c r="ES88" s="27">
        <v>7</v>
      </c>
      <c r="ET88" s="27">
        <v>6</v>
      </c>
      <c r="EU88" s="27">
        <v>7</v>
      </c>
      <c r="EV88" s="1">
        <v>20</v>
      </c>
      <c r="EW88" s="1">
        <v>1</v>
      </c>
      <c r="EY88" s="1">
        <v>1</v>
      </c>
      <c r="EZ88" s="9"/>
      <c r="FA88" s="1">
        <v>2</v>
      </c>
      <c r="FB88" s="9" t="s">
        <v>839</v>
      </c>
      <c r="FC88" s="1">
        <v>1</v>
      </c>
      <c r="FD88" s="1">
        <v>6</v>
      </c>
      <c r="FE88" s="4"/>
      <c r="FF88" s="4"/>
      <c r="FG88" s="4"/>
      <c r="FH88" s="4"/>
      <c r="FI88" s="4"/>
      <c r="FJ88" s="23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26"/>
      <c r="GF88" s="26"/>
      <c r="GG88" s="4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S88" s="3"/>
      <c r="HU88" s="3"/>
      <c r="HX88" s="3"/>
      <c r="IA88" s="3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6"/>
      <c r="JP88" s="6"/>
      <c r="JQ88" s="6"/>
      <c r="JR88" s="6"/>
      <c r="JS88" s="6"/>
      <c r="JT88" s="8"/>
      <c r="JU88" s="8"/>
      <c r="JV88" s="8"/>
      <c r="JW88" s="8"/>
      <c r="JX88" s="8"/>
      <c r="JY88" s="8"/>
      <c r="JZ88" s="8"/>
      <c r="KA88" s="8"/>
      <c r="KB88" s="8"/>
      <c r="KC88" s="6"/>
      <c r="KD88" s="6"/>
      <c r="KE88" s="6"/>
      <c r="KF88" s="6"/>
      <c r="KG88" s="6"/>
      <c r="KH88" s="6"/>
      <c r="KI88" s="6"/>
      <c r="KJ88" s="6"/>
      <c r="KK88" s="6"/>
      <c r="KL88" s="4"/>
      <c r="KM88" s="4"/>
      <c r="KN88" s="6"/>
      <c r="KO88" s="4"/>
      <c r="KP88" s="4"/>
      <c r="KQ88" s="6"/>
      <c r="KR88" s="6"/>
      <c r="KS88" s="4"/>
      <c r="KU88" s="4"/>
      <c r="KV88" s="4"/>
      <c r="KW88" s="4"/>
      <c r="KX88" s="6"/>
      <c r="KY88" s="6"/>
      <c r="KZ88" s="6"/>
      <c r="LA88" s="4"/>
      <c r="LB88" s="6"/>
      <c r="LC88" s="6"/>
      <c r="LD88" s="4"/>
      <c r="LE88" s="4"/>
      <c r="LF88" s="6"/>
      <c r="LG88" s="6"/>
      <c r="LH88" s="6"/>
      <c r="LI88" s="6"/>
      <c r="LJ88" s="6"/>
      <c r="LK88" s="6"/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  <c r="ML88" s="6"/>
      <c r="MM88" s="6"/>
      <c r="MN88" s="6"/>
      <c r="MO88" s="6"/>
      <c r="MP88" s="6"/>
      <c r="MQ88" s="6"/>
      <c r="MR88" s="6"/>
      <c r="MS88" s="6"/>
      <c r="MT88" s="6"/>
      <c r="MU88" s="6"/>
      <c r="MV88" s="6"/>
      <c r="MW88" s="6"/>
      <c r="MX88" s="6"/>
      <c r="MY88" s="6"/>
      <c r="MZ88" s="6"/>
      <c r="NA88" s="6"/>
      <c r="NB88" s="6"/>
      <c r="NC88" s="6"/>
      <c r="ND88" s="6"/>
      <c r="NE88" s="6"/>
      <c r="NF88" s="6"/>
      <c r="NG88" s="6"/>
      <c r="NH88" s="6"/>
      <c r="NI88" s="6"/>
      <c r="NJ88" s="4"/>
    </row>
    <row r="89" spans="1:374" s="1" customFormat="1" x14ac:dyDescent="0.35">
      <c r="A89" s="2">
        <v>43490</v>
      </c>
      <c r="B89" s="15" t="s">
        <v>110</v>
      </c>
      <c r="C89" s="15" t="s">
        <v>250</v>
      </c>
      <c r="D89" s="1">
        <v>88</v>
      </c>
      <c r="E89" s="3">
        <v>2</v>
      </c>
      <c r="F89" s="3">
        <v>2</v>
      </c>
      <c r="G89" s="3"/>
      <c r="H89" s="3">
        <v>22</v>
      </c>
      <c r="I89" s="3">
        <v>4</v>
      </c>
      <c r="J89" s="3"/>
      <c r="K89" s="18">
        <v>0</v>
      </c>
      <c r="L89" s="18">
        <v>1</v>
      </c>
      <c r="M89" s="18">
        <v>1</v>
      </c>
      <c r="N89" s="18">
        <v>1</v>
      </c>
      <c r="O89" s="18">
        <v>0</v>
      </c>
      <c r="P89" s="4">
        <v>0.6</v>
      </c>
      <c r="Q89" s="3">
        <v>76</v>
      </c>
      <c r="R89" s="3">
        <v>76</v>
      </c>
      <c r="S89" s="3">
        <v>73</v>
      </c>
      <c r="T89" s="3">
        <v>81</v>
      </c>
      <c r="U89" s="3">
        <v>100</v>
      </c>
      <c r="V89" s="3">
        <v>89</v>
      </c>
      <c r="W89" s="3">
        <v>44</v>
      </c>
      <c r="X89" s="3">
        <v>46</v>
      </c>
      <c r="Y89" s="3">
        <v>51</v>
      </c>
      <c r="Z89" s="3"/>
      <c r="AA89" s="3"/>
      <c r="AB89" s="3"/>
      <c r="AC89" s="3"/>
      <c r="AD89" s="3"/>
      <c r="AE89" s="3"/>
      <c r="AF89" s="3"/>
      <c r="AG89" s="3"/>
      <c r="AH89" s="3"/>
      <c r="AI89" s="4"/>
      <c r="AJ89" s="4"/>
      <c r="AK89" s="4"/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/>
      <c r="AY89"/>
      <c r="AZ89"/>
      <c r="BA89"/>
      <c r="BB89"/>
      <c r="BC89"/>
      <c r="BP89" s="4"/>
      <c r="BQ89" s="4"/>
      <c r="BR89" s="4"/>
      <c r="BS89" s="4"/>
      <c r="BT89" s="4"/>
      <c r="BU89" s="4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1">
        <v>6</v>
      </c>
      <c r="CJ89" s="1">
        <v>7</v>
      </c>
      <c r="CK89" s="1">
        <v>7</v>
      </c>
      <c r="CL89" s="1">
        <v>7</v>
      </c>
      <c r="CM89" s="1">
        <v>7</v>
      </c>
      <c r="CN89" s="1">
        <v>7</v>
      </c>
      <c r="CO89" s="1">
        <v>4</v>
      </c>
      <c r="CP89" s="1">
        <v>2</v>
      </c>
      <c r="CQ89" s="1">
        <v>6</v>
      </c>
      <c r="CR89" s="1">
        <v>7</v>
      </c>
      <c r="CS89" s="1">
        <v>6</v>
      </c>
      <c r="CT89" s="1">
        <v>6</v>
      </c>
      <c r="CU89" s="1">
        <v>5</v>
      </c>
      <c r="CV89" s="1">
        <v>3</v>
      </c>
      <c r="CW89" s="1">
        <v>5</v>
      </c>
      <c r="CX89" s="1">
        <v>6</v>
      </c>
      <c r="CY89" s="1">
        <v>7</v>
      </c>
      <c r="CZ89" s="1">
        <v>7</v>
      </c>
      <c r="DA89" s="1">
        <v>7</v>
      </c>
      <c r="DB89" s="1">
        <v>7</v>
      </c>
      <c r="DC89" s="1">
        <v>7</v>
      </c>
      <c r="DD89" s="1">
        <v>7</v>
      </c>
      <c r="DE89" s="1">
        <v>7</v>
      </c>
      <c r="DF89" s="1">
        <v>7</v>
      </c>
      <c r="DG89" s="1">
        <v>7</v>
      </c>
      <c r="DH89" s="1">
        <v>7</v>
      </c>
      <c r="DI89" s="1">
        <v>7</v>
      </c>
      <c r="DJ89" s="1">
        <v>7</v>
      </c>
      <c r="DK89" s="1">
        <v>7</v>
      </c>
      <c r="DL89" s="1">
        <v>7</v>
      </c>
      <c r="DM89" s="19">
        <v>7</v>
      </c>
      <c r="DN89" s="19">
        <v>7</v>
      </c>
      <c r="DO89" s="1">
        <v>7</v>
      </c>
      <c r="DP89" s="1">
        <v>6</v>
      </c>
      <c r="DQ89" s="1">
        <v>7</v>
      </c>
      <c r="DR89" s="1">
        <v>3</v>
      </c>
      <c r="DS89" s="1">
        <v>7</v>
      </c>
      <c r="DT89" s="1">
        <v>5</v>
      </c>
      <c r="DU89" s="27">
        <v>7</v>
      </c>
      <c r="DV89" s="27">
        <v>7</v>
      </c>
      <c r="DW89" s="27">
        <v>5</v>
      </c>
      <c r="DX89" s="27">
        <v>1</v>
      </c>
      <c r="DY89" s="27">
        <v>4</v>
      </c>
      <c r="DZ89" s="27">
        <v>1</v>
      </c>
      <c r="EA89" s="27">
        <v>2</v>
      </c>
      <c r="EB89" s="27">
        <v>7</v>
      </c>
      <c r="EC89" s="27">
        <v>4</v>
      </c>
      <c r="ED89" s="27">
        <v>6</v>
      </c>
      <c r="EE89" s="27">
        <v>7</v>
      </c>
      <c r="EF89" s="27">
        <v>6</v>
      </c>
      <c r="EG89" s="27">
        <v>7</v>
      </c>
      <c r="EH89" s="27">
        <v>7</v>
      </c>
      <c r="EI89" s="27">
        <v>7</v>
      </c>
      <c r="EJ89" s="27">
        <v>7</v>
      </c>
      <c r="EK89" s="27">
        <v>7</v>
      </c>
      <c r="EL89" s="27">
        <v>7</v>
      </c>
      <c r="EM89" s="27">
        <v>1</v>
      </c>
      <c r="EN89" s="27">
        <v>1</v>
      </c>
      <c r="EO89" s="27">
        <v>7</v>
      </c>
      <c r="EP89" s="27">
        <v>7</v>
      </c>
      <c r="EQ89" s="27">
        <v>1</v>
      </c>
      <c r="ER89" s="27">
        <v>7</v>
      </c>
      <c r="ES89" s="27">
        <v>7</v>
      </c>
      <c r="ET89" s="27">
        <v>1</v>
      </c>
      <c r="EU89" s="27">
        <v>4</v>
      </c>
      <c r="EV89" s="1">
        <v>19</v>
      </c>
      <c r="EW89" s="1">
        <v>2</v>
      </c>
      <c r="EY89" s="1">
        <v>1</v>
      </c>
      <c r="EZ89" s="9"/>
      <c r="FA89" s="1">
        <v>1</v>
      </c>
      <c r="FB89" s="9" t="s">
        <v>840</v>
      </c>
      <c r="FC89" s="1">
        <v>1</v>
      </c>
      <c r="FD89" s="1">
        <v>4</v>
      </c>
      <c r="FE89" s="4"/>
      <c r="FF89" s="4"/>
      <c r="FG89" s="4"/>
      <c r="FH89" s="4"/>
      <c r="FI89" s="4"/>
      <c r="FJ89" s="23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26"/>
      <c r="GF89" s="26"/>
      <c r="GG89" s="4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S89" s="3"/>
      <c r="HU89" s="3"/>
      <c r="HX89" s="3"/>
      <c r="IA89" s="3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6"/>
      <c r="JP89" s="6"/>
      <c r="JQ89" s="6"/>
      <c r="JR89" s="6"/>
      <c r="JS89" s="6"/>
      <c r="JT89" s="8"/>
      <c r="JU89" s="8"/>
      <c r="JV89" s="8"/>
      <c r="JW89" s="8"/>
      <c r="JX89" s="8"/>
      <c r="JY89" s="8"/>
      <c r="JZ89" s="8"/>
      <c r="KA89" s="8"/>
      <c r="KB89" s="8"/>
      <c r="KC89" s="6"/>
      <c r="KD89" s="6"/>
      <c r="KE89" s="6"/>
      <c r="KF89" s="6"/>
      <c r="KG89" s="6"/>
      <c r="KH89" s="6"/>
      <c r="KI89" s="6"/>
      <c r="KJ89" s="6"/>
      <c r="KK89" s="6"/>
      <c r="KL89" s="4"/>
      <c r="KM89" s="4"/>
      <c r="KN89" s="6"/>
      <c r="KO89" s="4"/>
      <c r="KP89" s="4"/>
      <c r="KQ89" s="6"/>
      <c r="KR89" s="6"/>
      <c r="KS89" s="4"/>
      <c r="KU89" s="4"/>
      <c r="KV89" s="4"/>
      <c r="KW89" s="4"/>
      <c r="KX89" s="6"/>
      <c r="KY89" s="6"/>
      <c r="KZ89" s="6"/>
      <c r="LA89" s="4"/>
      <c r="LB89" s="6"/>
      <c r="LC89" s="6"/>
      <c r="LD89" s="4"/>
      <c r="LE89" s="4"/>
      <c r="LF89" s="6"/>
      <c r="LG89" s="6"/>
      <c r="LH89" s="6"/>
      <c r="LI89" s="6"/>
      <c r="LJ89" s="6"/>
      <c r="LK89" s="6"/>
      <c r="LL89" s="6"/>
      <c r="LM89" s="6"/>
      <c r="LN89" s="6"/>
      <c r="LO89" s="6"/>
      <c r="LP89" s="6"/>
      <c r="LQ89" s="6"/>
      <c r="LR89" s="6"/>
      <c r="LS89" s="6"/>
      <c r="LT89" s="6"/>
      <c r="LU89" s="6"/>
      <c r="LV89" s="6"/>
      <c r="LW89" s="6"/>
      <c r="LX89" s="6"/>
      <c r="LY89" s="6"/>
      <c r="LZ89" s="6"/>
      <c r="MA89" s="6"/>
      <c r="MB89" s="6"/>
      <c r="MC89" s="6"/>
      <c r="MD89" s="6"/>
      <c r="ME89" s="6"/>
      <c r="MF89" s="6"/>
      <c r="MG89" s="6"/>
      <c r="MH89" s="6"/>
      <c r="MI89" s="6"/>
      <c r="MJ89" s="6"/>
      <c r="MK89" s="6"/>
      <c r="ML89" s="6"/>
      <c r="MM89" s="6"/>
      <c r="MN89" s="6"/>
      <c r="MO89" s="6"/>
      <c r="MP89" s="6"/>
      <c r="MQ89" s="6"/>
      <c r="MR89" s="6"/>
      <c r="MS89" s="6"/>
      <c r="MT89" s="6"/>
      <c r="MU89" s="6"/>
      <c r="MV89" s="6"/>
      <c r="MW89" s="6"/>
      <c r="MX89" s="6"/>
      <c r="MY89" s="6"/>
      <c r="MZ89" s="6"/>
      <c r="NA89" s="6"/>
      <c r="NB89" s="6"/>
      <c r="NC89" s="6"/>
      <c r="ND89" s="6"/>
      <c r="NE89" s="6"/>
      <c r="NF89" s="6"/>
      <c r="NG89" s="6"/>
      <c r="NH89" s="6"/>
      <c r="NI89" s="6"/>
      <c r="NJ89" s="4"/>
    </row>
    <row r="90" spans="1:374" s="1" customFormat="1" x14ac:dyDescent="0.35">
      <c r="A90" s="2">
        <v>43714</v>
      </c>
      <c r="B90" s="15" t="s">
        <v>111</v>
      </c>
      <c r="C90" s="15" t="s">
        <v>251</v>
      </c>
      <c r="D90" s="1">
        <v>89</v>
      </c>
      <c r="E90" s="3">
        <v>2</v>
      </c>
      <c r="F90" s="3">
        <v>2</v>
      </c>
      <c r="G90" s="3">
        <v>1</v>
      </c>
      <c r="H90" s="3">
        <v>23</v>
      </c>
      <c r="I90" s="3">
        <v>1</v>
      </c>
      <c r="J90" s="3">
        <v>1</v>
      </c>
      <c r="K90" s="18">
        <v>0</v>
      </c>
      <c r="L90" s="18">
        <v>1</v>
      </c>
      <c r="M90" s="18">
        <v>1</v>
      </c>
      <c r="N90" s="18">
        <v>1</v>
      </c>
      <c r="O90" s="18">
        <v>1</v>
      </c>
      <c r="P90" s="4">
        <v>0.8</v>
      </c>
      <c r="Q90" s="3">
        <v>84</v>
      </c>
      <c r="R90" s="3">
        <v>98</v>
      </c>
      <c r="S90" s="3">
        <v>82</v>
      </c>
      <c r="T90" s="3">
        <v>84</v>
      </c>
      <c r="U90" s="3">
        <v>80</v>
      </c>
      <c r="V90" s="3">
        <v>86</v>
      </c>
      <c r="W90" s="3">
        <v>94</v>
      </c>
      <c r="X90" s="3">
        <v>91</v>
      </c>
      <c r="Y90" s="3">
        <v>83</v>
      </c>
      <c r="Z90" s="3">
        <v>431</v>
      </c>
      <c r="AA90" s="3">
        <v>430</v>
      </c>
      <c r="AB90" s="3">
        <v>421</v>
      </c>
      <c r="AC90" s="3">
        <v>390</v>
      </c>
      <c r="AD90" s="3">
        <v>371</v>
      </c>
      <c r="AE90" s="3">
        <v>418</v>
      </c>
      <c r="AF90" s="3">
        <v>446</v>
      </c>
      <c r="AG90" s="3">
        <v>394</v>
      </c>
      <c r="AH90" s="3">
        <v>377</v>
      </c>
      <c r="AI90" s="4">
        <v>427.33</v>
      </c>
      <c r="AJ90" s="4">
        <v>393</v>
      </c>
      <c r="AK90" s="4">
        <v>405.67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f t="shared" ref="AX90:BC90" si="44">AL90+AL91+AL92+AL93</f>
        <v>0</v>
      </c>
      <c r="AY90" s="19">
        <f t="shared" si="44"/>
        <v>0</v>
      </c>
      <c r="AZ90" s="19">
        <f t="shared" si="44"/>
        <v>0</v>
      </c>
      <c r="BA90" s="19">
        <f t="shared" si="44"/>
        <v>0</v>
      </c>
      <c r="BB90" s="19">
        <f t="shared" si="44"/>
        <v>0</v>
      </c>
      <c r="BC90" s="19">
        <f t="shared" si="44"/>
        <v>0</v>
      </c>
      <c r="BD90" s="1">
        <f>AX90*3</f>
        <v>0</v>
      </c>
      <c r="BE90" s="1">
        <f t="shared" ref="BE90:BI90" si="45">AY90*3</f>
        <v>0</v>
      </c>
      <c r="BF90" s="1">
        <f t="shared" si="45"/>
        <v>0</v>
      </c>
      <c r="BG90" s="1">
        <f t="shared" si="45"/>
        <v>0</v>
      </c>
      <c r="BH90" s="1">
        <f t="shared" si="45"/>
        <v>0</v>
      </c>
      <c r="BI90" s="1">
        <f t="shared" si="45"/>
        <v>0</v>
      </c>
      <c r="BJ90" s="1">
        <f>AX90+AY90+AZ90</f>
        <v>0</v>
      </c>
      <c r="BK90" s="1">
        <f>BA90+BB90+BC90</f>
        <v>0</v>
      </c>
      <c r="BL90" s="1">
        <f>BJ90*3</f>
        <v>0</v>
      </c>
      <c r="BM90" s="1">
        <f>BK90*3</f>
        <v>0</v>
      </c>
      <c r="BN90" s="1">
        <f>BL90/3</f>
        <v>0</v>
      </c>
      <c r="BO90" s="1">
        <f>BM90/3</f>
        <v>0</v>
      </c>
      <c r="BP90" s="4">
        <v>427.33333333333331</v>
      </c>
      <c r="BQ90" s="4">
        <v>393</v>
      </c>
      <c r="BR90" s="4">
        <v>405.66666666666669</v>
      </c>
      <c r="BS90" s="4">
        <v>427.33</v>
      </c>
      <c r="BT90" s="4">
        <v>393</v>
      </c>
      <c r="BU90" s="4">
        <v>4</v>
      </c>
      <c r="BV90" s="3">
        <v>4</v>
      </c>
      <c r="BW90" s="3">
        <v>4</v>
      </c>
      <c r="BX90" s="3">
        <v>4</v>
      </c>
      <c r="BY90" s="3">
        <v>4</v>
      </c>
      <c r="BZ90" s="3">
        <v>0</v>
      </c>
      <c r="CA90" s="3">
        <v>0</v>
      </c>
      <c r="CB90" s="3">
        <v>0</v>
      </c>
      <c r="CC90" s="3">
        <v>0</v>
      </c>
      <c r="CD90" s="3">
        <v>1</v>
      </c>
      <c r="CE90" s="3">
        <v>1</v>
      </c>
      <c r="CF90" s="3">
        <v>1</v>
      </c>
      <c r="CG90" s="3">
        <v>1</v>
      </c>
      <c r="CH90" s="3">
        <v>0</v>
      </c>
      <c r="CI90" s="1">
        <v>7</v>
      </c>
      <c r="CJ90" s="1">
        <v>7</v>
      </c>
      <c r="CK90" s="1">
        <v>7</v>
      </c>
      <c r="CL90" s="1">
        <v>6</v>
      </c>
      <c r="CM90" s="1">
        <v>4</v>
      </c>
      <c r="CN90" s="1">
        <v>7</v>
      </c>
      <c r="CO90" s="1">
        <v>6</v>
      </c>
      <c r="CP90" s="1">
        <v>2</v>
      </c>
      <c r="CQ90" s="1">
        <v>6</v>
      </c>
      <c r="CR90" s="1">
        <v>6</v>
      </c>
      <c r="CS90" s="1">
        <v>6</v>
      </c>
      <c r="CT90" s="1">
        <v>6</v>
      </c>
      <c r="CU90" s="1">
        <v>5</v>
      </c>
      <c r="CV90" s="1">
        <v>6</v>
      </c>
      <c r="CW90" s="1">
        <v>4</v>
      </c>
      <c r="CX90" s="1">
        <v>5</v>
      </c>
      <c r="CY90" s="1">
        <v>6</v>
      </c>
      <c r="CZ90" s="1">
        <v>7</v>
      </c>
      <c r="DA90" s="1">
        <v>6</v>
      </c>
      <c r="DB90" s="1">
        <v>7</v>
      </c>
      <c r="DC90" s="1">
        <v>6</v>
      </c>
      <c r="DD90" s="1">
        <v>6</v>
      </c>
      <c r="DE90" s="1">
        <v>6</v>
      </c>
      <c r="DF90" s="1">
        <v>6</v>
      </c>
      <c r="DG90" s="1">
        <v>4</v>
      </c>
      <c r="DH90" s="1">
        <v>5</v>
      </c>
      <c r="DI90" s="1">
        <v>7</v>
      </c>
      <c r="DJ90" s="1">
        <v>5</v>
      </c>
      <c r="DK90" s="1">
        <v>3</v>
      </c>
      <c r="DL90" s="1">
        <v>6</v>
      </c>
      <c r="DM90" s="19">
        <v>6</v>
      </c>
      <c r="DN90" s="19">
        <v>2</v>
      </c>
      <c r="DO90" s="1">
        <v>2</v>
      </c>
      <c r="DP90" s="1">
        <v>6</v>
      </c>
      <c r="DQ90" s="1">
        <v>6</v>
      </c>
      <c r="DR90" s="1">
        <v>5</v>
      </c>
      <c r="DS90" s="1">
        <v>6</v>
      </c>
      <c r="DT90" s="1">
        <v>6</v>
      </c>
      <c r="DU90" s="27">
        <v>7</v>
      </c>
      <c r="DV90" s="27">
        <v>7</v>
      </c>
      <c r="DW90" s="27">
        <v>6</v>
      </c>
      <c r="DX90" s="27">
        <v>2</v>
      </c>
      <c r="DY90" s="27">
        <v>2</v>
      </c>
      <c r="DZ90" s="27">
        <v>3</v>
      </c>
      <c r="EA90" s="27">
        <v>1</v>
      </c>
      <c r="EB90" s="27">
        <v>3</v>
      </c>
      <c r="EC90" s="27">
        <v>3</v>
      </c>
      <c r="ED90" s="27">
        <v>3</v>
      </c>
      <c r="EE90" s="27">
        <v>6</v>
      </c>
      <c r="EF90" s="27">
        <v>2</v>
      </c>
      <c r="EG90" s="27">
        <v>4</v>
      </c>
      <c r="EH90" s="27">
        <v>7</v>
      </c>
      <c r="EI90" s="27">
        <v>7</v>
      </c>
      <c r="EJ90" s="27">
        <v>4</v>
      </c>
      <c r="EK90" s="27">
        <v>4</v>
      </c>
      <c r="EL90" s="27">
        <v>6</v>
      </c>
      <c r="EM90" s="27">
        <v>1</v>
      </c>
      <c r="EN90" s="27">
        <v>1</v>
      </c>
      <c r="EO90" s="27">
        <v>6</v>
      </c>
      <c r="EP90" s="27">
        <v>5</v>
      </c>
      <c r="EQ90" s="27">
        <v>5</v>
      </c>
      <c r="ER90" s="27">
        <v>7</v>
      </c>
      <c r="ES90" s="27">
        <v>6</v>
      </c>
      <c r="ET90" s="27">
        <v>4</v>
      </c>
      <c r="EU90" s="27">
        <v>4</v>
      </c>
      <c r="EV90" s="1">
        <v>18</v>
      </c>
      <c r="EW90" s="1">
        <v>2</v>
      </c>
      <c r="EY90" s="1">
        <v>5</v>
      </c>
      <c r="EZ90" s="9"/>
      <c r="FA90" s="1">
        <v>1</v>
      </c>
      <c r="FB90" s="9" t="s">
        <v>841</v>
      </c>
      <c r="FC90" s="1">
        <v>0</v>
      </c>
      <c r="FD90" s="1">
        <v>8</v>
      </c>
      <c r="FE90" s="4">
        <v>6.46</v>
      </c>
      <c r="FF90" s="4">
        <v>6.31</v>
      </c>
      <c r="FG90" s="4">
        <v>7.81</v>
      </c>
      <c r="FH90" s="4">
        <v>6.92</v>
      </c>
      <c r="FI90" s="4">
        <v>6.5</v>
      </c>
      <c r="FJ90" s="23">
        <v>5.75</v>
      </c>
      <c r="FK90" s="4">
        <v>3.67</v>
      </c>
      <c r="FL90" s="4">
        <v>6</v>
      </c>
      <c r="FM90" s="4">
        <v>3.5</v>
      </c>
      <c r="FN90" s="4">
        <v>6.5</v>
      </c>
      <c r="FO90" s="4">
        <v>6.08</v>
      </c>
      <c r="FP90" s="4">
        <v>6.33</v>
      </c>
      <c r="FQ90" s="4">
        <v>3</v>
      </c>
      <c r="FR90" s="4">
        <v>2.5</v>
      </c>
      <c r="FS90" s="4">
        <v>4.25</v>
      </c>
      <c r="FT90" s="4">
        <v>4.5</v>
      </c>
      <c r="FU90" s="4">
        <v>5.25</v>
      </c>
      <c r="FV90" s="4">
        <v>5.75</v>
      </c>
      <c r="FW90" s="4">
        <v>3.75</v>
      </c>
      <c r="FX90" s="4">
        <v>5.25</v>
      </c>
      <c r="FY90" s="4">
        <v>7</v>
      </c>
      <c r="FZ90" s="4">
        <v>4.67</v>
      </c>
      <c r="GA90" s="4">
        <v>2.88</v>
      </c>
      <c r="GB90" s="4">
        <v>5.83</v>
      </c>
      <c r="GC90" s="4">
        <v>5</v>
      </c>
      <c r="GD90" s="4">
        <v>4</v>
      </c>
      <c r="GE90" s="26"/>
      <c r="GF90" s="26"/>
      <c r="GG90" s="4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S90" s="3"/>
      <c r="HU90" s="3"/>
      <c r="HX90" s="3"/>
      <c r="IA90" s="3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3"/>
      <c r="JP90" s="3"/>
      <c r="JQ90" s="4"/>
      <c r="JR90" s="5"/>
      <c r="JS90" s="5"/>
      <c r="JT90" s="8"/>
      <c r="JU90" s="8"/>
      <c r="JV90" s="8"/>
      <c r="JW90" s="8"/>
      <c r="JX90" s="8"/>
      <c r="JY90" s="8"/>
      <c r="JZ90" s="8"/>
      <c r="KA90" s="8"/>
      <c r="KB90" s="8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</row>
    <row r="91" spans="1:374" s="1" customFormat="1" x14ac:dyDescent="0.35">
      <c r="A91" s="2">
        <v>43714</v>
      </c>
      <c r="B91" s="15" t="s">
        <v>111</v>
      </c>
      <c r="C91" s="15" t="s">
        <v>252</v>
      </c>
      <c r="D91" s="1">
        <v>90</v>
      </c>
      <c r="E91" s="3">
        <v>2</v>
      </c>
      <c r="F91" s="3">
        <v>2</v>
      </c>
      <c r="G91" s="3"/>
      <c r="H91" s="3">
        <v>23</v>
      </c>
      <c r="I91" s="3">
        <v>2</v>
      </c>
      <c r="J91" s="3"/>
      <c r="K91" s="18">
        <v>0</v>
      </c>
      <c r="L91" s="18">
        <v>0</v>
      </c>
      <c r="M91" s="18">
        <v>1</v>
      </c>
      <c r="N91" s="18">
        <v>1</v>
      </c>
      <c r="O91" s="18">
        <v>0</v>
      </c>
      <c r="P91" s="4">
        <v>0.4</v>
      </c>
      <c r="Q91" s="3">
        <v>92</v>
      </c>
      <c r="R91" s="3">
        <v>91</v>
      </c>
      <c r="S91" s="3">
        <v>97</v>
      </c>
      <c r="T91" s="3">
        <v>120</v>
      </c>
      <c r="U91" s="3">
        <v>99</v>
      </c>
      <c r="V91" s="3">
        <v>93</v>
      </c>
      <c r="W91" s="3">
        <v>104</v>
      </c>
      <c r="X91" s="3">
        <v>90</v>
      </c>
      <c r="Y91" s="3">
        <v>88</v>
      </c>
      <c r="Z91" s="3"/>
      <c r="AA91" s="3"/>
      <c r="AB91" s="3"/>
      <c r="AC91" s="3"/>
      <c r="AD91" s="3"/>
      <c r="AE91" s="3"/>
      <c r="AF91" s="3"/>
      <c r="AG91" s="3"/>
      <c r="AH91" s="3"/>
      <c r="AI91" s="4"/>
      <c r="AJ91" s="4"/>
      <c r="AK91" s="4"/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/>
      <c r="AY91"/>
      <c r="AZ91"/>
      <c r="BA91"/>
      <c r="BB91"/>
      <c r="BC91"/>
      <c r="BP91" s="4"/>
      <c r="BQ91" s="4"/>
      <c r="BR91" s="4"/>
      <c r="BS91" s="4"/>
      <c r="BT91" s="4"/>
      <c r="BU91" s="4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1">
        <v>5</v>
      </c>
      <c r="CJ91" s="1">
        <v>6</v>
      </c>
      <c r="CK91" s="1">
        <v>6</v>
      </c>
      <c r="CL91" s="1">
        <v>6</v>
      </c>
      <c r="CM91" s="1">
        <v>6</v>
      </c>
      <c r="CN91" s="1">
        <v>6</v>
      </c>
      <c r="CO91" s="1">
        <v>6</v>
      </c>
      <c r="CP91" s="1">
        <v>3</v>
      </c>
      <c r="CQ91" s="1">
        <v>5</v>
      </c>
      <c r="CR91" s="1">
        <v>6</v>
      </c>
      <c r="CS91" s="1">
        <v>6</v>
      </c>
      <c r="CT91" s="1">
        <v>5</v>
      </c>
      <c r="CU91" s="1">
        <v>6</v>
      </c>
      <c r="CV91" s="1">
        <v>6</v>
      </c>
      <c r="CW91" s="1">
        <v>6</v>
      </c>
      <c r="CX91" s="1">
        <v>6</v>
      </c>
      <c r="CY91" s="1">
        <v>6</v>
      </c>
      <c r="CZ91" s="1">
        <v>7</v>
      </c>
      <c r="DA91" s="1">
        <v>7</v>
      </c>
      <c r="DB91" s="1">
        <v>7</v>
      </c>
      <c r="DC91" s="1">
        <v>5</v>
      </c>
      <c r="DD91" s="1">
        <v>7</v>
      </c>
      <c r="DE91" s="1">
        <v>6</v>
      </c>
      <c r="DF91" s="1">
        <v>2</v>
      </c>
      <c r="DG91" s="1">
        <v>3</v>
      </c>
      <c r="DH91" s="1">
        <v>2</v>
      </c>
      <c r="DI91" s="1">
        <v>3</v>
      </c>
      <c r="DJ91" s="1">
        <v>3</v>
      </c>
      <c r="DK91" s="1">
        <v>3</v>
      </c>
      <c r="DL91" s="1">
        <v>7</v>
      </c>
      <c r="DM91" s="19">
        <v>5</v>
      </c>
      <c r="DN91" s="19">
        <v>2</v>
      </c>
      <c r="DO91" s="1">
        <v>1</v>
      </c>
      <c r="DP91" s="1">
        <v>5</v>
      </c>
      <c r="DQ91" s="1">
        <v>7</v>
      </c>
      <c r="DR91" s="1">
        <v>6</v>
      </c>
      <c r="DS91" s="1">
        <v>6</v>
      </c>
      <c r="DT91" s="1">
        <v>6</v>
      </c>
      <c r="DU91" s="27">
        <v>7</v>
      </c>
      <c r="DV91" s="27">
        <v>7</v>
      </c>
      <c r="DW91" s="27">
        <v>6</v>
      </c>
      <c r="DX91" s="27">
        <v>3</v>
      </c>
      <c r="DY91" s="27">
        <v>1</v>
      </c>
      <c r="DZ91" s="27">
        <v>4</v>
      </c>
      <c r="EA91" s="27">
        <v>3</v>
      </c>
      <c r="EB91" s="27">
        <v>6</v>
      </c>
      <c r="EC91" s="27">
        <v>4</v>
      </c>
      <c r="ED91" s="27">
        <v>4</v>
      </c>
      <c r="EE91" s="27">
        <v>6</v>
      </c>
      <c r="EF91" s="27">
        <v>5</v>
      </c>
      <c r="EG91" s="27">
        <v>6</v>
      </c>
      <c r="EH91" s="27">
        <v>7</v>
      </c>
      <c r="EI91" s="27">
        <v>7</v>
      </c>
      <c r="EJ91" s="27">
        <v>4</v>
      </c>
      <c r="EK91" s="27">
        <v>4</v>
      </c>
      <c r="EL91" s="27">
        <v>4</v>
      </c>
      <c r="EM91" s="27">
        <v>7</v>
      </c>
      <c r="EN91" s="27">
        <v>4</v>
      </c>
      <c r="EO91" s="27">
        <v>6</v>
      </c>
      <c r="EP91" s="27">
        <v>6</v>
      </c>
      <c r="EQ91" s="27">
        <v>6</v>
      </c>
      <c r="ER91" s="27">
        <v>4</v>
      </c>
      <c r="ES91" s="27">
        <v>1</v>
      </c>
      <c r="ET91" s="27">
        <v>4</v>
      </c>
      <c r="EU91" s="27">
        <v>4</v>
      </c>
      <c r="EV91" s="1">
        <v>21</v>
      </c>
      <c r="EW91" s="1">
        <v>1</v>
      </c>
      <c r="EY91" s="1">
        <v>8</v>
      </c>
      <c r="EZ91" s="9" t="s">
        <v>757</v>
      </c>
      <c r="FA91" s="1">
        <v>3</v>
      </c>
      <c r="FB91" s="9" t="s">
        <v>842</v>
      </c>
      <c r="FC91" s="1">
        <v>0</v>
      </c>
      <c r="FD91" s="1">
        <v>5</v>
      </c>
      <c r="FE91" s="4"/>
      <c r="FF91" s="4"/>
      <c r="FG91" s="4"/>
      <c r="FH91" s="4"/>
      <c r="FI91" s="4"/>
      <c r="FJ91" s="23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26"/>
      <c r="GF91" s="26"/>
      <c r="GG91" s="4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S91" s="3"/>
      <c r="HU91" s="3"/>
      <c r="HX91" s="3"/>
      <c r="IA91" s="3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6"/>
      <c r="JP91" s="6"/>
      <c r="JQ91" s="6"/>
      <c r="JR91" s="6"/>
      <c r="JS91" s="6"/>
      <c r="JT91" s="8"/>
      <c r="JU91" s="8"/>
      <c r="JV91" s="8"/>
      <c r="JW91" s="8"/>
      <c r="JX91" s="8"/>
      <c r="JY91" s="8"/>
      <c r="JZ91" s="8"/>
      <c r="KA91" s="8"/>
      <c r="KB91" s="8"/>
      <c r="KC91" s="6"/>
      <c r="KD91" s="6"/>
      <c r="KE91" s="6"/>
      <c r="KF91" s="6"/>
      <c r="KG91" s="6"/>
      <c r="KH91" s="6"/>
      <c r="KI91" s="6"/>
      <c r="KJ91" s="6"/>
      <c r="KK91" s="6"/>
      <c r="KL91" s="4"/>
      <c r="KM91" s="4"/>
      <c r="KN91" s="6"/>
      <c r="KO91" s="4"/>
      <c r="KP91" s="4"/>
      <c r="KQ91" s="6"/>
      <c r="KR91" s="6"/>
      <c r="KS91" s="4"/>
      <c r="KU91" s="4"/>
      <c r="KV91" s="4"/>
      <c r="KW91" s="4"/>
      <c r="KX91" s="6"/>
      <c r="KY91" s="6"/>
      <c r="KZ91" s="6"/>
      <c r="LA91" s="4"/>
      <c r="LB91" s="6"/>
      <c r="LC91" s="6"/>
      <c r="LD91" s="4"/>
      <c r="LE91" s="4"/>
      <c r="LF91" s="6"/>
      <c r="LG91" s="6"/>
      <c r="LH91" s="6"/>
      <c r="LI91" s="6"/>
      <c r="LJ91" s="6"/>
      <c r="LK91" s="6"/>
      <c r="LL91" s="6"/>
      <c r="LM91" s="6"/>
      <c r="LN91" s="6"/>
      <c r="LO91" s="6"/>
      <c r="LP91" s="6"/>
      <c r="LQ91" s="6"/>
      <c r="LR91" s="6"/>
      <c r="LS91" s="6"/>
      <c r="LT91" s="6"/>
      <c r="LU91" s="6"/>
      <c r="LV91" s="6"/>
      <c r="LW91" s="6"/>
      <c r="LX91" s="6"/>
      <c r="LY91" s="6"/>
      <c r="LZ91" s="6"/>
      <c r="MA91" s="6"/>
      <c r="MB91" s="6"/>
      <c r="MC91" s="6"/>
      <c r="MD91" s="6"/>
      <c r="ME91" s="6"/>
      <c r="MF91" s="6"/>
      <c r="MG91" s="6"/>
      <c r="MH91" s="6"/>
      <c r="MI91" s="6"/>
      <c r="MJ91" s="6"/>
      <c r="MK91" s="6"/>
      <c r="ML91" s="6"/>
      <c r="MM91" s="6"/>
      <c r="MN91" s="6"/>
      <c r="MO91" s="6"/>
      <c r="MP91" s="6"/>
      <c r="MQ91" s="6"/>
      <c r="MR91" s="6"/>
      <c r="MS91" s="6"/>
      <c r="MT91" s="6"/>
      <c r="MU91" s="6"/>
      <c r="MV91" s="6"/>
      <c r="MW91" s="6"/>
      <c r="MX91" s="6"/>
      <c r="MY91" s="6"/>
      <c r="MZ91" s="6"/>
      <c r="NA91" s="6"/>
      <c r="NB91" s="6"/>
      <c r="NC91" s="6"/>
      <c r="ND91" s="6"/>
      <c r="NE91" s="6"/>
      <c r="NF91" s="6"/>
      <c r="NG91" s="6"/>
      <c r="NH91" s="6"/>
      <c r="NI91" s="6"/>
      <c r="NJ91" s="4"/>
    </row>
    <row r="92" spans="1:374" s="1" customFormat="1" x14ac:dyDescent="0.35">
      <c r="A92" s="2">
        <v>43714</v>
      </c>
      <c r="B92" s="15" t="s">
        <v>111</v>
      </c>
      <c r="C92" s="15" t="s">
        <v>253</v>
      </c>
      <c r="D92" s="1">
        <v>91</v>
      </c>
      <c r="E92" s="3">
        <v>2</v>
      </c>
      <c r="F92" s="3">
        <v>2</v>
      </c>
      <c r="G92" s="3"/>
      <c r="H92" s="3">
        <v>23</v>
      </c>
      <c r="I92" s="3">
        <v>3</v>
      </c>
      <c r="J92" s="3"/>
      <c r="K92" s="18">
        <v>1</v>
      </c>
      <c r="L92" s="18">
        <v>1</v>
      </c>
      <c r="M92" s="18">
        <v>1</v>
      </c>
      <c r="N92" s="18">
        <v>1</v>
      </c>
      <c r="O92" s="18">
        <v>0</v>
      </c>
      <c r="P92" s="4">
        <v>0.8</v>
      </c>
      <c r="Q92" s="3">
        <v>126</v>
      </c>
      <c r="R92" s="3">
        <v>122</v>
      </c>
      <c r="S92" s="3">
        <v>98</v>
      </c>
      <c r="T92" s="3">
        <v>74</v>
      </c>
      <c r="U92" s="3">
        <v>95</v>
      </c>
      <c r="V92" s="3">
        <v>137</v>
      </c>
      <c r="W92" s="3">
        <v>125</v>
      </c>
      <c r="X92" s="3">
        <v>95</v>
      </c>
      <c r="Y92" s="3">
        <v>98</v>
      </c>
      <c r="Z92" s="3"/>
      <c r="AA92" s="3"/>
      <c r="AB92" s="3"/>
      <c r="AC92" s="3"/>
      <c r="AD92" s="3"/>
      <c r="AE92" s="3"/>
      <c r="AF92" s="3"/>
      <c r="AG92" s="3"/>
      <c r="AH92" s="3"/>
      <c r="AI92" s="4"/>
      <c r="AJ92" s="4"/>
      <c r="AK92" s="4"/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/>
      <c r="AY92"/>
      <c r="AZ92"/>
      <c r="BA92"/>
      <c r="BB92"/>
      <c r="BC92"/>
      <c r="BP92" s="4"/>
      <c r="BQ92" s="4"/>
      <c r="BR92" s="4"/>
      <c r="BS92" s="4"/>
      <c r="BT92" s="4"/>
      <c r="BU92" s="4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1">
        <v>7</v>
      </c>
      <c r="CJ92" s="1">
        <v>7</v>
      </c>
      <c r="CK92" s="1">
        <v>7</v>
      </c>
      <c r="CL92" s="1">
        <v>7</v>
      </c>
      <c r="CM92" s="1">
        <v>7</v>
      </c>
      <c r="CN92" s="1">
        <v>7</v>
      </c>
      <c r="CO92" s="1">
        <v>7</v>
      </c>
      <c r="CP92" s="1">
        <v>2</v>
      </c>
      <c r="CQ92" s="1">
        <v>7</v>
      </c>
      <c r="CR92" s="1">
        <v>7</v>
      </c>
      <c r="CS92" s="1">
        <v>7</v>
      </c>
      <c r="CT92" s="1">
        <v>6</v>
      </c>
      <c r="CU92" s="1">
        <v>7</v>
      </c>
      <c r="CV92" s="1">
        <v>7</v>
      </c>
      <c r="CW92" s="1">
        <v>7</v>
      </c>
      <c r="CX92" s="1">
        <v>7</v>
      </c>
      <c r="CY92" s="1">
        <v>6</v>
      </c>
      <c r="CZ92" s="1">
        <v>7</v>
      </c>
      <c r="DA92" s="1">
        <v>7</v>
      </c>
      <c r="DB92" s="1">
        <v>7</v>
      </c>
      <c r="DC92" s="1">
        <v>7</v>
      </c>
      <c r="DD92" s="1">
        <v>7</v>
      </c>
      <c r="DE92" s="1">
        <v>4</v>
      </c>
      <c r="DF92" s="1">
        <v>5</v>
      </c>
      <c r="DG92" s="1">
        <v>3</v>
      </c>
      <c r="DH92" s="1">
        <v>5</v>
      </c>
      <c r="DI92" s="1">
        <v>3</v>
      </c>
      <c r="DJ92" s="1">
        <v>1</v>
      </c>
      <c r="DK92" s="1">
        <v>1</v>
      </c>
      <c r="DL92" s="1">
        <v>5</v>
      </c>
      <c r="DM92" s="19">
        <v>5</v>
      </c>
      <c r="DN92" s="19">
        <v>1</v>
      </c>
      <c r="DO92" s="1">
        <v>6</v>
      </c>
      <c r="DP92" s="1">
        <v>7</v>
      </c>
      <c r="DQ92" s="1">
        <v>7</v>
      </c>
      <c r="DR92" s="1">
        <v>5</v>
      </c>
      <c r="DS92" s="1">
        <v>6</v>
      </c>
      <c r="DT92" s="1">
        <v>6</v>
      </c>
      <c r="DU92" s="27">
        <v>7</v>
      </c>
      <c r="DV92" s="27">
        <v>7</v>
      </c>
      <c r="DW92" s="27">
        <v>4</v>
      </c>
      <c r="DX92" s="27">
        <v>4</v>
      </c>
      <c r="DY92" s="27">
        <v>4</v>
      </c>
      <c r="DZ92" s="27">
        <v>4</v>
      </c>
      <c r="EA92" s="27">
        <v>4</v>
      </c>
      <c r="EB92" s="27">
        <v>4</v>
      </c>
      <c r="EC92" s="27">
        <v>4</v>
      </c>
      <c r="ED92" s="27">
        <v>7</v>
      </c>
      <c r="EE92" s="27">
        <v>4</v>
      </c>
      <c r="EF92" s="27">
        <v>4</v>
      </c>
      <c r="EG92" s="27">
        <v>4</v>
      </c>
      <c r="EH92" s="27">
        <v>7</v>
      </c>
      <c r="EI92" s="27">
        <v>7</v>
      </c>
      <c r="EJ92" s="27">
        <v>4</v>
      </c>
      <c r="EK92" s="27">
        <v>1</v>
      </c>
      <c r="EL92" s="27">
        <v>4</v>
      </c>
      <c r="EM92" s="27">
        <v>4</v>
      </c>
      <c r="EN92" s="27">
        <v>4</v>
      </c>
      <c r="EO92" s="27">
        <v>7</v>
      </c>
      <c r="EP92" s="27">
        <v>7</v>
      </c>
      <c r="EQ92" s="27">
        <v>4</v>
      </c>
      <c r="ER92" s="27">
        <v>4</v>
      </c>
      <c r="ES92" s="27">
        <v>4</v>
      </c>
      <c r="ET92" s="27">
        <v>4</v>
      </c>
      <c r="EU92" s="27">
        <v>4</v>
      </c>
      <c r="EV92" s="1">
        <v>24</v>
      </c>
      <c r="EW92" s="1">
        <v>1</v>
      </c>
      <c r="EY92" s="1">
        <v>1</v>
      </c>
      <c r="EZ92" s="9"/>
      <c r="FA92" s="1">
        <v>3</v>
      </c>
      <c r="FB92" s="9" t="s">
        <v>778</v>
      </c>
      <c r="FC92" s="1">
        <v>1</v>
      </c>
      <c r="FD92" s="1">
        <v>3</v>
      </c>
      <c r="FE92" s="4"/>
      <c r="FF92" s="4"/>
      <c r="FG92" s="4"/>
      <c r="FH92" s="4"/>
      <c r="FI92" s="4"/>
      <c r="FJ92" s="23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26"/>
      <c r="GF92" s="26"/>
      <c r="GG92" s="4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S92" s="3"/>
      <c r="HU92" s="3"/>
      <c r="HX92" s="3"/>
      <c r="IA92" s="3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6"/>
      <c r="JP92" s="6"/>
      <c r="JQ92" s="6"/>
      <c r="JR92" s="6"/>
      <c r="JS92" s="6"/>
      <c r="JT92" s="8"/>
      <c r="JU92" s="8"/>
      <c r="JV92" s="8"/>
      <c r="JW92" s="8"/>
      <c r="JX92" s="8"/>
      <c r="JY92" s="8"/>
      <c r="JZ92" s="8"/>
      <c r="KA92" s="8"/>
      <c r="KB92" s="8"/>
      <c r="KC92" s="6"/>
      <c r="KD92" s="6"/>
      <c r="KE92" s="6"/>
      <c r="KF92" s="6"/>
      <c r="KG92" s="6"/>
      <c r="KH92" s="6"/>
      <c r="KI92" s="6"/>
      <c r="KJ92" s="6"/>
      <c r="KK92" s="6"/>
      <c r="KL92" s="4"/>
      <c r="KM92" s="4"/>
      <c r="KN92" s="6"/>
      <c r="KO92" s="4"/>
      <c r="KP92" s="4"/>
      <c r="KQ92" s="6"/>
      <c r="KR92" s="6"/>
      <c r="KS92" s="4"/>
      <c r="KU92" s="4"/>
      <c r="KV92" s="4"/>
      <c r="KW92" s="4"/>
      <c r="KX92" s="6"/>
      <c r="KY92" s="6"/>
      <c r="KZ92" s="6"/>
      <c r="LA92" s="4"/>
      <c r="LB92" s="6"/>
      <c r="LC92" s="6"/>
      <c r="LD92" s="4"/>
      <c r="LE92" s="4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  <c r="ML92" s="6"/>
      <c r="MM92" s="6"/>
      <c r="MN92" s="6"/>
      <c r="MO92" s="6"/>
      <c r="MP92" s="6"/>
      <c r="MQ92" s="6"/>
      <c r="MR92" s="6"/>
      <c r="MS92" s="6"/>
      <c r="MT92" s="6"/>
      <c r="MU92" s="6"/>
      <c r="MV92" s="6"/>
      <c r="MW92" s="6"/>
      <c r="MX92" s="6"/>
      <c r="MY92" s="6"/>
      <c r="MZ92" s="6"/>
      <c r="NA92" s="6"/>
      <c r="NB92" s="6"/>
      <c r="NC92" s="6"/>
      <c r="ND92" s="6"/>
      <c r="NE92" s="6"/>
      <c r="NF92" s="6"/>
      <c r="NG92" s="6"/>
      <c r="NH92" s="6"/>
      <c r="NI92" s="6"/>
      <c r="NJ92" s="4"/>
    </row>
    <row r="93" spans="1:374" s="1" customFormat="1" x14ac:dyDescent="0.35">
      <c r="A93" s="2">
        <v>43714</v>
      </c>
      <c r="B93" s="15" t="s">
        <v>111</v>
      </c>
      <c r="C93" s="15" t="s">
        <v>254</v>
      </c>
      <c r="D93" s="1">
        <v>92</v>
      </c>
      <c r="E93" s="3">
        <v>2</v>
      </c>
      <c r="F93" s="3">
        <v>2</v>
      </c>
      <c r="G93" s="3"/>
      <c r="H93" s="3">
        <v>23</v>
      </c>
      <c r="I93" s="3">
        <v>4</v>
      </c>
      <c r="J93" s="3"/>
      <c r="K93" s="18">
        <v>1</v>
      </c>
      <c r="L93" s="18">
        <v>1</v>
      </c>
      <c r="M93" s="18">
        <v>1</v>
      </c>
      <c r="N93" s="18">
        <v>1</v>
      </c>
      <c r="O93" s="18">
        <v>1</v>
      </c>
      <c r="P93" s="4">
        <v>1</v>
      </c>
      <c r="Q93" s="3">
        <v>129</v>
      </c>
      <c r="R93" s="3">
        <v>119</v>
      </c>
      <c r="S93" s="3">
        <v>144</v>
      </c>
      <c r="T93" s="3">
        <v>112</v>
      </c>
      <c r="U93" s="3">
        <v>97</v>
      </c>
      <c r="V93" s="3">
        <v>102</v>
      </c>
      <c r="W93" s="3">
        <v>123</v>
      </c>
      <c r="X93" s="3">
        <v>118</v>
      </c>
      <c r="Y93" s="3">
        <v>108</v>
      </c>
      <c r="Z93" s="3"/>
      <c r="AA93" s="3"/>
      <c r="AB93" s="3"/>
      <c r="AC93" s="3"/>
      <c r="AD93" s="3"/>
      <c r="AE93" s="3"/>
      <c r="AF93" s="3"/>
      <c r="AG93" s="3"/>
      <c r="AH93" s="3"/>
      <c r="AI93" s="4"/>
      <c r="AJ93" s="4"/>
      <c r="AK93" s="4"/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9">
        <v>0</v>
      </c>
      <c r="AT93" s="19">
        <v>0</v>
      </c>
      <c r="AU93" s="19">
        <v>0</v>
      </c>
      <c r="AV93" s="19">
        <v>0</v>
      </c>
      <c r="AW93" s="19">
        <v>0</v>
      </c>
      <c r="AX93" s="19"/>
      <c r="AY93"/>
      <c r="AZ93"/>
      <c r="BA93"/>
      <c r="BB93"/>
      <c r="BC93"/>
      <c r="BP93" s="4"/>
      <c r="BQ93" s="4"/>
      <c r="BR93" s="4"/>
      <c r="BS93" s="4"/>
      <c r="BT93" s="4"/>
      <c r="BU93" s="4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1">
        <v>7</v>
      </c>
      <c r="CJ93" s="1">
        <v>7</v>
      </c>
      <c r="CK93" s="1">
        <v>7</v>
      </c>
      <c r="CL93" s="1">
        <v>7</v>
      </c>
      <c r="CM93" s="1">
        <v>6</v>
      </c>
      <c r="CN93" s="1">
        <v>7</v>
      </c>
      <c r="CO93" s="1">
        <v>6</v>
      </c>
      <c r="CP93" s="1">
        <v>1</v>
      </c>
      <c r="CQ93" s="1">
        <v>7</v>
      </c>
      <c r="CR93" s="1">
        <v>7</v>
      </c>
      <c r="CS93" s="1">
        <v>7</v>
      </c>
      <c r="CT93" s="1">
        <v>7</v>
      </c>
      <c r="CU93" s="1">
        <v>7</v>
      </c>
      <c r="CV93" s="1">
        <v>7</v>
      </c>
      <c r="CW93" s="1">
        <v>7</v>
      </c>
      <c r="CX93" s="1">
        <v>7</v>
      </c>
      <c r="CY93" s="1">
        <v>7</v>
      </c>
      <c r="CZ93" s="1">
        <v>7</v>
      </c>
      <c r="DA93" s="1">
        <v>7</v>
      </c>
      <c r="DB93" s="1">
        <v>7</v>
      </c>
      <c r="DC93" s="1">
        <v>7</v>
      </c>
      <c r="DD93" s="1">
        <v>7</v>
      </c>
      <c r="DE93" s="1">
        <v>7</v>
      </c>
      <c r="DF93" s="1">
        <v>1</v>
      </c>
      <c r="DG93" s="1">
        <v>1</v>
      </c>
      <c r="DH93" s="1">
        <v>7</v>
      </c>
      <c r="DI93" s="1">
        <v>7</v>
      </c>
      <c r="DJ93" s="1">
        <v>1</v>
      </c>
      <c r="DK93" s="1">
        <v>7</v>
      </c>
      <c r="DL93" s="1">
        <v>7</v>
      </c>
      <c r="DM93" s="19">
        <v>7</v>
      </c>
      <c r="DN93" s="19">
        <v>7</v>
      </c>
      <c r="DO93" s="1">
        <v>7</v>
      </c>
      <c r="DP93" s="1">
        <v>7</v>
      </c>
      <c r="DQ93" s="1">
        <v>7</v>
      </c>
      <c r="DR93" s="1">
        <v>7</v>
      </c>
      <c r="DS93" s="1">
        <v>7</v>
      </c>
      <c r="DT93" s="1">
        <v>7</v>
      </c>
      <c r="DU93" s="27">
        <v>7</v>
      </c>
      <c r="DV93" s="27">
        <v>7</v>
      </c>
      <c r="DW93" s="27">
        <v>4</v>
      </c>
      <c r="DX93" s="27">
        <v>4</v>
      </c>
      <c r="DY93" s="27">
        <v>4</v>
      </c>
      <c r="DZ93" s="27">
        <v>4</v>
      </c>
      <c r="EA93" s="27">
        <v>2</v>
      </c>
      <c r="EB93" s="27">
        <v>4</v>
      </c>
      <c r="EC93" s="27">
        <v>7</v>
      </c>
      <c r="ED93" s="27">
        <v>7</v>
      </c>
      <c r="EE93" s="27">
        <v>7</v>
      </c>
      <c r="EF93" s="27">
        <v>4</v>
      </c>
      <c r="EG93" s="27">
        <v>7</v>
      </c>
      <c r="EH93" s="27">
        <v>7</v>
      </c>
      <c r="EI93" s="27">
        <v>7</v>
      </c>
      <c r="EJ93" s="27">
        <v>7</v>
      </c>
      <c r="EK93" s="27">
        <v>7</v>
      </c>
      <c r="EL93" s="27">
        <v>7</v>
      </c>
      <c r="EM93" s="27">
        <v>1</v>
      </c>
      <c r="EN93" s="27">
        <v>1</v>
      </c>
      <c r="EO93" s="27">
        <v>7</v>
      </c>
      <c r="EP93" s="27">
        <v>4</v>
      </c>
      <c r="EQ93" s="27">
        <v>7</v>
      </c>
      <c r="ER93" s="27">
        <v>7</v>
      </c>
      <c r="ES93" s="27">
        <v>7</v>
      </c>
      <c r="ET93" s="27">
        <v>4</v>
      </c>
      <c r="EU93" s="27">
        <v>4</v>
      </c>
      <c r="EV93" s="1">
        <v>19</v>
      </c>
      <c r="EW93" s="1">
        <v>2</v>
      </c>
      <c r="EY93" s="1">
        <v>2</v>
      </c>
      <c r="EZ93" s="9"/>
      <c r="FA93" s="1">
        <v>1</v>
      </c>
      <c r="FB93" s="9" t="s">
        <v>843</v>
      </c>
      <c r="FC93" s="1">
        <v>1</v>
      </c>
      <c r="FD93" s="1">
        <v>4</v>
      </c>
      <c r="FE93" s="4"/>
      <c r="FF93" s="4"/>
      <c r="FG93" s="4"/>
      <c r="FH93" s="4"/>
      <c r="FI93" s="4"/>
      <c r="FJ93" s="23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26"/>
      <c r="GF93" s="26"/>
      <c r="GG93" s="4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S93" s="3"/>
      <c r="HU93" s="3"/>
      <c r="HX93" s="3"/>
      <c r="IA93" s="3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6"/>
      <c r="JP93" s="6"/>
      <c r="JQ93" s="6"/>
      <c r="JR93" s="6"/>
      <c r="JS93" s="6"/>
      <c r="JT93" s="8"/>
      <c r="JU93" s="8"/>
      <c r="JV93" s="8"/>
      <c r="JW93" s="8"/>
      <c r="JX93" s="8"/>
      <c r="JY93" s="8"/>
      <c r="JZ93" s="8"/>
      <c r="KA93" s="8"/>
      <c r="KB93" s="8"/>
      <c r="KC93" s="6"/>
      <c r="KD93" s="6"/>
      <c r="KE93" s="6"/>
      <c r="KF93" s="6"/>
      <c r="KG93" s="6"/>
      <c r="KH93" s="6"/>
      <c r="KI93" s="6"/>
      <c r="KJ93" s="6"/>
      <c r="KK93" s="6"/>
      <c r="KL93" s="4"/>
      <c r="KM93" s="4"/>
      <c r="KN93" s="6"/>
      <c r="KO93" s="4"/>
      <c r="KP93" s="4"/>
      <c r="KQ93" s="6"/>
      <c r="KR93" s="6"/>
      <c r="KS93" s="4"/>
      <c r="KU93" s="4"/>
      <c r="KV93" s="4"/>
      <c r="KW93" s="4"/>
      <c r="KX93" s="6"/>
      <c r="KY93" s="6"/>
      <c r="KZ93" s="6"/>
      <c r="LA93" s="4"/>
      <c r="LB93" s="6"/>
      <c r="LC93" s="6"/>
      <c r="LD93" s="4"/>
      <c r="LE93" s="4"/>
      <c r="LF93" s="6"/>
      <c r="LG93" s="6"/>
      <c r="LH93" s="6"/>
      <c r="LI93" s="6"/>
      <c r="LJ93" s="6"/>
      <c r="LK93" s="6"/>
      <c r="LL93" s="6"/>
      <c r="LM93" s="6"/>
      <c r="LN93" s="6"/>
      <c r="LO93" s="6"/>
      <c r="LP93" s="6"/>
      <c r="LQ93" s="6"/>
      <c r="LR93" s="6"/>
      <c r="LS93" s="6"/>
      <c r="LT93" s="6"/>
      <c r="LU93" s="6"/>
      <c r="LV93" s="6"/>
      <c r="LW93" s="6"/>
      <c r="LX93" s="6"/>
      <c r="LY93" s="6"/>
      <c r="LZ93" s="6"/>
      <c r="MA93" s="6"/>
      <c r="MB93" s="6"/>
      <c r="MC93" s="6"/>
      <c r="MD93" s="6"/>
      <c r="ME93" s="6"/>
      <c r="MF93" s="6"/>
      <c r="MG93" s="6"/>
      <c r="MH93" s="6"/>
      <c r="MI93" s="6"/>
      <c r="MJ93" s="6"/>
      <c r="MK93" s="6"/>
      <c r="ML93" s="6"/>
      <c r="MM93" s="6"/>
      <c r="MN93" s="6"/>
      <c r="MO93" s="6"/>
      <c r="MP93" s="6"/>
      <c r="MQ93" s="6"/>
      <c r="MR93" s="6"/>
      <c r="MS93" s="6"/>
      <c r="MT93" s="6"/>
      <c r="MU93" s="6"/>
      <c r="MV93" s="6"/>
      <c r="MW93" s="6"/>
      <c r="MX93" s="6"/>
      <c r="MY93" s="6"/>
      <c r="MZ93" s="6"/>
      <c r="NA93" s="6"/>
      <c r="NB93" s="6"/>
      <c r="NC93" s="6"/>
      <c r="ND93" s="6"/>
      <c r="NE93" s="6"/>
      <c r="NF93" s="6"/>
      <c r="NG93" s="6"/>
      <c r="NH93" s="6"/>
      <c r="NI93" s="6"/>
      <c r="NJ93" s="4"/>
    </row>
    <row r="94" spans="1:374" s="1" customFormat="1" x14ac:dyDescent="0.35">
      <c r="A94" s="2">
        <v>43714</v>
      </c>
      <c r="B94" s="15" t="s">
        <v>112</v>
      </c>
      <c r="C94" s="15" t="s">
        <v>255</v>
      </c>
      <c r="D94" s="1">
        <v>93</v>
      </c>
      <c r="E94" s="3">
        <v>2</v>
      </c>
      <c r="F94" s="3">
        <v>2</v>
      </c>
      <c r="G94" s="3">
        <v>1</v>
      </c>
      <c r="H94" s="3">
        <v>24</v>
      </c>
      <c r="I94" s="3">
        <v>1</v>
      </c>
      <c r="J94" s="3">
        <v>1</v>
      </c>
      <c r="K94" s="18">
        <v>0</v>
      </c>
      <c r="L94" s="18">
        <v>1</v>
      </c>
      <c r="M94" s="18">
        <v>1</v>
      </c>
      <c r="N94" s="18">
        <v>1</v>
      </c>
      <c r="O94" s="18">
        <v>1</v>
      </c>
      <c r="P94" s="4">
        <v>0.8</v>
      </c>
      <c r="Q94" s="3">
        <v>99</v>
      </c>
      <c r="R94" s="3">
        <v>99</v>
      </c>
      <c r="S94" s="3">
        <v>101</v>
      </c>
      <c r="T94" s="3">
        <v>105</v>
      </c>
      <c r="U94" s="3">
        <v>135</v>
      </c>
      <c r="V94" s="3">
        <v>116</v>
      </c>
      <c r="W94" s="3">
        <v>139</v>
      </c>
      <c r="X94" s="3">
        <v>102</v>
      </c>
      <c r="Y94" s="3">
        <v>116</v>
      </c>
      <c r="Z94" s="3">
        <v>385</v>
      </c>
      <c r="AA94" s="3">
        <v>401</v>
      </c>
      <c r="AB94" s="3">
        <v>435</v>
      </c>
      <c r="AC94" s="3">
        <v>412</v>
      </c>
      <c r="AD94" s="3">
        <v>448</v>
      </c>
      <c r="AE94" s="3">
        <v>442</v>
      </c>
      <c r="AF94" s="3">
        <v>421</v>
      </c>
      <c r="AG94" s="3">
        <v>369</v>
      </c>
      <c r="AH94" s="3">
        <v>435</v>
      </c>
      <c r="AI94" s="4">
        <v>407</v>
      </c>
      <c r="AJ94" s="4">
        <v>434</v>
      </c>
      <c r="AK94" s="4">
        <v>408.33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f t="shared" ref="AX94:BC94" si="46">AL94+AL95+AL96+AL97</f>
        <v>0</v>
      </c>
      <c r="AY94" s="19">
        <f t="shared" si="46"/>
        <v>0</v>
      </c>
      <c r="AZ94" s="19">
        <f t="shared" si="46"/>
        <v>0</v>
      </c>
      <c r="BA94" s="19">
        <f t="shared" si="46"/>
        <v>0</v>
      </c>
      <c r="BB94" s="19">
        <f t="shared" si="46"/>
        <v>0</v>
      </c>
      <c r="BC94" s="19">
        <f t="shared" si="46"/>
        <v>0</v>
      </c>
      <c r="BD94" s="1">
        <f>AX94*3</f>
        <v>0</v>
      </c>
      <c r="BE94" s="1">
        <f t="shared" ref="BE94:BI94" si="47">AY94*3</f>
        <v>0</v>
      </c>
      <c r="BF94" s="1">
        <f t="shared" si="47"/>
        <v>0</v>
      </c>
      <c r="BG94" s="1">
        <f t="shared" si="47"/>
        <v>0</v>
      </c>
      <c r="BH94" s="1">
        <f t="shared" si="47"/>
        <v>0</v>
      </c>
      <c r="BI94" s="1">
        <f t="shared" si="47"/>
        <v>0</v>
      </c>
      <c r="BJ94" s="1">
        <f>AX94+AY94+AZ94</f>
        <v>0</v>
      </c>
      <c r="BK94" s="1">
        <f>BA94+BB94+BC94</f>
        <v>0</v>
      </c>
      <c r="BL94" s="1">
        <f>BJ94*3</f>
        <v>0</v>
      </c>
      <c r="BM94" s="1">
        <f>BK94*3</f>
        <v>0</v>
      </c>
      <c r="BN94" s="1">
        <f>BL94/3</f>
        <v>0</v>
      </c>
      <c r="BO94" s="1">
        <f>BM94/3</f>
        <v>0</v>
      </c>
      <c r="BP94" s="4">
        <v>407</v>
      </c>
      <c r="BQ94" s="4">
        <v>434</v>
      </c>
      <c r="BR94" s="4">
        <v>408.33333333333331</v>
      </c>
      <c r="BS94" s="4">
        <v>407</v>
      </c>
      <c r="BT94" s="4">
        <v>434</v>
      </c>
      <c r="BU94" s="4">
        <v>4</v>
      </c>
      <c r="BV94" s="3">
        <v>4</v>
      </c>
      <c r="BW94" s="3">
        <v>4</v>
      </c>
      <c r="BX94" s="3">
        <v>4</v>
      </c>
      <c r="BY94" s="3">
        <v>4</v>
      </c>
      <c r="BZ94" s="3">
        <v>1</v>
      </c>
      <c r="CA94" s="3">
        <v>1</v>
      </c>
      <c r="CB94" s="3">
        <v>1</v>
      </c>
      <c r="CC94" s="3">
        <v>1</v>
      </c>
      <c r="CD94" s="3">
        <v>1</v>
      </c>
      <c r="CE94" s="3">
        <v>1</v>
      </c>
      <c r="CF94" s="3">
        <v>1</v>
      </c>
      <c r="CG94" s="3">
        <v>1</v>
      </c>
      <c r="CH94" s="3">
        <v>0</v>
      </c>
      <c r="CI94" s="1">
        <v>7</v>
      </c>
      <c r="CJ94" s="1">
        <v>7</v>
      </c>
      <c r="CK94" s="1">
        <v>7</v>
      </c>
      <c r="CL94" s="1">
        <v>7</v>
      </c>
      <c r="CM94" s="1">
        <v>3</v>
      </c>
      <c r="CN94" s="1">
        <v>6</v>
      </c>
      <c r="CO94" s="1">
        <v>4</v>
      </c>
      <c r="CP94" s="1">
        <v>1</v>
      </c>
      <c r="CQ94" s="1">
        <v>6</v>
      </c>
      <c r="CR94" s="1">
        <v>6</v>
      </c>
      <c r="CS94" s="1">
        <v>7</v>
      </c>
      <c r="CT94" s="1">
        <v>7</v>
      </c>
      <c r="CU94" s="1">
        <v>7</v>
      </c>
      <c r="CV94" s="1">
        <v>6</v>
      </c>
      <c r="CW94" s="1">
        <v>6</v>
      </c>
      <c r="CX94" s="1">
        <v>5</v>
      </c>
      <c r="CY94" s="1">
        <v>7</v>
      </c>
      <c r="CZ94" s="1">
        <v>7</v>
      </c>
      <c r="DA94" s="1">
        <v>6</v>
      </c>
      <c r="DB94" s="1">
        <v>6</v>
      </c>
      <c r="DC94" s="1">
        <v>7</v>
      </c>
      <c r="DD94" s="1">
        <v>7</v>
      </c>
      <c r="DE94" s="1">
        <v>6</v>
      </c>
      <c r="DF94" s="1">
        <v>7</v>
      </c>
      <c r="DG94" s="1">
        <v>6</v>
      </c>
      <c r="DH94" s="1">
        <v>5</v>
      </c>
      <c r="DI94" s="1">
        <v>6</v>
      </c>
      <c r="DJ94" s="1">
        <v>6</v>
      </c>
      <c r="DK94" s="1">
        <v>6</v>
      </c>
      <c r="DL94" s="1">
        <v>6</v>
      </c>
      <c r="DM94" s="19">
        <v>7</v>
      </c>
      <c r="DN94" s="19">
        <v>2</v>
      </c>
      <c r="DO94" s="1">
        <v>5</v>
      </c>
      <c r="DP94" s="1">
        <v>5</v>
      </c>
      <c r="DQ94" s="1">
        <v>6</v>
      </c>
      <c r="DR94" s="1">
        <v>6</v>
      </c>
      <c r="DS94" s="1">
        <v>7</v>
      </c>
      <c r="DT94" s="1">
        <v>6</v>
      </c>
      <c r="DU94" s="27">
        <v>7</v>
      </c>
      <c r="DV94" s="27">
        <v>6</v>
      </c>
      <c r="DW94" s="27">
        <v>5</v>
      </c>
      <c r="DX94" s="27">
        <v>1</v>
      </c>
      <c r="DY94" s="27">
        <v>1</v>
      </c>
      <c r="DZ94" s="27">
        <v>1</v>
      </c>
      <c r="EA94" s="27">
        <v>1</v>
      </c>
      <c r="EB94" s="27">
        <v>4</v>
      </c>
      <c r="EC94" s="27">
        <v>7</v>
      </c>
      <c r="ED94" s="27">
        <v>1</v>
      </c>
      <c r="EE94" s="27">
        <v>6</v>
      </c>
      <c r="EF94" s="27">
        <v>1</v>
      </c>
      <c r="EG94" s="27">
        <v>1</v>
      </c>
      <c r="EH94" s="27">
        <v>7</v>
      </c>
      <c r="EI94" s="27">
        <v>7</v>
      </c>
      <c r="EJ94" s="27">
        <v>7</v>
      </c>
      <c r="EK94" s="27">
        <v>7</v>
      </c>
      <c r="EL94" s="27">
        <v>7</v>
      </c>
      <c r="EM94" s="27">
        <v>1</v>
      </c>
      <c r="EN94" s="27">
        <v>1</v>
      </c>
      <c r="EO94" s="27">
        <v>7</v>
      </c>
      <c r="EP94" s="27">
        <v>7</v>
      </c>
      <c r="EQ94" s="27">
        <v>4</v>
      </c>
      <c r="ER94" s="27">
        <v>7</v>
      </c>
      <c r="ES94" s="27">
        <v>7</v>
      </c>
      <c r="ET94" s="27">
        <v>4</v>
      </c>
      <c r="EU94" s="27">
        <v>4</v>
      </c>
      <c r="EV94" s="1">
        <v>18</v>
      </c>
      <c r="EW94" s="1">
        <v>1</v>
      </c>
      <c r="EY94" s="1">
        <v>3</v>
      </c>
      <c r="EZ94" s="9"/>
      <c r="FA94" s="1">
        <v>1</v>
      </c>
      <c r="FB94" s="9" t="s">
        <v>844</v>
      </c>
      <c r="FC94" s="1">
        <v>1</v>
      </c>
      <c r="FD94" s="1">
        <v>2</v>
      </c>
      <c r="FE94" s="4">
        <v>6.71</v>
      </c>
      <c r="FF94" s="4">
        <v>6.5</v>
      </c>
      <c r="FG94" s="4">
        <v>8.44</v>
      </c>
      <c r="FH94" s="4">
        <v>6.83</v>
      </c>
      <c r="FI94" s="4">
        <v>6.88</v>
      </c>
      <c r="FJ94" s="23">
        <v>6.5</v>
      </c>
      <c r="FK94" s="4">
        <v>5.21</v>
      </c>
      <c r="FL94" s="4">
        <v>6.88</v>
      </c>
      <c r="FM94" s="4">
        <v>4.63</v>
      </c>
      <c r="FN94" s="4">
        <v>6.63</v>
      </c>
      <c r="FO94" s="4">
        <v>6.83</v>
      </c>
      <c r="FP94" s="4">
        <v>6.25</v>
      </c>
      <c r="FQ94" s="4">
        <v>1</v>
      </c>
      <c r="FR94" s="4">
        <v>1</v>
      </c>
      <c r="FS94" s="4">
        <v>4.5</v>
      </c>
      <c r="FT94" s="4">
        <v>4</v>
      </c>
      <c r="FU94" s="4">
        <v>4</v>
      </c>
      <c r="FV94" s="4">
        <v>6.75</v>
      </c>
      <c r="FW94" s="4">
        <v>4.75</v>
      </c>
      <c r="FX94" s="4">
        <v>2.5</v>
      </c>
      <c r="FY94" s="4">
        <v>7</v>
      </c>
      <c r="FZ94" s="4">
        <v>7</v>
      </c>
      <c r="GA94" s="4">
        <v>1.38</v>
      </c>
      <c r="GB94" s="4">
        <v>6.75</v>
      </c>
      <c r="GC94" s="4">
        <v>7</v>
      </c>
      <c r="GD94" s="4">
        <v>5.5</v>
      </c>
      <c r="GE94" s="26"/>
      <c r="GF94" s="26"/>
      <c r="GG94" s="4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S94" s="3"/>
      <c r="HU94" s="3"/>
      <c r="HX94" s="3"/>
      <c r="IA94" s="3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3"/>
      <c r="JP94" s="3"/>
      <c r="JQ94" s="4"/>
      <c r="JR94" s="5"/>
      <c r="JS94" s="5"/>
      <c r="JT94" s="8"/>
      <c r="JU94" s="8"/>
      <c r="JV94" s="8"/>
      <c r="JW94" s="8"/>
      <c r="JX94" s="8"/>
      <c r="JY94" s="8"/>
      <c r="JZ94" s="8"/>
      <c r="KA94" s="8"/>
      <c r="KB94" s="8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</row>
    <row r="95" spans="1:374" s="1" customFormat="1" x14ac:dyDescent="0.35">
      <c r="A95" s="2">
        <v>43714</v>
      </c>
      <c r="B95" s="15" t="s">
        <v>112</v>
      </c>
      <c r="C95" s="15" t="s">
        <v>256</v>
      </c>
      <c r="D95" s="1">
        <v>94</v>
      </c>
      <c r="E95" s="3">
        <v>2</v>
      </c>
      <c r="F95" s="3">
        <v>2</v>
      </c>
      <c r="G95" s="3"/>
      <c r="H95" s="3">
        <v>24</v>
      </c>
      <c r="I95" s="3">
        <v>2</v>
      </c>
      <c r="J95" s="3"/>
      <c r="K95" s="18">
        <v>1</v>
      </c>
      <c r="L95" s="18">
        <v>1</v>
      </c>
      <c r="M95" s="18">
        <v>1</v>
      </c>
      <c r="N95" s="18">
        <v>1</v>
      </c>
      <c r="O95" s="18">
        <v>1</v>
      </c>
      <c r="P95" s="4">
        <v>1</v>
      </c>
      <c r="Q95" s="3">
        <v>110</v>
      </c>
      <c r="R95" s="3">
        <v>113</v>
      </c>
      <c r="S95" s="3">
        <v>118</v>
      </c>
      <c r="T95" s="3">
        <v>98</v>
      </c>
      <c r="U95" s="3">
        <v>123</v>
      </c>
      <c r="V95" s="3">
        <v>119</v>
      </c>
      <c r="W95" s="3">
        <v>114</v>
      </c>
      <c r="X95" s="3">
        <v>86</v>
      </c>
      <c r="Y95" s="3">
        <v>105</v>
      </c>
      <c r="Z95" s="3"/>
      <c r="AA95" s="3"/>
      <c r="AB95" s="3"/>
      <c r="AC95" s="3"/>
      <c r="AD95" s="3"/>
      <c r="AE95" s="3"/>
      <c r="AF95" s="3"/>
      <c r="AG95" s="3"/>
      <c r="AH95" s="3"/>
      <c r="AI95" s="4"/>
      <c r="AJ95" s="4"/>
      <c r="AK95" s="4"/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/>
      <c r="AY95"/>
      <c r="AZ95"/>
      <c r="BA95"/>
      <c r="BB95"/>
      <c r="BC95"/>
      <c r="BP95" s="4"/>
      <c r="BQ95" s="4"/>
      <c r="BR95" s="4"/>
      <c r="BS95" s="4"/>
      <c r="BT95" s="4"/>
      <c r="BU95" s="4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1">
        <v>7</v>
      </c>
      <c r="CJ95" s="1">
        <v>7</v>
      </c>
      <c r="CK95" s="1">
        <v>7</v>
      </c>
      <c r="CL95" s="1">
        <v>7</v>
      </c>
      <c r="CM95" s="1">
        <v>7</v>
      </c>
      <c r="CN95" s="1">
        <v>7</v>
      </c>
      <c r="CO95" s="1">
        <v>7</v>
      </c>
      <c r="CP95" s="1">
        <v>1</v>
      </c>
      <c r="CQ95" s="1">
        <v>7</v>
      </c>
      <c r="CR95" s="1">
        <v>7</v>
      </c>
      <c r="CS95" s="1">
        <v>7</v>
      </c>
      <c r="CT95" s="1">
        <v>7</v>
      </c>
      <c r="CU95" s="1">
        <v>7</v>
      </c>
      <c r="CV95" s="1">
        <v>6</v>
      </c>
      <c r="CW95" s="1">
        <v>7</v>
      </c>
      <c r="CX95" s="1">
        <v>7</v>
      </c>
      <c r="CY95" s="1">
        <v>7</v>
      </c>
      <c r="CZ95" s="1">
        <v>7</v>
      </c>
      <c r="DA95" s="1">
        <v>7</v>
      </c>
      <c r="DB95" s="1">
        <v>7</v>
      </c>
      <c r="DC95" s="1">
        <v>7</v>
      </c>
      <c r="DD95" s="1">
        <v>6</v>
      </c>
      <c r="DE95" s="1">
        <v>7</v>
      </c>
      <c r="DF95" s="1">
        <v>1</v>
      </c>
      <c r="DG95" s="1">
        <v>1</v>
      </c>
      <c r="DH95" s="1">
        <v>2</v>
      </c>
      <c r="DI95" s="1">
        <v>6</v>
      </c>
      <c r="DJ95" s="1">
        <v>2</v>
      </c>
      <c r="DK95" s="1">
        <v>1</v>
      </c>
      <c r="DL95" s="1">
        <v>7</v>
      </c>
      <c r="DM95" s="19">
        <v>7</v>
      </c>
      <c r="DN95" s="19">
        <v>4</v>
      </c>
      <c r="DO95" s="1">
        <v>1</v>
      </c>
      <c r="DP95" s="1">
        <v>7</v>
      </c>
      <c r="DQ95" s="1">
        <v>7</v>
      </c>
      <c r="DR95" s="1">
        <v>7</v>
      </c>
      <c r="DS95" s="1">
        <v>7</v>
      </c>
      <c r="DT95" s="1">
        <v>7</v>
      </c>
      <c r="DU95" s="27">
        <v>7</v>
      </c>
      <c r="DV95" s="27">
        <v>7</v>
      </c>
      <c r="DW95" s="27">
        <v>7</v>
      </c>
      <c r="DX95" s="27">
        <v>1</v>
      </c>
      <c r="DY95" s="27">
        <v>1</v>
      </c>
      <c r="DZ95" s="27">
        <v>7</v>
      </c>
      <c r="EA95" s="27">
        <v>1</v>
      </c>
      <c r="EB95" s="27">
        <v>6</v>
      </c>
      <c r="EC95" s="27">
        <v>1</v>
      </c>
      <c r="ED95" s="27">
        <v>7</v>
      </c>
      <c r="EE95" s="27">
        <v>7</v>
      </c>
      <c r="EF95" s="27">
        <v>7</v>
      </c>
      <c r="EG95" s="27">
        <v>1</v>
      </c>
      <c r="EH95" s="27">
        <v>7</v>
      </c>
      <c r="EI95" s="27">
        <v>7</v>
      </c>
      <c r="EJ95" s="27">
        <v>7</v>
      </c>
      <c r="EK95" s="27">
        <v>7</v>
      </c>
      <c r="EL95" s="27">
        <v>7</v>
      </c>
      <c r="EM95" s="27">
        <v>1</v>
      </c>
      <c r="EN95" s="27">
        <v>1</v>
      </c>
      <c r="EO95" s="27">
        <v>7</v>
      </c>
      <c r="EP95" s="27">
        <v>7</v>
      </c>
      <c r="EQ95" s="27">
        <v>7</v>
      </c>
      <c r="ER95" s="27">
        <v>7</v>
      </c>
      <c r="ES95" s="27">
        <v>7</v>
      </c>
      <c r="ET95" s="27">
        <v>7</v>
      </c>
      <c r="EU95" s="27">
        <v>7</v>
      </c>
      <c r="EV95" s="1">
        <v>18</v>
      </c>
      <c r="EW95" s="1">
        <v>2</v>
      </c>
      <c r="EY95" s="1">
        <v>5</v>
      </c>
      <c r="EZ95" s="9"/>
      <c r="FA95" s="1">
        <v>1</v>
      </c>
      <c r="FB95" s="9" t="s">
        <v>843</v>
      </c>
      <c r="FC95" s="1">
        <v>1</v>
      </c>
      <c r="FD95" s="1">
        <v>8</v>
      </c>
      <c r="FE95" s="4"/>
      <c r="FF95" s="4"/>
      <c r="FG95" s="4"/>
      <c r="FH95" s="4"/>
      <c r="FI95" s="4"/>
      <c r="FJ95" s="23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26"/>
      <c r="GF95" s="26"/>
      <c r="GG95" s="4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S95" s="3"/>
      <c r="HU95" s="3"/>
      <c r="HX95" s="3"/>
      <c r="IA95" s="3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6"/>
      <c r="JP95" s="6"/>
      <c r="JQ95" s="6"/>
      <c r="JR95" s="6"/>
      <c r="JS95" s="6"/>
      <c r="JT95" s="8"/>
      <c r="JU95" s="8"/>
      <c r="JV95" s="8"/>
      <c r="JW95" s="8"/>
      <c r="JX95" s="8"/>
      <c r="JY95" s="8"/>
      <c r="JZ95" s="8"/>
      <c r="KA95" s="8"/>
      <c r="KB95" s="8"/>
      <c r="KC95" s="6"/>
      <c r="KD95" s="6"/>
      <c r="KE95" s="6"/>
      <c r="KF95" s="6"/>
      <c r="KG95" s="6"/>
      <c r="KH95" s="6"/>
      <c r="KI95" s="6"/>
      <c r="KJ95" s="6"/>
      <c r="KK95" s="6"/>
      <c r="KL95" s="4"/>
      <c r="KM95" s="4"/>
      <c r="KN95" s="6"/>
      <c r="KO95" s="4"/>
      <c r="KP95" s="4"/>
      <c r="KQ95" s="6"/>
      <c r="KR95" s="6"/>
      <c r="KS95" s="4"/>
      <c r="KU95" s="4"/>
      <c r="KV95" s="4"/>
      <c r="KW95" s="4"/>
      <c r="KX95" s="6"/>
      <c r="KY95" s="6"/>
      <c r="KZ95" s="6"/>
      <c r="LA95" s="4"/>
      <c r="LB95" s="6"/>
      <c r="LC95" s="6"/>
      <c r="LD95" s="4"/>
      <c r="LE95" s="4"/>
      <c r="LF95" s="6"/>
      <c r="LG95" s="6"/>
      <c r="LH95" s="6"/>
      <c r="LI95" s="6"/>
      <c r="LJ95" s="6"/>
      <c r="LK95" s="6"/>
      <c r="LL95" s="6"/>
      <c r="LM95" s="6"/>
      <c r="LN95" s="6"/>
      <c r="LO95" s="6"/>
      <c r="LP95" s="6"/>
      <c r="LQ95" s="6"/>
      <c r="LR95" s="6"/>
      <c r="LS95" s="6"/>
      <c r="LT95" s="6"/>
      <c r="LU95" s="6"/>
      <c r="LV95" s="6"/>
      <c r="LW95" s="6"/>
      <c r="LX95" s="6"/>
      <c r="LY95" s="6"/>
      <c r="LZ95" s="6"/>
      <c r="MA95" s="6"/>
      <c r="MB95" s="6"/>
      <c r="MC95" s="6"/>
      <c r="MD95" s="6"/>
      <c r="ME95" s="6"/>
      <c r="MF95" s="6"/>
      <c r="MG95" s="6"/>
      <c r="MH95" s="6"/>
      <c r="MI95" s="6"/>
      <c r="MJ95" s="6"/>
      <c r="MK95" s="6"/>
      <c r="ML95" s="6"/>
      <c r="MM95" s="6"/>
      <c r="MN95" s="6"/>
      <c r="MO95" s="6"/>
      <c r="MP95" s="6"/>
      <c r="MQ95" s="6"/>
      <c r="MR95" s="6"/>
      <c r="MS95" s="6"/>
      <c r="MT95" s="6"/>
      <c r="MU95" s="6"/>
      <c r="MV95" s="6"/>
      <c r="MW95" s="6"/>
      <c r="MX95" s="6"/>
      <c r="MY95" s="6"/>
      <c r="MZ95" s="6"/>
      <c r="NA95" s="6"/>
      <c r="NB95" s="6"/>
      <c r="NC95" s="6"/>
      <c r="ND95" s="6"/>
      <c r="NE95" s="6"/>
      <c r="NF95" s="6"/>
      <c r="NG95" s="6"/>
      <c r="NH95" s="6"/>
      <c r="NI95" s="6"/>
      <c r="NJ95" s="4"/>
    </row>
    <row r="96" spans="1:374" s="1" customFormat="1" x14ac:dyDescent="0.35">
      <c r="A96" s="2">
        <v>43714</v>
      </c>
      <c r="B96" s="15" t="s">
        <v>112</v>
      </c>
      <c r="C96" s="15" t="s">
        <v>257</v>
      </c>
      <c r="D96" s="1">
        <v>95</v>
      </c>
      <c r="E96" s="3">
        <v>2</v>
      </c>
      <c r="F96" s="3">
        <v>2</v>
      </c>
      <c r="G96" s="3"/>
      <c r="H96" s="3">
        <v>24</v>
      </c>
      <c r="I96" s="3">
        <v>3</v>
      </c>
      <c r="J96" s="3"/>
      <c r="K96" s="18">
        <v>1</v>
      </c>
      <c r="L96" s="18">
        <v>1</v>
      </c>
      <c r="M96" s="18">
        <v>1</v>
      </c>
      <c r="N96" s="18">
        <v>1</v>
      </c>
      <c r="O96" s="18">
        <v>1</v>
      </c>
      <c r="P96" s="4">
        <v>1</v>
      </c>
      <c r="Q96" s="3">
        <v>79</v>
      </c>
      <c r="R96" s="3">
        <v>93</v>
      </c>
      <c r="S96" s="3">
        <v>98</v>
      </c>
      <c r="T96" s="3">
        <v>95</v>
      </c>
      <c r="U96" s="3">
        <v>89</v>
      </c>
      <c r="V96" s="3">
        <v>119</v>
      </c>
      <c r="W96" s="3">
        <v>77</v>
      </c>
      <c r="X96" s="3">
        <v>87</v>
      </c>
      <c r="Y96" s="3">
        <v>118</v>
      </c>
      <c r="Z96" s="3"/>
      <c r="AA96" s="3"/>
      <c r="AB96" s="3"/>
      <c r="AC96" s="3"/>
      <c r="AD96" s="3"/>
      <c r="AE96" s="3"/>
      <c r="AF96" s="3"/>
      <c r="AG96" s="3"/>
      <c r="AH96" s="3"/>
      <c r="AI96" s="4"/>
      <c r="AJ96" s="4"/>
      <c r="AK96" s="4"/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/>
      <c r="AY96"/>
      <c r="AZ96"/>
      <c r="BA96"/>
      <c r="BB96"/>
      <c r="BC96"/>
      <c r="BP96" s="4"/>
      <c r="BQ96" s="4"/>
      <c r="BR96" s="4"/>
      <c r="BS96" s="4"/>
      <c r="BT96" s="4"/>
      <c r="BU96" s="4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1">
        <v>7</v>
      </c>
      <c r="CJ96" s="1">
        <v>7</v>
      </c>
      <c r="CK96" s="1">
        <v>7</v>
      </c>
      <c r="CL96" s="1">
        <v>7</v>
      </c>
      <c r="CM96" s="1">
        <v>7</v>
      </c>
      <c r="CN96" s="1">
        <v>7</v>
      </c>
      <c r="CO96" s="1">
        <v>7</v>
      </c>
      <c r="CP96" s="1">
        <v>1</v>
      </c>
      <c r="CQ96" s="1">
        <v>7</v>
      </c>
      <c r="CR96" s="1">
        <v>7</v>
      </c>
      <c r="CS96" s="1">
        <v>7</v>
      </c>
      <c r="CT96" s="1">
        <v>7</v>
      </c>
      <c r="CU96" s="1">
        <v>7</v>
      </c>
      <c r="CV96" s="1">
        <v>7</v>
      </c>
      <c r="CW96" s="1">
        <v>7</v>
      </c>
      <c r="CX96" s="1">
        <v>7</v>
      </c>
      <c r="CY96" s="1">
        <v>7</v>
      </c>
      <c r="CZ96" s="1">
        <v>7</v>
      </c>
      <c r="DA96" s="1">
        <v>7</v>
      </c>
      <c r="DB96" s="1">
        <v>7</v>
      </c>
      <c r="DC96" s="1">
        <v>7</v>
      </c>
      <c r="DD96" s="1">
        <v>7</v>
      </c>
      <c r="DE96" s="1">
        <v>6</v>
      </c>
      <c r="DF96" s="1">
        <v>6</v>
      </c>
      <c r="DG96" s="1">
        <v>4</v>
      </c>
      <c r="DH96" s="1">
        <v>5</v>
      </c>
      <c r="DI96" s="1">
        <v>7</v>
      </c>
      <c r="DJ96" s="1">
        <v>7</v>
      </c>
      <c r="DK96" s="1">
        <v>5</v>
      </c>
      <c r="DL96" s="1">
        <v>7</v>
      </c>
      <c r="DM96" s="19">
        <v>7</v>
      </c>
      <c r="DN96" s="19">
        <v>7</v>
      </c>
      <c r="DO96" s="1">
        <v>5</v>
      </c>
      <c r="DP96" s="1">
        <v>7</v>
      </c>
      <c r="DQ96" s="1">
        <v>7</v>
      </c>
      <c r="DR96" s="1">
        <v>7</v>
      </c>
      <c r="DS96" s="1">
        <v>7</v>
      </c>
      <c r="DT96" s="1">
        <v>7</v>
      </c>
      <c r="DU96" s="27">
        <v>7</v>
      </c>
      <c r="DV96" s="27">
        <v>7</v>
      </c>
      <c r="DW96" s="27">
        <v>7</v>
      </c>
      <c r="DX96" s="27">
        <v>1</v>
      </c>
      <c r="DY96" s="27">
        <v>1</v>
      </c>
      <c r="DZ96" s="27">
        <v>1</v>
      </c>
      <c r="EA96" s="27">
        <v>1</v>
      </c>
      <c r="EB96" s="27">
        <v>7</v>
      </c>
      <c r="EC96" s="27">
        <v>1</v>
      </c>
      <c r="ED96" s="27">
        <v>7</v>
      </c>
      <c r="EE96" s="27">
        <v>7</v>
      </c>
      <c r="EF96" s="27">
        <v>4</v>
      </c>
      <c r="EG96" s="27">
        <v>7</v>
      </c>
      <c r="EH96" s="27">
        <v>7</v>
      </c>
      <c r="EI96" s="27">
        <v>7</v>
      </c>
      <c r="EJ96" s="27">
        <v>7</v>
      </c>
      <c r="EK96" s="27">
        <v>7</v>
      </c>
      <c r="EL96" s="27">
        <v>7</v>
      </c>
      <c r="EM96" s="27">
        <v>1</v>
      </c>
      <c r="EN96" s="27">
        <v>1</v>
      </c>
      <c r="EO96" s="27">
        <v>7</v>
      </c>
      <c r="EP96" s="27">
        <v>7</v>
      </c>
      <c r="EQ96" s="27">
        <v>7</v>
      </c>
      <c r="ER96" s="27">
        <v>7</v>
      </c>
      <c r="ES96" s="27">
        <v>7</v>
      </c>
      <c r="ET96" s="27">
        <v>4</v>
      </c>
      <c r="EU96" s="27">
        <v>4</v>
      </c>
      <c r="EV96" s="1">
        <v>19</v>
      </c>
      <c r="EW96" s="1">
        <v>2</v>
      </c>
      <c r="EY96" s="1">
        <v>1</v>
      </c>
      <c r="EZ96" s="9"/>
      <c r="FA96" s="1">
        <v>2</v>
      </c>
      <c r="FB96" s="9" t="s">
        <v>845</v>
      </c>
      <c r="FC96" s="1">
        <v>0</v>
      </c>
      <c r="FD96" s="1">
        <v>6</v>
      </c>
      <c r="FE96" s="4"/>
      <c r="FF96" s="4"/>
      <c r="FG96" s="4"/>
      <c r="FH96" s="4"/>
      <c r="FI96" s="4"/>
      <c r="FJ96" s="23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26"/>
      <c r="GF96" s="26"/>
      <c r="GG96" s="4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S96" s="3"/>
      <c r="HU96" s="3"/>
      <c r="HX96" s="3"/>
      <c r="IA96" s="3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6"/>
      <c r="JP96" s="6"/>
      <c r="JQ96" s="6"/>
      <c r="JR96" s="6"/>
      <c r="JS96" s="6"/>
      <c r="JT96" s="8"/>
      <c r="JU96" s="8"/>
      <c r="JV96" s="8"/>
      <c r="JW96" s="8"/>
      <c r="JX96" s="8"/>
      <c r="JY96" s="8"/>
      <c r="JZ96" s="8"/>
      <c r="KA96" s="8"/>
      <c r="KB96" s="8"/>
      <c r="KC96" s="6"/>
      <c r="KD96" s="6"/>
      <c r="KE96" s="6"/>
      <c r="KF96" s="6"/>
      <c r="KG96" s="6"/>
      <c r="KH96" s="6"/>
      <c r="KI96" s="6"/>
      <c r="KJ96" s="6"/>
      <c r="KK96" s="6"/>
      <c r="KL96" s="4"/>
      <c r="KM96" s="4"/>
      <c r="KN96" s="6"/>
      <c r="KO96" s="4"/>
      <c r="KP96" s="4"/>
      <c r="KQ96" s="6"/>
      <c r="KR96" s="6"/>
      <c r="KS96" s="4"/>
      <c r="KU96" s="4"/>
      <c r="KV96" s="4"/>
      <c r="KW96" s="4"/>
      <c r="KX96" s="6"/>
      <c r="KY96" s="6"/>
      <c r="KZ96" s="6"/>
      <c r="LA96" s="4"/>
      <c r="LB96" s="6"/>
      <c r="LC96" s="6"/>
      <c r="LD96" s="4"/>
      <c r="LE96" s="4"/>
      <c r="LF96" s="6"/>
      <c r="LG96" s="6"/>
      <c r="LH96" s="6"/>
      <c r="LI96" s="6"/>
      <c r="LJ96" s="6"/>
      <c r="LK96" s="6"/>
      <c r="LL96" s="6"/>
      <c r="LM96" s="6"/>
      <c r="LN96" s="6"/>
      <c r="LO96" s="6"/>
      <c r="LP96" s="6"/>
      <c r="LQ96" s="6"/>
      <c r="LR96" s="6"/>
      <c r="LS96" s="6"/>
      <c r="LT96" s="6"/>
      <c r="LU96" s="6"/>
      <c r="LV96" s="6"/>
      <c r="LW96" s="6"/>
      <c r="LX96" s="6"/>
      <c r="LY96" s="6"/>
      <c r="LZ96" s="6"/>
      <c r="MA96" s="6"/>
      <c r="MB96" s="6"/>
      <c r="MC96" s="6"/>
      <c r="MD96" s="6"/>
      <c r="ME96" s="6"/>
      <c r="MF96" s="6"/>
      <c r="MG96" s="6"/>
      <c r="MH96" s="6"/>
      <c r="MI96" s="6"/>
      <c r="MJ96" s="6"/>
      <c r="MK96" s="6"/>
      <c r="ML96" s="6"/>
      <c r="MM96" s="6"/>
      <c r="MN96" s="6"/>
      <c r="MO96" s="6"/>
      <c r="MP96" s="6"/>
      <c r="MQ96" s="6"/>
      <c r="MR96" s="6"/>
      <c r="MS96" s="6"/>
      <c r="MT96" s="6"/>
      <c r="MU96" s="6"/>
      <c r="MV96" s="6"/>
      <c r="MW96" s="6"/>
      <c r="MX96" s="6"/>
      <c r="MY96" s="6"/>
      <c r="MZ96" s="6"/>
      <c r="NA96" s="6"/>
      <c r="NB96" s="6"/>
      <c r="NC96" s="6"/>
      <c r="ND96" s="6"/>
      <c r="NE96" s="6"/>
      <c r="NF96" s="6"/>
      <c r="NG96" s="6"/>
      <c r="NH96" s="6"/>
      <c r="NI96" s="6"/>
      <c r="NJ96" s="4"/>
    </row>
    <row r="97" spans="1:374" s="1" customFormat="1" x14ac:dyDescent="0.35">
      <c r="A97" s="2">
        <v>43714</v>
      </c>
      <c r="B97" s="15" t="s">
        <v>112</v>
      </c>
      <c r="C97" s="15" t="s">
        <v>258</v>
      </c>
      <c r="D97" s="1">
        <v>96</v>
      </c>
      <c r="E97" s="3">
        <v>2</v>
      </c>
      <c r="F97" s="3">
        <v>2</v>
      </c>
      <c r="G97" s="3"/>
      <c r="H97" s="3">
        <v>24</v>
      </c>
      <c r="I97" s="3">
        <v>4</v>
      </c>
      <c r="J97" s="3"/>
      <c r="K97" s="18">
        <v>1</v>
      </c>
      <c r="L97" s="18">
        <v>1</v>
      </c>
      <c r="M97" s="18">
        <v>1</v>
      </c>
      <c r="N97" s="18">
        <v>1</v>
      </c>
      <c r="O97" s="18">
        <v>0</v>
      </c>
      <c r="P97" s="4">
        <v>0.8</v>
      </c>
      <c r="Q97" s="3">
        <v>97</v>
      </c>
      <c r="R97" s="3">
        <v>96</v>
      </c>
      <c r="S97" s="3">
        <v>118</v>
      </c>
      <c r="T97" s="3">
        <v>114</v>
      </c>
      <c r="U97" s="3">
        <v>101</v>
      </c>
      <c r="V97" s="3">
        <v>88</v>
      </c>
      <c r="W97" s="3">
        <v>91</v>
      </c>
      <c r="X97" s="3">
        <v>94</v>
      </c>
      <c r="Y97" s="3">
        <v>96</v>
      </c>
      <c r="Z97" s="3"/>
      <c r="AA97" s="3"/>
      <c r="AB97" s="3"/>
      <c r="AC97" s="3"/>
      <c r="AD97" s="3"/>
      <c r="AE97" s="3"/>
      <c r="AF97" s="3"/>
      <c r="AG97" s="3"/>
      <c r="AH97" s="3"/>
      <c r="AI97" s="4"/>
      <c r="AJ97" s="4"/>
      <c r="AK97" s="4"/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/>
      <c r="AY97"/>
      <c r="AZ97"/>
      <c r="BA97"/>
      <c r="BB97"/>
      <c r="BC97"/>
      <c r="BP97" s="4"/>
      <c r="BQ97" s="4"/>
      <c r="BR97" s="4"/>
      <c r="BS97" s="4"/>
      <c r="BT97" s="4"/>
      <c r="BU97" s="4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1">
        <v>7</v>
      </c>
      <c r="CJ97" s="1">
        <v>7</v>
      </c>
      <c r="CK97" s="1">
        <v>7</v>
      </c>
      <c r="CL97" s="1">
        <v>7</v>
      </c>
      <c r="CM97" s="1">
        <v>7</v>
      </c>
      <c r="CN97" s="1">
        <v>7</v>
      </c>
      <c r="CO97" s="1">
        <v>7</v>
      </c>
      <c r="CP97" s="1">
        <v>7</v>
      </c>
      <c r="CQ97" s="1">
        <v>7</v>
      </c>
      <c r="CR97" s="1">
        <v>7</v>
      </c>
      <c r="CS97" s="1">
        <v>7</v>
      </c>
      <c r="CT97" s="1">
        <v>1</v>
      </c>
      <c r="CU97" s="1">
        <v>7</v>
      </c>
      <c r="CV97" s="1">
        <v>7</v>
      </c>
      <c r="CW97" s="1">
        <v>7</v>
      </c>
      <c r="CX97" s="1">
        <v>7</v>
      </c>
      <c r="CY97" s="1">
        <v>7</v>
      </c>
      <c r="CZ97" s="1">
        <v>7</v>
      </c>
      <c r="DA97" s="1">
        <v>7</v>
      </c>
      <c r="DB97" s="1">
        <v>7</v>
      </c>
      <c r="DC97" s="1">
        <v>7</v>
      </c>
      <c r="DD97" s="1">
        <v>7</v>
      </c>
      <c r="DE97" s="1">
        <v>7</v>
      </c>
      <c r="DF97" s="1">
        <v>7</v>
      </c>
      <c r="DG97" s="1">
        <v>7</v>
      </c>
      <c r="DH97" s="1">
        <v>7</v>
      </c>
      <c r="DI97" s="1">
        <v>7</v>
      </c>
      <c r="DJ97" s="1">
        <v>7</v>
      </c>
      <c r="DK97" s="1">
        <v>7</v>
      </c>
      <c r="DL97" s="1">
        <v>7</v>
      </c>
      <c r="DM97" s="19">
        <v>7</v>
      </c>
      <c r="DN97" s="19">
        <v>7</v>
      </c>
      <c r="DO97" s="1">
        <v>6</v>
      </c>
      <c r="DP97" s="1">
        <v>7</v>
      </c>
      <c r="DQ97" s="1">
        <v>7</v>
      </c>
      <c r="DR97" s="1">
        <v>7</v>
      </c>
      <c r="DS97" s="1">
        <v>7</v>
      </c>
      <c r="DT97" s="1">
        <v>7</v>
      </c>
      <c r="DU97" s="27">
        <v>7</v>
      </c>
      <c r="DV97" s="27">
        <v>7</v>
      </c>
      <c r="DW97" s="27">
        <v>1</v>
      </c>
      <c r="DX97" s="27">
        <v>1</v>
      </c>
      <c r="DY97" s="27">
        <v>1</v>
      </c>
      <c r="DZ97" s="27">
        <v>1</v>
      </c>
      <c r="EA97" s="27">
        <v>1</v>
      </c>
      <c r="EB97" s="27">
        <v>1</v>
      </c>
      <c r="EC97" s="27">
        <v>7</v>
      </c>
      <c r="ED97" s="27">
        <v>1</v>
      </c>
      <c r="EE97" s="27">
        <v>7</v>
      </c>
      <c r="EF97" s="27">
        <v>7</v>
      </c>
      <c r="EG97" s="27">
        <v>1</v>
      </c>
      <c r="EH97" s="27">
        <v>7</v>
      </c>
      <c r="EI97" s="27">
        <v>7</v>
      </c>
      <c r="EJ97" s="27">
        <v>7</v>
      </c>
      <c r="EK97" s="27">
        <v>7</v>
      </c>
      <c r="EL97" s="27">
        <v>7</v>
      </c>
      <c r="EM97" s="27">
        <v>1</v>
      </c>
      <c r="EN97" s="27">
        <v>4</v>
      </c>
      <c r="EO97" s="27">
        <v>7</v>
      </c>
      <c r="EP97" s="27">
        <v>7</v>
      </c>
      <c r="EQ97" s="27">
        <v>7</v>
      </c>
      <c r="ER97" s="27">
        <v>7</v>
      </c>
      <c r="ES97" s="27">
        <v>7</v>
      </c>
      <c r="ET97" s="27">
        <v>7</v>
      </c>
      <c r="EU97" s="27">
        <v>7</v>
      </c>
      <c r="EV97" s="1">
        <v>20</v>
      </c>
      <c r="EW97" s="1">
        <v>2</v>
      </c>
      <c r="EY97" s="1">
        <v>2</v>
      </c>
      <c r="EZ97" s="9"/>
      <c r="FA97" s="1">
        <v>1</v>
      </c>
      <c r="FB97" s="9" t="s">
        <v>846</v>
      </c>
      <c r="FC97" s="1">
        <v>1</v>
      </c>
      <c r="FD97" s="1">
        <v>4</v>
      </c>
      <c r="FE97" s="4"/>
      <c r="FF97" s="4"/>
      <c r="FG97" s="4"/>
      <c r="FH97" s="4"/>
      <c r="FI97" s="4"/>
      <c r="FJ97" s="23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26"/>
      <c r="GF97" s="26"/>
      <c r="GG97" s="4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S97" s="3"/>
      <c r="HU97" s="3"/>
      <c r="HX97" s="3"/>
      <c r="IA97" s="3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6"/>
      <c r="JP97" s="6"/>
      <c r="JQ97" s="6"/>
      <c r="JR97" s="6"/>
      <c r="JS97" s="6"/>
      <c r="JT97" s="8"/>
      <c r="JU97" s="8"/>
      <c r="JV97" s="8"/>
      <c r="JW97" s="8"/>
      <c r="JX97" s="8"/>
      <c r="JY97" s="8"/>
      <c r="JZ97" s="8"/>
      <c r="KA97" s="8"/>
      <c r="KB97" s="8"/>
      <c r="KC97" s="6"/>
      <c r="KD97" s="6"/>
      <c r="KE97" s="6"/>
      <c r="KF97" s="6"/>
      <c r="KG97" s="6"/>
      <c r="KH97" s="6"/>
      <c r="KI97" s="6"/>
      <c r="KJ97" s="6"/>
      <c r="KK97" s="6"/>
      <c r="KL97" s="4"/>
      <c r="KM97" s="4"/>
      <c r="KN97" s="6"/>
      <c r="KO97" s="4"/>
      <c r="KP97" s="4"/>
      <c r="KQ97" s="6"/>
      <c r="KR97" s="6"/>
      <c r="KS97" s="4"/>
      <c r="KU97" s="4"/>
      <c r="KV97" s="4"/>
      <c r="KW97" s="4"/>
      <c r="KX97" s="6"/>
      <c r="KY97" s="6"/>
      <c r="KZ97" s="6"/>
      <c r="LA97" s="4"/>
      <c r="LB97" s="6"/>
      <c r="LC97" s="6"/>
      <c r="LD97" s="4"/>
      <c r="LE97" s="4"/>
      <c r="LF97" s="6"/>
      <c r="LG97" s="6"/>
      <c r="LH97" s="6"/>
      <c r="LI97" s="6"/>
      <c r="LJ97" s="6"/>
      <c r="LK97" s="6"/>
      <c r="LL97" s="6"/>
      <c r="LM97" s="6"/>
      <c r="LN97" s="6"/>
      <c r="LO97" s="6"/>
      <c r="LP97" s="6"/>
      <c r="LQ97" s="6"/>
      <c r="LR97" s="6"/>
      <c r="LS97" s="6"/>
      <c r="LT97" s="6"/>
      <c r="LU97" s="6"/>
      <c r="LV97" s="6"/>
      <c r="LW97" s="6"/>
      <c r="LX97" s="6"/>
      <c r="LY97" s="6"/>
      <c r="LZ97" s="6"/>
      <c r="MA97" s="6"/>
      <c r="MB97" s="6"/>
      <c r="MC97" s="6"/>
      <c r="MD97" s="6"/>
      <c r="ME97" s="6"/>
      <c r="MF97" s="6"/>
      <c r="MG97" s="6"/>
      <c r="MH97" s="6"/>
      <c r="MI97" s="6"/>
      <c r="MJ97" s="6"/>
      <c r="MK97" s="6"/>
      <c r="ML97" s="6"/>
      <c r="MM97" s="6"/>
      <c r="MN97" s="6"/>
      <c r="MO97" s="6"/>
      <c r="MP97" s="6"/>
      <c r="MQ97" s="6"/>
      <c r="MR97" s="6"/>
      <c r="MS97" s="6"/>
      <c r="MT97" s="6"/>
      <c r="MU97" s="6"/>
      <c r="MV97" s="6"/>
      <c r="MW97" s="6"/>
      <c r="MX97" s="6"/>
      <c r="MY97" s="6"/>
      <c r="MZ97" s="6"/>
      <c r="NA97" s="6"/>
      <c r="NB97" s="6"/>
      <c r="NC97" s="6"/>
      <c r="ND97" s="6"/>
      <c r="NE97" s="6"/>
      <c r="NF97" s="6"/>
      <c r="NG97" s="6"/>
      <c r="NH97" s="6"/>
      <c r="NI97" s="6"/>
      <c r="NJ97" s="4"/>
    </row>
    <row r="98" spans="1:374" s="1" customFormat="1" x14ac:dyDescent="0.35">
      <c r="A98" s="2">
        <v>43714</v>
      </c>
      <c r="B98" s="15" t="s">
        <v>113</v>
      </c>
      <c r="C98" s="15" t="s">
        <v>259</v>
      </c>
      <c r="D98" s="1">
        <v>97</v>
      </c>
      <c r="E98" s="3">
        <v>2</v>
      </c>
      <c r="F98" s="3">
        <v>2</v>
      </c>
      <c r="G98" s="3">
        <v>1</v>
      </c>
      <c r="H98" s="3">
        <v>25</v>
      </c>
      <c r="I98" s="3">
        <v>1</v>
      </c>
      <c r="J98" s="3">
        <v>1</v>
      </c>
      <c r="K98" s="18">
        <v>1</v>
      </c>
      <c r="L98" s="18">
        <v>1</v>
      </c>
      <c r="M98" s="18">
        <v>1</v>
      </c>
      <c r="N98" s="18">
        <v>1</v>
      </c>
      <c r="O98" s="18">
        <v>1</v>
      </c>
      <c r="P98" s="4">
        <v>1</v>
      </c>
      <c r="Q98" s="3">
        <v>21</v>
      </c>
      <c r="R98" s="3">
        <v>122</v>
      </c>
      <c r="S98" s="3">
        <v>100</v>
      </c>
      <c r="T98" s="3">
        <v>110</v>
      </c>
      <c r="U98" s="3">
        <v>117</v>
      </c>
      <c r="V98" s="3">
        <v>103</v>
      </c>
      <c r="W98" s="3">
        <v>130</v>
      </c>
      <c r="X98" s="3">
        <v>101</v>
      </c>
      <c r="Y98" s="3">
        <v>105</v>
      </c>
      <c r="Z98" s="3">
        <v>247</v>
      </c>
      <c r="AA98" s="3">
        <v>424</v>
      </c>
      <c r="AB98" s="3">
        <v>450</v>
      </c>
      <c r="AC98" s="3">
        <v>424</v>
      </c>
      <c r="AD98" s="3">
        <v>447</v>
      </c>
      <c r="AE98" s="3">
        <v>404</v>
      </c>
      <c r="AF98" s="3">
        <v>444</v>
      </c>
      <c r="AG98" s="3">
        <v>414</v>
      </c>
      <c r="AH98" s="3">
        <v>385</v>
      </c>
      <c r="AI98" s="4">
        <v>373.67</v>
      </c>
      <c r="AJ98" s="4">
        <v>425</v>
      </c>
      <c r="AK98" s="4">
        <v>414.33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f t="shared" ref="AX98:BC98" si="48">AL98+AL99+AL100+AL101</f>
        <v>0</v>
      </c>
      <c r="AY98" s="19">
        <f t="shared" si="48"/>
        <v>0</v>
      </c>
      <c r="AZ98" s="19">
        <f t="shared" si="48"/>
        <v>0</v>
      </c>
      <c r="BA98" s="19">
        <f t="shared" si="48"/>
        <v>0</v>
      </c>
      <c r="BB98" s="19">
        <f t="shared" si="48"/>
        <v>0</v>
      </c>
      <c r="BC98" s="19">
        <f t="shared" si="48"/>
        <v>0</v>
      </c>
      <c r="BD98" s="1">
        <f>AX98*3</f>
        <v>0</v>
      </c>
      <c r="BE98" s="1">
        <f t="shared" ref="BE98:BI98" si="49">AY98*3</f>
        <v>0</v>
      </c>
      <c r="BF98" s="1">
        <f t="shared" si="49"/>
        <v>0</v>
      </c>
      <c r="BG98" s="1">
        <f t="shared" si="49"/>
        <v>0</v>
      </c>
      <c r="BH98" s="1">
        <f t="shared" si="49"/>
        <v>0</v>
      </c>
      <c r="BI98" s="1">
        <f t="shared" si="49"/>
        <v>0</v>
      </c>
      <c r="BJ98" s="1">
        <f>AX98+AY98+AZ98</f>
        <v>0</v>
      </c>
      <c r="BK98" s="1">
        <f>BA98+BB98+BC98</f>
        <v>0</v>
      </c>
      <c r="BL98" s="1">
        <f>BJ98*3</f>
        <v>0</v>
      </c>
      <c r="BM98" s="1">
        <f>BK98*3</f>
        <v>0</v>
      </c>
      <c r="BN98" s="1">
        <f>BL98/3</f>
        <v>0</v>
      </c>
      <c r="BO98" s="1">
        <f>BM98/3</f>
        <v>0</v>
      </c>
      <c r="BP98" s="4">
        <v>373.66666666666669</v>
      </c>
      <c r="BQ98" s="4">
        <v>425</v>
      </c>
      <c r="BR98" s="4">
        <v>414.33333333333331</v>
      </c>
      <c r="BS98" s="4">
        <v>373.67</v>
      </c>
      <c r="BT98" s="4">
        <v>425</v>
      </c>
      <c r="BU98" s="4">
        <v>3.63</v>
      </c>
      <c r="BV98" s="3">
        <v>1</v>
      </c>
      <c r="BW98" s="3">
        <v>4</v>
      </c>
      <c r="BX98" s="3">
        <v>4</v>
      </c>
      <c r="BY98" s="3">
        <v>4</v>
      </c>
      <c r="BZ98" s="3">
        <v>1</v>
      </c>
      <c r="CA98" s="3">
        <v>1</v>
      </c>
      <c r="CB98" s="3">
        <v>1</v>
      </c>
      <c r="CC98" s="3">
        <v>1</v>
      </c>
      <c r="CD98" s="3">
        <v>1</v>
      </c>
      <c r="CE98" s="3">
        <v>1</v>
      </c>
      <c r="CF98" s="3">
        <v>1</v>
      </c>
      <c r="CG98" s="3">
        <v>1</v>
      </c>
      <c r="CH98" s="3">
        <v>0</v>
      </c>
      <c r="CI98" s="1">
        <v>7</v>
      </c>
      <c r="CJ98" s="1">
        <v>7</v>
      </c>
      <c r="CK98" s="1">
        <v>7</v>
      </c>
      <c r="CL98" s="1">
        <v>7</v>
      </c>
      <c r="CM98" s="1">
        <v>6</v>
      </c>
      <c r="CN98" s="1">
        <v>7</v>
      </c>
      <c r="CO98" s="1">
        <v>6</v>
      </c>
      <c r="CP98" s="1">
        <v>1</v>
      </c>
      <c r="CQ98" s="1">
        <v>6</v>
      </c>
      <c r="CR98" s="1">
        <v>7</v>
      </c>
      <c r="CS98" s="1">
        <v>7</v>
      </c>
      <c r="CT98" s="1">
        <v>7</v>
      </c>
      <c r="CU98" s="1">
        <v>7</v>
      </c>
      <c r="CV98" s="1">
        <v>7</v>
      </c>
      <c r="CW98" s="1">
        <v>6</v>
      </c>
      <c r="CX98" s="1">
        <v>7</v>
      </c>
      <c r="CY98" s="1">
        <v>6</v>
      </c>
      <c r="CZ98" s="1">
        <v>7</v>
      </c>
      <c r="DA98" s="1">
        <v>6</v>
      </c>
      <c r="DB98" s="1">
        <v>7</v>
      </c>
      <c r="DC98" s="1">
        <v>7</v>
      </c>
      <c r="DD98" s="1">
        <v>7</v>
      </c>
      <c r="DE98" s="1">
        <v>6</v>
      </c>
      <c r="DF98" s="1">
        <v>7</v>
      </c>
      <c r="DG98" s="1">
        <v>6</v>
      </c>
      <c r="DH98" s="1">
        <v>7</v>
      </c>
      <c r="DI98" s="1">
        <v>6</v>
      </c>
      <c r="DJ98" s="1">
        <v>7</v>
      </c>
      <c r="DK98" s="1">
        <v>7</v>
      </c>
      <c r="DL98" s="1">
        <v>4</v>
      </c>
      <c r="DM98" s="19">
        <v>5</v>
      </c>
      <c r="DN98" s="19">
        <v>7</v>
      </c>
      <c r="DO98" s="1">
        <v>4</v>
      </c>
      <c r="DP98" s="1">
        <v>6</v>
      </c>
      <c r="DQ98" s="1">
        <v>7</v>
      </c>
      <c r="DR98" s="1">
        <v>4</v>
      </c>
      <c r="DS98" s="1">
        <v>6</v>
      </c>
      <c r="DT98" s="1">
        <v>7</v>
      </c>
      <c r="DU98" s="27">
        <v>7</v>
      </c>
      <c r="DV98" s="27">
        <v>7</v>
      </c>
      <c r="DW98" s="27">
        <v>7</v>
      </c>
      <c r="DX98" s="27">
        <v>7</v>
      </c>
      <c r="DY98" s="27">
        <v>7</v>
      </c>
      <c r="DZ98" s="27">
        <v>5</v>
      </c>
      <c r="EA98" s="27">
        <v>5</v>
      </c>
      <c r="EB98" s="27">
        <v>7</v>
      </c>
      <c r="EC98" s="27">
        <v>7</v>
      </c>
      <c r="ED98" s="27">
        <v>3</v>
      </c>
      <c r="EE98" s="27">
        <v>4</v>
      </c>
      <c r="EF98" s="27">
        <v>3</v>
      </c>
      <c r="EG98" s="27">
        <v>7</v>
      </c>
      <c r="EH98" s="27">
        <v>7</v>
      </c>
      <c r="EI98" s="27">
        <v>7</v>
      </c>
      <c r="EJ98" s="27">
        <v>4</v>
      </c>
      <c r="EK98" s="27">
        <v>4</v>
      </c>
      <c r="EL98" s="27">
        <v>4</v>
      </c>
      <c r="EM98" s="27">
        <v>1</v>
      </c>
      <c r="EN98" s="27">
        <v>4</v>
      </c>
      <c r="EO98" s="27">
        <v>7</v>
      </c>
      <c r="EP98" s="27">
        <v>7</v>
      </c>
      <c r="EQ98" s="27">
        <v>7</v>
      </c>
      <c r="ER98" s="27">
        <v>4</v>
      </c>
      <c r="ES98" s="27">
        <v>4</v>
      </c>
      <c r="ET98" s="27">
        <v>7</v>
      </c>
      <c r="EU98" s="27">
        <v>7</v>
      </c>
      <c r="EV98" s="1">
        <v>18</v>
      </c>
      <c r="EW98" s="1">
        <v>1</v>
      </c>
      <c r="EY98" s="1">
        <v>1</v>
      </c>
      <c r="EZ98" s="9"/>
      <c r="FA98" s="1">
        <v>1</v>
      </c>
      <c r="FB98" s="9" t="s">
        <v>847</v>
      </c>
      <c r="FC98" s="1">
        <v>0</v>
      </c>
      <c r="FD98" s="1">
        <v>5</v>
      </c>
      <c r="FE98" s="4">
        <v>6.54</v>
      </c>
      <c r="FF98" s="4">
        <v>6.75</v>
      </c>
      <c r="FG98" s="4">
        <v>8.25</v>
      </c>
      <c r="FH98" s="4">
        <v>6.92</v>
      </c>
      <c r="FI98" s="4">
        <v>7</v>
      </c>
      <c r="FJ98" s="23">
        <v>6.75</v>
      </c>
      <c r="FK98" s="4">
        <v>4</v>
      </c>
      <c r="FL98" s="4">
        <v>6.38</v>
      </c>
      <c r="FM98" s="4">
        <v>3.25</v>
      </c>
      <c r="FN98" s="4">
        <v>4.75</v>
      </c>
      <c r="FO98" s="4">
        <v>6.42</v>
      </c>
      <c r="FP98" s="4">
        <v>5.33</v>
      </c>
      <c r="FQ98" s="4">
        <v>3.5</v>
      </c>
      <c r="FR98" s="4">
        <v>2.75</v>
      </c>
      <c r="FS98" s="4">
        <v>5</v>
      </c>
      <c r="FT98" s="4">
        <v>5</v>
      </c>
      <c r="FU98" s="4">
        <v>5.25</v>
      </c>
      <c r="FV98" s="4">
        <v>2.75</v>
      </c>
      <c r="FW98" s="4">
        <v>4</v>
      </c>
      <c r="FX98" s="4">
        <v>5</v>
      </c>
      <c r="FY98" s="4">
        <v>6.25</v>
      </c>
      <c r="FZ98" s="4">
        <v>5.5</v>
      </c>
      <c r="GA98" s="4">
        <v>3.25</v>
      </c>
      <c r="GB98" s="4">
        <v>7</v>
      </c>
      <c r="GC98" s="4">
        <v>5.5</v>
      </c>
      <c r="GD98" s="4">
        <v>4.75</v>
      </c>
      <c r="GE98" s="26"/>
      <c r="GF98" s="26"/>
      <c r="GG98" s="4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S98" s="3"/>
      <c r="HU98" s="3"/>
      <c r="HX98" s="3"/>
      <c r="IA98" s="3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3"/>
      <c r="JP98" s="3"/>
      <c r="JQ98" s="4"/>
      <c r="JR98" s="5"/>
      <c r="JS98" s="5"/>
      <c r="JT98" s="8"/>
      <c r="JU98" s="8"/>
      <c r="JV98" s="8"/>
      <c r="JW98" s="8"/>
      <c r="JX98" s="8"/>
      <c r="JY98" s="8"/>
      <c r="JZ98" s="8"/>
      <c r="KA98" s="8"/>
      <c r="KB98" s="8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</row>
    <row r="99" spans="1:374" s="1" customFormat="1" x14ac:dyDescent="0.35">
      <c r="A99" s="2">
        <v>43714</v>
      </c>
      <c r="B99" s="15" t="s">
        <v>113</v>
      </c>
      <c r="C99" s="15" t="s">
        <v>260</v>
      </c>
      <c r="D99" s="1">
        <v>98</v>
      </c>
      <c r="E99" s="3">
        <v>2</v>
      </c>
      <c r="F99" s="3">
        <v>2</v>
      </c>
      <c r="G99" s="3"/>
      <c r="H99" s="3">
        <v>25</v>
      </c>
      <c r="I99" s="3">
        <v>2</v>
      </c>
      <c r="J99" s="3"/>
      <c r="K99" s="18">
        <v>0</v>
      </c>
      <c r="L99" s="18">
        <v>1</v>
      </c>
      <c r="M99" s="18">
        <v>1</v>
      </c>
      <c r="N99" s="18">
        <v>1</v>
      </c>
      <c r="O99" s="18">
        <v>0</v>
      </c>
      <c r="P99" s="4">
        <v>0.6</v>
      </c>
      <c r="Q99" s="3">
        <v>87</v>
      </c>
      <c r="R99" s="3">
        <v>99</v>
      </c>
      <c r="S99" s="3">
        <v>139</v>
      </c>
      <c r="T99" s="3">
        <v>106</v>
      </c>
      <c r="U99" s="3">
        <v>113</v>
      </c>
      <c r="V99" s="3">
        <v>93</v>
      </c>
      <c r="W99" s="3">
        <v>102</v>
      </c>
      <c r="X99" s="3">
        <v>112</v>
      </c>
      <c r="Y99" s="3">
        <v>90</v>
      </c>
      <c r="Z99" s="3"/>
      <c r="AA99" s="3"/>
      <c r="AB99" s="3"/>
      <c r="AC99" s="3"/>
      <c r="AD99" s="3"/>
      <c r="AE99" s="3"/>
      <c r="AF99" s="3"/>
      <c r="AG99" s="3"/>
      <c r="AH99" s="3"/>
      <c r="AI99" s="4"/>
      <c r="AJ99" s="4"/>
      <c r="AK99" s="4"/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/>
      <c r="AY99"/>
      <c r="AZ99"/>
      <c r="BA99"/>
      <c r="BB99"/>
      <c r="BC99"/>
      <c r="BP99" s="4"/>
      <c r="BQ99" s="4"/>
      <c r="BR99" s="4"/>
      <c r="BS99" s="4"/>
      <c r="BT99" s="4"/>
      <c r="BU99" s="4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1">
        <v>7</v>
      </c>
      <c r="CJ99" s="1">
        <v>7</v>
      </c>
      <c r="CK99" s="1">
        <v>7</v>
      </c>
      <c r="CL99" s="1">
        <v>7</v>
      </c>
      <c r="CM99" s="1">
        <v>5</v>
      </c>
      <c r="CN99" s="1">
        <v>7</v>
      </c>
      <c r="CO99" s="1">
        <v>6</v>
      </c>
      <c r="CP99" s="1">
        <v>4</v>
      </c>
      <c r="CQ99" s="1">
        <v>7</v>
      </c>
      <c r="CR99" s="1">
        <v>7</v>
      </c>
      <c r="CS99" s="1">
        <v>7</v>
      </c>
      <c r="CT99" s="1">
        <v>4</v>
      </c>
      <c r="CU99" s="1">
        <v>4</v>
      </c>
      <c r="CV99" s="1">
        <v>7</v>
      </c>
      <c r="CW99" s="1">
        <v>6</v>
      </c>
      <c r="CX99" s="1">
        <v>6</v>
      </c>
      <c r="CY99" s="1">
        <v>6</v>
      </c>
      <c r="CZ99" s="1">
        <v>7</v>
      </c>
      <c r="DA99" s="1">
        <v>7</v>
      </c>
      <c r="DB99" s="1">
        <v>7</v>
      </c>
      <c r="DC99" s="1">
        <v>7</v>
      </c>
      <c r="DD99" s="1">
        <v>7</v>
      </c>
      <c r="DE99" s="1">
        <v>7</v>
      </c>
      <c r="DF99" s="1">
        <v>1</v>
      </c>
      <c r="DG99" s="1">
        <v>2</v>
      </c>
      <c r="DH99" s="1">
        <v>1</v>
      </c>
      <c r="DI99" s="1">
        <v>1</v>
      </c>
      <c r="DJ99" s="1">
        <v>1</v>
      </c>
      <c r="DK99" s="1">
        <v>2</v>
      </c>
      <c r="DL99" s="1">
        <v>7</v>
      </c>
      <c r="DM99" s="19">
        <v>7</v>
      </c>
      <c r="DN99" s="19">
        <v>1</v>
      </c>
      <c r="DO99" s="1">
        <v>2</v>
      </c>
      <c r="DP99" s="1">
        <v>1</v>
      </c>
      <c r="DQ99" s="1">
        <v>1</v>
      </c>
      <c r="DR99" s="1">
        <v>5</v>
      </c>
      <c r="DS99" s="1">
        <v>7</v>
      </c>
      <c r="DT99" s="1">
        <v>7</v>
      </c>
      <c r="DU99" s="27">
        <v>7</v>
      </c>
      <c r="DV99" s="27">
        <v>7</v>
      </c>
      <c r="DW99" s="27">
        <v>2</v>
      </c>
      <c r="DX99" s="27">
        <v>2</v>
      </c>
      <c r="DY99" s="27">
        <v>2</v>
      </c>
      <c r="DZ99" s="27">
        <v>2</v>
      </c>
      <c r="EA99" s="27">
        <v>1</v>
      </c>
      <c r="EB99" s="27">
        <v>2</v>
      </c>
      <c r="EC99" s="27">
        <v>2</v>
      </c>
      <c r="ED99" s="27">
        <v>7</v>
      </c>
      <c r="EE99" s="27">
        <v>2</v>
      </c>
      <c r="EF99" s="27">
        <v>2</v>
      </c>
      <c r="EG99" s="27">
        <v>2</v>
      </c>
      <c r="EH99" s="27">
        <v>7</v>
      </c>
      <c r="EI99" s="27">
        <v>7</v>
      </c>
      <c r="EJ99" s="27">
        <v>7</v>
      </c>
      <c r="EK99" s="27">
        <v>7</v>
      </c>
      <c r="EL99" s="27">
        <v>7</v>
      </c>
      <c r="EM99" s="27">
        <v>7</v>
      </c>
      <c r="EN99" s="27">
        <v>1</v>
      </c>
      <c r="EO99" s="27">
        <v>7</v>
      </c>
      <c r="EP99" s="27">
        <v>7</v>
      </c>
      <c r="EQ99" s="27">
        <v>7</v>
      </c>
      <c r="ER99" s="27">
        <v>7</v>
      </c>
      <c r="ES99" s="27">
        <v>7</v>
      </c>
      <c r="ET99" s="27">
        <v>4</v>
      </c>
      <c r="EU99" s="27">
        <v>4</v>
      </c>
      <c r="EV99" s="1">
        <v>18</v>
      </c>
      <c r="EW99" s="1">
        <v>1</v>
      </c>
      <c r="EY99" s="1">
        <v>1</v>
      </c>
      <c r="EZ99" s="9"/>
      <c r="FA99" s="1">
        <v>1</v>
      </c>
      <c r="FB99" s="9" t="s">
        <v>848</v>
      </c>
      <c r="FC99" s="1">
        <v>0</v>
      </c>
      <c r="FD99" s="1">
        <v>3</v>
      </c>
      <c r="FE99" s="4"/>
      <c r="FF99" s="4"/>
      <c r="FG99" s="4"/>
      <c r="FH99" s="4"/>
      <c r="FI99" s="4"/>
      <c r="FJ99" s="23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26"/>
      <c r="GF99" s="26"/>
      <c r="GG99" s="4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S99" s="3"/>
      <c r="HU99" s="3"/>
      <c r="HX99" s="3"/>
      <c r="IA99" s="3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6"/>
      <c r="JP99" s="6"/>
      <c r="JQ99" s="6"/>
      <c r="JR99" s="6"/>
      <c r="JS99" s="6"/>
      <c r="JT99" s="8"/>
      <c r="JU99" s="8"/>
      <c r="JV99" s="8"/>
      <c r="JW99" s="8"/>
      <c r="JX99" s="8"/>
      <c r="JY99" s="8"/>
      <c r="JZ99" s="8"/>
      <c r="KA99" s="8"/>
      <c r="KB99" s="8"/>
      <c r="KC99" s="6"/>
      <c r="KD99" s="6"/>
      <c r="KE99" s="6"/>
      <c r="KF99" s="6"/>
      <c r="KG99" s="6"/>
      <c r="KH99" s="6"/>
      <c r="KI99" s="6"/>
      <c r="KJ99" s="6"/>
      <c r="KK99" s="6"/>
      <c r="KL99" s="4"/>
      <c r="KM99" s="4"/>
      <c r="KN99" s="6"/>
      <c r="KO99" s="4"/>
      <c r="KP99" s="4"/>
      <c r="KQ99" s="6"/>
      <c r="KR99" s="6"/>
      <c r="KS99" s="4"/>
      <c r="KU99" s="4"/>
      <c r="KV99" s="4"/>
      <c r="KW99" s="4"/>
      <c r="KX99" s="6"/>
      <c r="KY99" s="6"/>
      <c r="KZ99" s="6"/>
      <c r="LA99" s="4"/>
      <c r="LB99" s="6"/>
      <c r="LC99" s="6"/>
      <c r="LD99" s="4"/>
      <c r="LE99" s="4"/>
      <c r="LF99" s="6"/>
      <c r="LG99" s="6"/>
      <c r="LH99" s="6"/>
      <c r="LI99" s="6"/>
      <c r="LJ99" s="6"/>
      <c r="LK99" s="6"/>
      <c r="LL99" s="6"/>
      <c r="LM99" s="6"/>
      <c r="LN99" s="6"/>
      <c r="LO99" s="6"/>
      <c r="LP99" s="6"/>
      <c r="LQ99" s="6"/>
      <c r="LR99" s="6"/>
      <c r="LS99" s="6"/>
      <c r="LT99" s="6"/>
      <c r="LU99" s="6"/>
      <c r="LV99" s="6"/>
      <c r="LW99" s="6"/>
      <c r="LX99" s="6"/>
      <c r="LY99" s="6"/>
      <c r="LZ99" s="6"/>
      <c r="MA99" s="6"/>
      <c r="MB99" s="6"/>
      <c r="MC99" s="6"/>
      <c r="MD99" s="6"/>
      <c r="ME99" s="6"/>
      <c r="MF99" s="6"/>
      <c r="MG99" s="6"/>
      <c r="MH99" s="6"/>
      <c r="MI99" s="6"/>
      <c r="MJ99" s="6"/>
      <c r="MK99" s="6"/>
      <c r="ML99" s="6"/>
      <c r="MM99" s="6"/>
      <c r="MN99" s="6"/>
      <c r="MO99" s="6"/>
      <c r="MP99" s="6"/>
      <c r="MQ99" s="6"/>
      <c r="MR99" s="6"/>
      <c r="MS99" s="6"/>
      <c r="MT99" s="6"/>
      <c r="MU99" s="6"/>
      <c r="MV99" s="6"/>
      <c r="MW99" s="6"/>
      <c r="MX99" s="6"/>
      <c r="MY99" s="6"/>
      <c r="MZ99" s="6"/>
      <c r="NA99" s="6"/>
      <c r="NB99" s="6"/>
      <c r="NC99" s="6"/>
      <c r="ND99" s="6"/>
      <c r="NE99" s="6"/>
      <c r="NF99" s="6"/>
      <c r="NG99" s="6"/>
      <c r="NH99" s="6"/>
      <c r="NI99" s="6"/>
      <c r="NJ99" s="4"/>
    </row>
    <row r="100" spans="1:374" s="1" customFormat="1" x14ac:dyDescent="0.35">
      <c r="A100" s="2">
        <v>43714</v>
      </c>
      <c r="B100" s="15" t="s">
        <v>113</v>
      </c>
      <c r="C100" s="15" t="s">
        <v>261</v>
      </c>
      <c r="D100" s="1">
        <v>99</v>
      </c>
      <c r="E100" s="3">
        <v>2</v>
      </c>
      <c r="F100" s="3">
        <v>2</v>
      </c>
      <c r="G100" s="3"/>
      <c r="H100" s="3">
        <v>25</v>
      </c>
      <c r="I100" s="3">
        <v>3</v>
      </c>
      <c r="J100" s="3"/>
      <c r="K100" s="18">
        <v>0</v>
      </c>
      <c r="L100" s="18">
        <v>0</v>
      </c>
      <c r="M100" s="18">
        <v>1</v>
      </c>
      <c r="N100" s="18">
        <v>1</v>
      </c>
      <c r="O100" s="18">
        <v>1</v>
      </c>
      <c r="P100" s="4">
        <v>0.6</v>
      </c>
      <c r="Q100" s="3">
        <v>47</v>
      </c>
      <c r="R100" s="3">
        <v>110</v>
      </c>
      <c r="S100" s="3">
        <v>120</v>
      </c>
      <c r="T100" s="3">
        <v>113</v>
      </c>
      <c r="U100" s="3">
        <v>111</v>
      </c>
      <c r="V100" s="3">
        <v>85</v>
      </c>
      <c r="W100" s="3">
        <v>111</v>
      </c>
      <c r="X100" s="3">
        <v>93</v>
      </c>
      <c r="Y100" s="3">
        <v>114</v>
      </c>
      <c r="Z100" s="3"/>
      <c r="AA100" s="3"/>
      <c r="AB100" s="3"/>
      <c r="AC100" s="3"/>
      <c r="AD100" s="3"/>
      <c r="AE100" s="3"/>
      <c r="AF100" s="3"/>
      <c r="AG100" s="3"/>
      <c r="AH100" s="3"/>
      <c r="AI100" s="4"/>
      <c r="AJ100" s="4"/>
      <c r="AK100" s="4"/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/>
      <c r="AY100"/>
      <c r="AZ100"/>
      <c r="BA100"/>
      <c r="BB100"/>
      <c r="BC100"/>
      <c r="BP100" s="4"/>
      <c r="BQ100" s="4"/>
      <c r="BR100" s="4"/>
      <c r="BS100" s="4"/>
      <c r="BT100" s="4"/>
      <c r="BU100" s="4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1">
        <v>6</v>
      </c>
      <c r="CJ100" s="1">
        <v>6</v>
      </c>
      <c r="CK100" s="1">
        <v>6</v>
      </c>
      <c r="CL100" s="1">
        <v>6</v>
      </c>
      <c r="CM100" s="1">
        <v>6</v>
      </c>
      <c r="CN100" s="1">
        <v>6</v>
      </c>
      <c r="CO100" s="1">
        <v>5</v>
      </c>
      <c r="CP100" s="1">
        <v>1</v>
      </c>
      <c r="CQ100" s="1">
        <v>7</v>
      </c>
      <c r="CR100" s="1">
        <v>7</v>
      </c>
      <c r="CS100" s="1">
        <v>7</v>
      </c>
      <c r="CT100" s="1">
        <v>7</v>
      </c>
      <c r="CU100" s="1">
        <v>7</v>
      </c>
      <c r="CV100" s="1">
        <v>7</v>
      </c>
      <c r="CW100" s="1">
        <v>7</v>
      </c>
      <c r="CX100" s="1">
        <v>7</v>
      </c>
      <c r="CY100" s="1">
        <v>7</v>
      </c>
      <c r="CZ100" s="1">
        <v>7</v>
      </c>
      <c r="DA100" s="1">
        <v>7</v>
      </c>
      <c r="DB100" s="1">
        <v>7</v>
      </c>
      <c r="DC100" s="1">
        <v>7</v>
      </c>
      <c r="DD100" s="1">
        <v>7</v>
      </c>
      <c r="DE100" s="1">
        <v>7</v>
      </c>
      <c r="DF100" s="1">
        <v>2</v>
      </c>
      <c r="DG100" s="1">
        <v>2</v>
      </c>
      <c r="DH100" s="1">
        <v>2</v>
      </c>
      <c r="DI100" s="1">
        <v>6</v>
      </c>
      <c r="DJ100" s="1">
        <v>6</v>
      </c>
      <c r="DK100" s="1">
        <v>2</v>
      </c>
      <c r="DL100" s="1">
        <v>7</v>
      </c>
      <c r="DM100" s="19">
        <v>7</v>
      </c>
      <c r="DN100" s="19">
        <v>2</v>
      </c>
      <c r="DO100" s="1">
        <v>2</v>
      </c>
      <c r="DP100" s="1">
        <v>6</v>
      </c>
      <c r="DQ100" s="1">
        <v>4</v>
      </c>
      <c r="DR100" s="1">
        <v>7</v>
      </c>
      <c r="DS100" s="1">
        <v>7</v>
      </c>
      <c r="DT100" s="1">
        <v>6</v>
      </c>
      <c r="DU100" s="27">
        <v>4</v>
      </c>
      <c r="DV100" s="27">
        <v>4</v>
      </c>
      <c r="DW100" s="27">
        <v>4</v>
      </c>
      <c r="DX100" s="27">
        <v>4</v>
      </c>
      <c r="DY100" s="27">
        <v>4</v>
      </c>
      <c r="DZ100" s="27">
        <v>4</v>
      </c>
      <c r="EA100" s="27">
        <v>4</v>
      </c>
      <c r="EB100" s="27">
        <v>4</v>
      </c>
      <c r="EC100" s="27">
        <v>4</v>
      </c>
      <c r="ED100" s="27">
        <v>4</v>
      </c>
      <c r="EE100" s="27">
        <v>4</v>
      </c>
      <c r="EF100" s="27">
        <v>4</v>
      </c>
      <c r="EG100" s="27">
        <v>4</v>
      </c>
      <c r="EH100" s="27">
        <v>4</v>
      </c>
      <c r="EI100" s="27">
        <v>4</v>
      </c>
      <c r="EJ100" s="27">
        <v>4</v>
      </c>
      <c r="EK100" s="27">
        <v>4</v>
      </c>
      <c r="EL100" s="27">
        <v>4</v>
      </c>
      <c r="EM100" s="27">
        <v>4</v>
      </c>
      <c r="EN100" s="27">
        <v>4</v>
      </c>
      <c r="EO100" s="27">
        <v>7</v>
      </c>
      <c r="EP100" s="27">
        <v>7</v>
      </c>
      <c r="EQ100" s="27">
        <v>7</v>
      </c>
      <c r="ER100" s="27">
        <v>4</v>
      </c>
      <c r="ES100" s="27">
        <v>4</v>
      </c>
      <c r="ET100" s="27">
        <v>4</v>
      </c>
      <c r="EU100" s="27">
        <v>4</v>
      </c>
      <c r="EV100" s="1">
        <v>18</v>
      </c>
      <c r="EW100" s="1">
        <v>2</v>
      </c>
      <c r="EY100" s="1">
        <v>1</v>
      </c>
      <c r="EZ100" s="9"/>
      <c r="FA100" s="1">
        <v>1</v>
      </c>
      <c r="FB100" s="9" t="s">
        <v>834</v>
      </c>
      <c r="FC100" s="1">
        <v>0</v>
      </c>
      <c r="FD100" s="1">
        <v>7</v>
      </c>
      <c r="FE100" s="4"/>
      <c r="FF100" s="4"/>
      <c r="FG100" s="4"/>
      <c r="FH100" s="4"/>
      <c r="FI100" s="4"/>
      <c r="FJ100" s="23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26"/>
      <c r="GF100" s="26"/>
      <c r="GG100" s="4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6"/>
      <c r="HQ100" s="6"/>
      <c r="HS100" s="6"/>
      <c r="HU100" s="6"/>
      <c r="HX100" s="6"/>
      <c r="IA100" s="6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6"/>
      <c r="JP100" s="6"/>
      <c r="JQ100" s="6"/>
      <c r="JR100" s="6"/>
      <c r="JS100" s="6"/>
      <c r="JT100" s="8"/>
      <c r="JU100" s="8"/>
      <c r="JV100" s="8"/>
      <c r="JW100" s="8"/>
      <c r="JX100" s="8"/>
      <c r="JY100" s="8"/>
      <c r="JZ100" s="8"/>
      <c r="KA100" s="8"/>
      <c r="KB100" s="8"/>
      <c r="KC100" s="6"/>
      <c r="KD100" s="6"/>
      <c r="KE100" s="6"/>
      <c r="KF100" s="6"/>
      <c r="KG100" s="6"/>
      <c r="KH100" s="6"/>
      <c r="KI100" s="6"/>
      <c r="KJ100" s="6"/>
      <c r="KK100" s="6"/>
      <c r="KL100" s="4"/>
      <c r="KM100" s="4"/>
      <c r="KN100" s="6"/>
      <c r="KO100" s="4"/>
      <c r="KP100" s="4"/>
      <c r="KQ100" s="6"/>
      <c r="KR100" s="6"/>
      <c r="KS100" s="4"/>
      <c r="KU100" s="4"/>
      <c r="KV100" s="4"/>
      <c r="KW100" s="4"/>
      <c r="KX100" s="6"/>
      <c r="KY100" s="6"/>
      <c r="KZ100" s="6"/>
      <c r="LA100" s="4"/>
      <c r="LB100" s="6"/>
      <c r="LC100" s="6"/>
      <c r="LD100" s="4"/>
      <c r="LE100" s="4"/>
      <c r="LF100" s="6"/>
      <c r="LG100" s="6"/>
      <c r="LH100" s="6"/>
      <c r="LI100" s="6"/>
      <c r="LJ100" s="6"/>
      <c r="LK100" s="6"/>
      <c r="LL100" s="6"/>
      <c r="LM100" s="6"/>
      <c r="LN100" s="6"/>
      <c r="LO100" s="6"/>
      <c r="LP100" s="6"/>
      <c r="LQ100" s="6"/>
      <c r="LR100" s="6"/>
      <c r="LS100" s="6"/>
      <c r="LT100" s="6"/>
      <c r="LU100" s="6"/>
      <c r="LV100" s="6"/>
      <c r="LW100" s="6"/>
      <c r="LX100" s="6"/>
      <c r="LY100" s="6"/>
      <c r="LZ100" s="6"/>
      <c r="MA100" s="6"/>
      <c r="MB100" s="6"/>
      <c r="MC100" s="6"/>
      <c r="MD100" s="6"/>
      <c r="ME100" s="6"/>
      <c r="MF100" s="6"/>
      <c r="MG100" s="6"/>
      <c r="MH100" s="6"/>
      <c r="MI100" s="6"/>
      <c r="MJ100" s="6"/>
      <c r="MK100" s="6"/>
      <c r="ML100" s="6"/>
      <c r="MM100" s="6"/>
      <c r="MN100" s="6"/>
      <c r="MO100" s="6"/>
      <c r="MP100" s="6"/>
      <c r="MQ100" s="6"/>
      <c r="MR100" s="6"/>
      <c r="MS100" s="6"/>
      <c r="MT100" s="6"/>
      <c r="MU100" s="6"/>
      <c r="MV100" s="6"/>
      <c r="MW100" s="6"/>
      <c r="MX100" s="6"/>
      <c r="MY100" s="6"/>
      <c r="MZ100" s="6"/>
      <c r="NA100" s="6"/>
      <c r="NB100" s="6"/>
      <c r="NC100" s="6"/>
      <c r="ND100" s="6"/>
      <c r="NE100" s="6"/>
      <c r="NF100" s="6"/>
      <c r="NG100" s="6"/>
      <c r="NH100" s="6"/>
      <c r="NI100" s="6"/>
      <c r="NJ100" s="4"/>
    </row>
    <row r="101" spans="1:374" s="1" customFormat="1" x14ac:dyDescent="0.35">
      <c r="A101" s="2">
        <v>43714</v>
      </c>
      <c r="B101" s="15" t="s">
        <v>113</v>
      </c>
      <c r="C101" s="15" t="s">
        <v>262</v>
      </c>
      <c r="D101" s="1">
        <v>100</v>
      </c>
      <c r="E101" s="3">
        <v>2</v>
      </c>
      <c r="F101" s="3">
        <v>2</v>
      </c>
      <c r="G101" s="3"/>
      <c r="H101" s="3">
        <v>25</v>
      </c>
      <c r="I101" s="3">
        <v>4</v>
      </c>
      <c r="J101" s="3"/>
      <c r="K101" s="18">
        <v>0</v>
      </c>
      <c r="L101" s="18">
        <v>1</v>
      </c>
      <c r="M101" s="18">
        <v>1</v>
      </c>
      <c r="N101" s="18">
        <v>1</v>
      </c>
      <c r="O101" s="18">
        <v>0</v>
      </c>
      <c r="P101" s="4">
        <v>0.6</v>
      </c>
      <c r="Q101" s="3">
        <v>92</v>
      </c>
      <c r="R101" s="3">
        <v>93</v>
      </c>
      <c r="S101" s="3">
        <v>91</v>
      </c>
      <c r="T101" s="3">
        <v>95</v>
      </c>
      <c r="U101" s="3">
        <v>106</v>
      </c>
      <c r="V101" s="3">
        <v>123</v>
      </c>
      <c r="W101" s="3">
        <v>101</v>
      </c>
      <c r="X101" s="3">
        <v>108</v>
      </c>
      <c r="Y101" s="3">
        <v>76</v>
      </c>
      <c r="Z101" s="3"/>
      <c r="AA101" s="3"/>
      <c r="AB101" s="3"/>
      <c r="AC101" s="3"/>
      <c r="AD101" s="3"/>
      <c r="AE101" s="3"/>
      <c r="AF101" s="3"/>
      <c r="AG101" s="3"/>
      <c r="AH101" s="3"/>
      <c r="AI101" s="4"/>
      <c r="AJ101" s="4"/>
      <c r="AK101" s="4"/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9">
        <v>0</v>
      </c>
      <c r="AT101" s="19">
        <v>0</v>
      </c>
      <c r="AU101" s="19">
        <v>0</v>
      </c>
      <c r="AV101" s="19">
        <v>0</v>
      </c>
      <c r="AW101" s="19">
        <v>0</v>
      </c>
      <c r="AX101" s="19"/>
      <c r="AY101"/>
      <c r="AZ101"/>
      <c r="BA101"/>
      <c r="BB101"/>
      <c r="BC101"/>
      <c r="BP101" s="4"/>
      <c r="BQ101" s="4"/>
      <c r="BR101" s="4"/>
      <c r="BS101" s="4"/>
      <c r="BT101" s="4"/>
      <c r="BU101" s="4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1">
        <v>7</v>
      </c>
      <c r="CJ101" s="1">
        <v>7</v>
      </c>
      <c r="CK101" s="1">
        <v>7</v>
      </c>
      <c r="CL101" s="1">
        <v>7</v>
      </c>
      <c r="CM101" s="1">
        <v>7</v>
      </c>
      <c r="CN101" s="1">
        <v>7</v>
      </c>
      <c r="CO101" s="1">
        <v>7</v>
      </c>
      <c r="CP101" s="1">
        <v>1</v>
      </c>
      <c r="CQ101" s="1">
        <v>7</v>
      </c>
      <c r="CR101" s="1">
        <v>7</v>
      </c>
      <c r="CS101" s="1">
        <v>7</v>
      </c>
      <c r="CT101" s="1">
        <v>7</v>
      </c>
      <c r="CU101" s="1">
        <v>7</v>
      </c>
      <c r="CV101" s="1">
        <v>7</v>
      </c>
      <c r="CW101" s="1">
        <v>7</v>
      </c>
      <c r="CX101" s="1">
        <v>7</v>
      </c>
      <c r="CY101" s="1">
        <v>7</v>
      </c>
      <c r="CZ101" s="1">
        <v>7</v>
      </c>
      <c r="DA101" s="1">
        <v>7</v>
      </c>
      <c r="DB101" s="1">
        <v>7</v>
      </c>
      <c r="DC101" s="1">
        <v>7</v>
      </c>
      <c r="DD101" s="1">
        <v>7</v>
      </c>
      <c r="DE101" s="1">
        <v>7</v>
      </c>
      <c r="DF101" s="1">
        <v>4</v>
      </c>
      <c r="DG101" s="1">
        <v>1</v>
      </c>
      <c r="DH101" s="1">
        <v>6</v>
      </c>
      <c r="DI101" s="1">
        <v>3</v>
      </c>
      <c r="DJ101" s="1">
        <v>7</v>
      </c>
      <c r="DK101" s="1">
        <v>7</v>
      </c>
      <c r="DL101" s="1">
        <v>7</v>
      </c>
      <c r="DM101" s="19">
        <v>7</v>
      </c>
      <c r="DN101" s="19">
        <v>7</v>
      </c>
      <c r="DO101" s="1">
        <v>1</v>
      </c>
      <c r="DP101" s="1">
        <v>6</v>
      </c>
      <c r="DQ101" s="1">
        <v>7</v>
      </c>
      <c r="DR101" s="1">
        <v>7</v>
      </c>
      <c r="DS101" s="1">
        <v>7</v>
      </c>
      <c r="DT101" s="1">
        <v>7</v>
      </c>
      <c r="DU101" s="27">
        <v>7</v>
      </c>
      <c r="DV101" s="27">
        <v>7</v>
      </c>
      <c r="DW101" s="27">
        <v>1</v>
      </c>
      <c r="DX101" s="27">
        <v>1</v>
      </c>
      <c r="DY101" s="27">
        <v>1</v>
      </c>
      <c r="DZ101" s="27">
        <v>1</v>
      </c>
      <c r="EA101" s="27">
        <v>1</v>
      </c>
      <c r="EB101" s="27">
        <v>7</v>
      </c>
      <c r="EC101" s="27">
        <v>7</v>
      </c>
      <c r="ED101" s="27">
        <v>7</v>
      </c>
      <c r="EE101" s="27">
        <v>1</v>
      </c>
      <c r="EF101" s="27">
        <v>7</v>
      </c>
      <c r="EG101" s="27">
        <v>7</v>
      </c>
      <c r="EH101" s="27">
        <v>7</v>
      </c>
      <c r="EI101" s="27">
        <v>7</v>
      </c>
      <c r="EJ101" s="27">
        <v>7</v>
      </c>
      <c r="EK101" s="27">
        <v>7</v>
      </c>
      <c r="EL101" s="27">
        <v>7</v>
      </c>
      <c r="EM101" s="27">
        <v>4</v>
      </c>
      <c r="EN101" s="27">
        <v>1</v>
      </c>
      <c r="EO101" s="27">
        <v>7</v>
      </c>
      <c r="EP101" s="27">
        <v>7</v>
      </c>
      <c r="EQ101" s="27">
        <v>7</v>
      </c>
      <c r="ER101" s="27">
        <v>7</v>
      </c>
      <c r="ES101" s="27">
        <v>7</v>
      </c>
      <c r="ET101" s="27">
        <v>4</v>
      </c>
      <c r="EU101" s="27">
        <v>4</v>
      </c>
      <c r="EV101" s="1">
        <v>18</v>
      </c>
      <c r="EW101" s="1">
        <v>2</v>
      </c>
      <c r="EY101" s="1">
        <v>8</v>
      </c>
      <c r="EZ101" s="9" t="s">
        <v>758</v>
      </c>
      <c r="FA101" s="1">
        <v>1</v>
      </c>
      <c r="FB101" s="9" t="s">
        <v>843</v>
      </c>
      <c r="FC101" s="1">
        <v>1</v>
      </c>
      <c r="FD101" s="1">
        <v>3</v>
      </c>
      <c r="FE101" s="4"/>
      <c r="FF101" s="4"/>
      <c r="FG101" s="4"/>
      <c r="FH101" s="4"/>
      <c r="FI101" s="4"/>
      <c r="FJ101" s="23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26"/>
      <c r="GF101" s="26"/>
      <c r="GG101" s="4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S101" s="3"/>
      <c r="HU101" s="3"/>
      <c r="HX101" s="3"/>
      <c r="IA101" s="3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6"/>
      <c r="JP101" s="6"/>
      <c r="JQ101" s="6"/>
      <c r="JR101" s="6"/>
      <c r="JS101" s="6"/>
      <c r="JT101" s="8"/>
      <c r="JU101" s="8"/>
      <c r="JV101" s="8"/>
      <c r="JW101" s="8"/>
      <c r="JX101" s="8"/>
      <c r="JY101" s="8"/>
      <c r="JZ101" s="8"/>
      <c r="KA101" s="8"/>
      <c r="KB101" s="8"/>
      <c r="KC101" s="6"/>
      <c r="KD101" s="6"/>
      <c r="KE101" s="6"/>
      <c r="KF101" s="6"/>
      <c r="KG101" s="6"/>
      <c r="KH101" s="6"/>
      <c r="KI101" s="6"/>
      <c r="KJ101" s="6"/>
      <c r="KK101" s="6"/>
      <c r="KL101" s="4"/>
      <c r="KM101" s="4"/>
      <c r="KN101" s="6"/>
      <c r="KO101" s="4"/>
      <c r="KP101" s="4"/>
      <c r="KQ101" s="6"/>
      <c r="KR101" s="6"/>
      <c r="KS101" s="4"/>
      <c r="KU101" s="4"/>
      <c r="KV101" s="4"/>
      <c r="KW101" s="4"/>
      <c r="KX101" s="6"/>
      <c r="KY101" s="6"/>
      <c r="KZ101" s="6"/>
      <c r="LA101" s="4"/>
      <c r="LB101" s="6"/>
      <c r="LC101" s="6"/>
      <c r="LD101" s="4"/>
      <c r="LE101" s="4"/>
      <c r="LF101" s="6"/>
      <c r="LG101" s="6"/>
      <c r="LH101" s="6"/>
      <c r="LI101" s="6"/>
      <c r="LJ101" s="6"/>
      <c r="LK101" s="6"/>
      <c r="LL101" s="6"/>
      <c r="LM101" s="6"/>
      <c r="LN101" s="6"/>
      <c r="LO101" s="6"/>
      <c r="LP101" s="6"/>
      <c r="LQ101" s="6"/>
      <c r="LR101" s="6"/>
      <c r="LS101" s="6"/>
      <c r="LT101" s="6"/>
      <c r="LU101" s="6"/>
      <c r="LV101" s="6"/>
      <c r="LW101" s="6"/>
      <c r="LX101" s="6"/>
      <c r="LY101" s="6"/>
      <c r="LZ101" s="6"/>
      <c r="MA101" s="6"/>
      <c r="MB101" s="6"/>
      <c r="MC101" s="6"/>
      <c r="MD101" s="6"/>
      <c r="ME101" s="6"/>
      <c r="MF101" s="6"/>
      <c r="MG101" s="6"/>
      <c r="MH101" s="6"/>
      <c r="MI101" s="6"/>
      <c r="MJ101" s="6"/>
      <c r="MK101" s="6"/>
      <c r="ML101" s="6"/>
      <c r="MM101" s="6"/>
      <c r="MN101" s="6"/>
      <c r="MO101" s="6"/>
      <c r="MP101" s="6"/>
      <c r="MQ101" s="6"/>
      <c r="MR101" s="6"/>
      <c r="MS101" s="6"/>
      <c r="MT101" s="6"/>
      <c r="MU101" s="6"/>
      <c r="MV101" s="6"/>
      <c r="MW101" s="6"/>
      <c r="MX101" s="6"/>
      <c r="MY101" s="6"/>
      <c r="MZ101" s="6"/>
      <c r="NA101" s="6"/>
      <c r="NB101" s="6"/>
      <c r="NC101" s="6"/>
      <c r="ND101" s="6"/>
      <c r="NE101" s="6"/>
      <c r="NF101" s="6"/>
      <c r="NG101" s="6"/>
      <c r="NH101" s="6"/>
      <c r="NI101" s="6"/>
      <c r="NJ101" s="4"/>
    </row>
    <row r="102" spans="1:374" s="1" customFormat="1" x14ac:dyDescent="0.35">
      <c r="A102" s="2">
        <v>43350</v>
      </c>
      <c r="B102" s="15" t="s">
        <v>114</v>
      </c>
      <c r="C102" s="15" t="s">
        <v>263</v>
      </c>
      <c r="D102" s="1">
        <v>101</v>
      </c>
      <c r="E102" s="3">
        <v>3</v>
      </c>
      <c r="F102" s="3">
        <v>1</v>
      </c>
      <c r="G102" s="3">
        <v>0</v>
      </c>
      <c r="H102" s="3">
        <v>26</v>
      </c>
      <c r="I102" s="3">
        <v>1</v>
      </c>
      <c r="J102" s="3">
        <v>1</v>
      </c>
      <c r="K102" s="18">
        <v>1</v>
      </c>
      <c r="L102" s="18">
        <v>0</v>
      </c>
      <c r="M102" s="18">
        <v>1</v>
      </c>
      <c r="N102" s="18">
        <v>1</v>
      </c>
      <c r="O102" s="18">
        <v>0</v>
      </c>
      <c r="P102" s="4">
        <v>0.6</v>
      </c>
      <c r="Q102" s="3">
        <v>90</v>
      </c>
      <c r="R102" s="3">
        <v>102</v>
      </c>
      <c r="S102" s="3">
        <v>98</v>
      </c>
      <c r="T102" s="3">
        <v>95</v>
      </c>
      <c r="U102" s="3">
        <v>80</v>
      </c>
      <c r="V102" s="3">
        <v>99</v>
      </c>
      <c r="W102" s="3">
        <v>91</v>
      </c>
      <c r="X102" s="3">
        <v>115</v>
      </c>
      <c r="Y102" s="3">
        <v>115</v>
      </c>
      <c r="Z102" s="3">
        <v>301</v>
      </c>
      <c r="AA102" s="3">
        <v>367</v>
      </c>
      <c r="AB102" s="3">
        <v>374</v>
      </c>
      <c r="AC102" s="3">
        <v>349</v>
      </c>
      <c r="AD102" s="3">
        <v>346</v>
      </c>
      <c r="AE102" s="3">
        <v>406</v>
      </c>
      <c r="AF102" s="3">
        <v>387</v>
      </c>
      <c r="AG102" s="3">
        <v>397</v>
      </c>
      <c r="AH102" s="3">
        <v>411</v>
      </c>
      <c r="AI102" s="4">
        <v>347.33</v>
      </c>
      <c r="AJ102" s="4">
        <v>367</v>
      </c>
      <c r="AK102" s="4">
        <v>398.33</v>
      </c>
      <c r="AL102" s="1">
        <v>1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9">
        <v>0</v>
      </c>
      <c r="AT102" s="19">
        <v>0</v>
      </c>
      <c r="AU102" s="19">
        <v>0</v>
      </c>
      <c r="AV102" s="19">
        <v>0</v>
      </c>
      <c r="AW102" s="19">
        <v>0</v>
      </c>
      <c r="AX102" s="19">
        <f t="shared" ref="AX102:BC102" si="50">AL102+AL103+AL104+AL105</f>
        <v>1</v>
      </c>
      <c r="AY102" s="19">
        <f t="shared" si="50"/>
        <v>0</v>
      </c>
      <c r="AZ102" s="19">
        <f t="shared" si="50"/>
        <v>0</v>
      </c>
      <c r="BA102" s="19">
        <f t="shared" si="50"/>
        <v>0</v>
      </c>
      <c r="BB102" s="19">
        <f t="shared" si="50"/>
        <v>0</v>
      </c>
      <c r="BC102" s="19">
        <f t="shared" si="50"/>
        <v>0</v>
      </c>
      <c r="BD102" s="1">
        <f>AX102*3</f>
        <v>3</v>
      </c>
      <c r="BE102" s="1">
        <f t="shared" ref="BE102:BI102" si="51">AY102*3</f>
        <v>0</v>
      </c>
      <c r="BF102" s="1">
        <f t="shared" si="51"/>
        <v>0</v>
      </c>
      <c r="BG102" s="1">
        <f t="shared" si="51"/>
        <v>0</v>
      </c>
      <c r="BH102" s="1">
        <f t="shared" si="51"/>
        <v>0</v>
      </c>
      <c r="BI102" s="1">
        <f t="shared" si="51"/>
        <v>0</v>
      </c>
      <c r="BJ102" s="1">
        <f>AX102+AY102+AZ102</f>
        <v>1</v>
      </c>
      <c r="BK102" s="1">
        <f>BA102+BB102+BC102</f>
        <v>0</v>
      </c>
      <c r="BL102" s="1">
        <f>BJ102*3</f>
        <v>3</v>
      </c>
      <c r="BM102" s="1">
        <f>BK102*3</f>
        <v>0</v>
      </c>
      <c r="BN102" s="1">
        <f>BL102/3</f>
        <v>1</v>
      </c>
      <c r="BO102" s="1">
        <f>BM102/3</f>
        <v>0</v>
      </c>
      <c r="BP102" s="4">
        <v>346.33333333333331</v>
      </c>
      <c r="BQ102" s="4">
        <v>367</v>
      </c>
      <c r="BR102" s="4">
        <v>398.33333333333331</v>
      </c>
      <c r="BS102" s="4">
        <v>346.33</v>
      </c>
      <c r="BT102" s="4">
        <v>367</v>
      </c>
      <c r="BU102" s="4">
        <v>3.75</v>
      </c>
      <c r="BV102" s="3">
        <v>3</v>
      </c>
      <c r="BW102" s="3">
        <v>3</v>
      </c>
      <c r="BX102" s="3">
        <v>3</v>
      </c>
      <c r="BY102" s="3">
        <v>3</v>
      </c>
      <c r="BZ102" s="3">
        <v>1</v>
      </c>
      <c r="CA102" s="3">
        <v>1</v>
      </c>
      <c r="CB102" s="3">
        <v>1</v>
      </c>
      <c r="CC102" s="3">
        <v>1</v>
      </c>
      <c r="CD102" s="3">
        <v>1</v>
      </c>
      <c r="CE102" s="3">
        <v>1</v>
      </c>
      <c r="CF102" s="3">
        <v>1</v>
      </c>
      <c r="CG102" s="3">
        <v>1</v>
      </c>
      <c r="CH102" s="3">
        <v>0</v>
      </c>
      <c r="CI102" s="1">
        <v>6</v>
      </c>
      <c r="CJ102" s="1">
        <v>7</v>
      </c>
      <c r="CK102" s="1">
        <v>7</v>
      </c>
      <c r="CL102" s="1">
        <v>7</v>
      </c>
      <c r="CM102" s="1">
        <v>5</v>
      </c>
      <c r="CN102" s="1">
        <v>7</v>
      </c>
      <c r="CO102" s="1">
        <v>5</v>
      </c>
      <c r="CP102" s="1">
        <v>1</v>
      </c>
      <c r="CQ102" s="1">
        <v>7</v>
      </c>
      <c r="CR102" s="1">
        <v>7</v>
      </c>
      <c r="CS102" s="1">
        <v>7</v>
      </c>
      <c r="CT102" s="1">
        <v>7</v>
      </c>
      <c r="CU102" s="1">
        <v>7</v>
      </c>
      <c r="CV102" s="1">
        <v>7</v>
      </c>
      <c r="CW102" s="1">
        <v>7</v>
      </c>
      <c r="CX102" s="1">
        <v>5</v>
      </c>
      <c r="CY102" s="1">
        <v>7</v>
      </c>
      <c r="CZ102" s="1">
        <v>6</v>
      </c>
      <c r="DA102" s="1">
        <v>6</v>
      </c>
      <c r="DB102" s="1">
        <v>7</v>
      </c>
      <c r="DC102" s="1">
        <v>3</v>
      </c>
      <c r="DD102" s="1">
        <v>7</v>
      </c>
      <c r="DE102" s="1">
        <v>7</v>
      </c>
      <c r="DF102" s="1">
        <v>2</v>
      </c>
      <c r="DG102" s="1">
        <v>1</v>
      </c>
      <c r="DH102" s="1">
        <v>2</v>
      </c>
      <c r="DI102" s="1">
        <v>7</v>
      </c>
      <c r="DJ102" s="1">
        <v>3</v>
      </c>
      <c r="DK102" s="1">
        <v>1</v>
      </c>
      <c r="DL102" s="1">
        <v>7</v>
      </c>
      <c r="DM102" s="19">
        <v>7</v>
      </c>
      <c r="DN102" s="19">
        <v>1</v>
      </c>
      <c r="DO102" s="1">
        <v>4</v>
      </c>
      <c r="DP102" s="1">
        <v>3</v>
      </c>
      <c r="DQ102" s="1">
        <v>5</v>
      </c>
      <c r="DR102" s="1">
        <v>6</v>
      </c>
      <c r="DS102" s="1">
        <v>7</v>
      </c>
      <c r="DT102" s="1">
        <v>7</v>
      </c>
      <c r="DU102" s="27">
        <v>7</v>
      </c>
      <c r="DV102" s="27">
        <v>7</v>
      </c>
      <c r="DW102" s="27">
        <v>2</v>
      </c>
      <c r="DX102" s="27">
        <v>1</v>
      </c>
      <c r="DY102" s="27">
        <v>1</v>
      </c>
      <c r="DZ102" s="27">
        <v>1</v>
      </c>
      <c r="EA102" s="27">
        <v>1</v>
      </c>
      <c r="EB102" s="27">
        <v>6</v>
      </c>
      <c r="EC102" s="27">
        <v>7</v>
      </c>
      <c r="ED102" s="27">
        <v>5</v>
      </c>
      <c r="EE102" s="27">
        <v>6</v>
      </c>
      <c r="EF102" s="27">
        <v>1</v>
      </c>
      <c r="EG102" s="27">
        <v>7</v>
      </c>
      <c r="EH102" s="27">
        <v>7</v>
      </c>
      <c r="EI102" s="27">
        <v>7</v>
      </c>
      <c r="EJ102" s="27">
        <v>7</v>
      </c>
      <c r="EK102" s="27">
        <v>7</v>
      </c>
      <c r="EL102" s="27">
        <v>7</v>
      </c>
      <c r="EM102" s="27">
        <v>1</v>
      </c>
      <c r="EN102" s="27">
        <v>1</v>
      </c>
      <c r="EO102" s="27">
        <v>7</v>
      </c>
      <c r="EP102" s="27">
        <v>7</v>
      </c>
      <c r="EQ102" s="27">
        <v>7</v>
      </c>
      <c r="ER102" s="27">
        <v>7</v>
      </c>
      <c r="ES102" s="27">
        <v>7</v>
      </c>
      <c r="ET102" s="27">
        <v>4</v>
      </c>
      <c r="EU102" s="27">
        <v>5</v>
      </c>
      <c r="EV102" s="1">
        <v>18</v>
      </c>
      <c r="EW102" s="1">
        <v>2</v>
      </c>
      <c r="EY102" s="1">
        <v>1</v>
      </c>
      <c r="EZ102" s="9"/>
      <c r="FA102" s="1">
        <v>1</v>
      </c>
      <c r="FB102" s="9" t="s">
        <v>797</v>
      </c>
      <c r="FC102" s="1">
        <v>1</v>
      </c>
      <c r="FD102" s="1">
        <v>4</v>
      </c>
      <c r="FE102" s="4">
        <v>6.21</v>
      </c>
      <c r="FF102" s="4">
        <v>6.63</v>
      </c>
      <c r="FG102" s="4">
        <v>8.06</v>
      </c>
      <c r="FH102" s="4">
        <v>6.83</v>
      </c>
      <c r="FI102" s="4">
        <v>6.38</v>
      </c>
      <c r="FJ102" s="23">
        <v>6.5</v>
      </c>
      <c r="FK102" s="4">
        <v>5.08</v>
      </c>
      <c r="FL102" s="4">
        <v>7</v>
      </c>
      <c r="FM102" s="4">
        <v>3.88</v>
      </c>
      <c r="FN102" s="4">
        <v>5.63</v>
      </c>
      <c r="FO102" s="4">
        <v>6.58</v>
      </c>
      <c r="FP102" s="4">
        <v>5.75</v>
      </c>
      <c r="FQ102" s="4">
        <v>2.25</v>
      </c>
      <c r="FR102" s="4">
        <v>1.25</v>
      </c>
      <c r="FS102" s="4">
        <v>5</v>
      </c>
      <c r="FT102" s="4">
        <v>6</v>
      </c>
      <c r="FU102" s="4">
        <v>4.5</v>
      </c>
      <c r="FV102" s="4">
        <v>3.5</v>
      </c>
      <c r="FW102" s="4">
        <v>3.25</v>
      </c>
      <c r="FX102" s="4">
        <v>6</v>
      </c>
      <c r="FY102" s="4">
        <v>6.75</v>
      </c>
      <c r="FZ102" s="4">
        <v>6.25</v>
      </c>
      <c r="GA102" s="4">
        <v>2</v>
      </c>
      <c r="GB102" s="4">
        <v>6.58</v>
      </c>
      <c r="GC102" s="4">
        <v>6.38</v>
      </c>
      <c r="GD102" s="4">
        <v>5.17</v>
      </c>
      <c r="GE102" s="26"/>
      <c r="GF102" s="26"/>
      <c r="GG102" s="4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S102" s="3"/>
      <c r="HU102" s="3"/>
      <c r="HX102" s="3"/>
      <c r="IA102" s="3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3"/>
      <c r="JP102" s="3"/>
      <c r="JQ102" s="4"/>
      <c r="JR102" s="5"/>
      <c r="JS102" s="5"/>
      <c r="JT102" s="8"/>
      <c r="JU102" s="8"/>
      <c r="JV102" s="8"/>
      <c r="JW102" s="8"/>
      <c r="JX102" s="8"/>
      <c r="JY102" s="8"/>
      <c r="JZ102" s="8"/>
      <c r="KA102" s="8"/>
      <c r="KB102" s="8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U102" s="4"/>
      <c r="KV102" s="4"/>
      <c r="KW102" s="4"/>
      <c r="KX102" s="4"/>
      <c r="KY102" s="4"/>
      <c r="KZ102" s="4"/>
      <c r="LA102" s="4"/>
      <c r="LB102" s="4"/>
      <c r="LC102" s="4"/>
      <c r="LD102" s="4"/>
      <c r="LE102" s="4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4"/>
      <c r="MI102" s="4"/>
      <c r="MJ102" s="4"/>
      <c r="MK102" s="4"/>
      <c r="ML102" s="4"/>
      <c r="MM102" s="4"/>
      <c r="MN102" s="4"/>
      <c r="MO102" s="4"/>
      <c r="MP102" s="4"/>
      <c r="MQ102" s="4"/>
      <c r="MR102" s="4"/>
      <c r="MS102" s="4"/>
      <c r="MT102" s="4"/>
      <c r="MU102" s="4"/>
      <c r="MV102" s="4"/>
      <c r="MW102" s="4"/>
      <c r="MX102" s="4"/>
      <c r="MY102" s="4"/>
      <c r="MZ102" s="4"/>
      <c r="NA102" s="4"/>
      <c r="NB102" s="4"/>
      <c r="NC102" s="4"/>
      <c r="ND102" s="4"/>
      <c r="NE102" s="4"/>
      <c r="NF102" s="4"/>
      <c r="NG102" s="4"/>
      <c r="NH102" s="4"/>
      <c r="NI102" s="4"/>
      <c r="NJ102" s="4"/>
    </row>
    <row r="103" spans="1:374" s="1" customFormat="1" x14ac:dyDescent="0.35">
      <c r="A103" s="2">
        <v>43350</v>
      </c>
      <c r="B103" s="15" t="s">
        <v>114</v>
      </c>
      <c r="C103" s="15" t="s">
        <v>264</v>
      </c>
      <c r="D103" s="1">
        <v>102</v>
      </c>
      <c r="E103" s="3">
        <v>3</v>
      </c>
      <c r="F103" s="3">
        <v>1</v>
      </c>
      <c r="G103" s="3"/>
      <c r="H103" s="3">
        <v>26</v>
      </c>
      <c r="I103" s="3">
        <v>2</v>
      </c>
      <c r="J103" s="3"/>
      <c r="K103" s="18">
        <v>0</v>
      </c>
      <c r="L103" s="18">
        <v>0</v>
      </c>
      <c r="M103" s="18">
        <v>1</v>
      </c>
      <c r="N103" s="18">
        <v>1</v>
      </c>
      <c r="O103" s="18">
        <v>0</v>
      </c>
      <c r="P103" s="4">
        <v>0.4</v>
      </c>
      <c r="Q103" s="3">
        <v>102</v>
      </c>
      <c r="R103" s="3">
        <v>61</v>
      </c>
      <c r="S103" s="3">
        <v>89</v>
      </c>
      <c r="T103" s="3">
        <v>74</v>
      </c>
      <c r="U103" s="3">
        <v>83</v>
      </c>
      <c r="V103" s="3">
        <v>93</v>
      </c>
      <c r="W103" s="3">
        <v>93</v>
      </c>
      <c r="X103" s="3">
        <v>92</v>
      </c>
      <c r="Y103" s="3">
        <v>105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4"/>
      <c r="AJ103" s="4"/>
      <c r="AK103" s="4"/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  <c r="AX103" s="19"/>
      <c r="AY103"/>
      <c r="AZ103"/>
      <c r="BA103"/>
      <c r="BB103"/>
      <c r="BC103"/>
      <c r="BP103" s="4"/>
      <c r="BQ103" s="4"/>
      <c r="BR103" s="4"/>
      <c r="BS103" s="4"/>
      <c r="BT103" s="4"/>
      <c r="BU103" s="4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1">
        <v>7</v>
      </c>
      <c r="CJ103" s="1">
        <v>7</v>
      </c>
      <c r="CK103" s="1">
        <v>7</v>
      </c>
      <c r="CL103" s="1">
        <v>6</v>
      </c>
      <c r="CM103" s="1">
        <v>5</v>
      </c>
      <c r="CN103" s="1">
        <v>7</v>
      </c>
      <c r="CO103" s="1">
        <v>7</v>
      </c>
      <c r="CP103" s="1">
        <v>1</v>
      </c>
      <c r="CQ103" s="1">
        <v>7</v>
      </c>
      <c r="CR103" s="1">
        <v>7</v>
      </c>
      <c r="CS103" s="1">
        <v>7</v>
      </c>
      <c r="CT103" s="1">
        <v>7</v>
      </c>
      <c r="CU103" s="1">
        <v>7</v>
      </c>
      <c r="CV103" s="1">
        <v>7</v>
      </c>
      <c r="CW103" s="1">
        <v>7</v>
      </c>
      <c r="CX103" s="1">
        <v>7</v>
      </c>
      <c r="CY103" s="1">
        <v>7</v>
      </c>
      <c r="CZ103" s="1">
        <v>7</v>
      </c>
      <c r="DA103" s="1">
        <v>7</v>
      </c>
      <c r="DB103" s="1">
        <v>7</v>
      </c>
      <c r="DC103" s="1">
        <v>6</v>
      </c>
      <c r="DD103" s="1">
        <v>7</v>
      </c>
      <c r="DE103" s="1">
        <v>7</v>
      </c>
      <c r="DF103" s="1">
        <v>7</v>
      </c>
      <c r="DG103" s="1">
        <v>7</v>
      </c>
      <c r="DH103" s="1">
        <v>6</v>
      </c>
      <c r="DI103" s="1">
        <v>7</v>
      </c>
      <c r="DJ103" s="1">
        <v>7</v>
      </c>
      <c r="DK103" s="1">
        <v>7</v>
      </c>
      <c r="DL103" s="1">
        <v>7</v>
      </c>
      <c r="DM103" s="19">
        <v>7</v>
      </c>
      <c r="DN103" s="19">
        <v>3</v>
      </c>
      <c r="DO103" s="1">
        <v>6</v>
      </c>
      <c r="DP103" s="1">
        <v>5</v>
      </c>
      <c r="DQ103" s="1">
        <v>5</v>
      </c>
      <c r="DR103" s="1">
        <v>7</v>
      </c>
      <c r="DS103" s="1">
        <v>7</v>
      </c>
      <c r="DT103" s="1">
        <v>7</v>
      </c>
      <c r="DU103" s="27">
        <v>7</v>
      </c>
      <c r="DV103" s="27">
        <v>7</v>
      </c>
      <c r="DW103" s="27">
        <v>1</v>
      </c>
      <c r="DX103" s="27">
        <v>1</v>
      </c>
      <c r="DY103" s="27">
        <v>1</v>
      </c>
      <c r="DZ103" s="27">
        <v>1</v>
      </c>
      <c r="EA103" s="27">
        <v>1</v>
      </c>
      <c r="EB103" s="27">
        <v>6</v>
      </c>
      <c r="EC103" s="27">
        <v>7</v>
      </c>
      <c r="ED103" s="27">
        <v>1</v>
      </c>
      <c r="EE103" s="27">
        <v>2</v>
      </c>
      <c r="EF103" s="27">
        <v>4</v>
      </c>
      <c r="EG103" s="27">
        <v>4</v>
      </c>
      <c r="EH103" s="27">
        <v>7</v>
      </c>
      <c r="EI103" s="27">
        <v>7</v>
      </c>
      <c r="EJ103" s="27">
        <v>7</v>
      </c>
      <c r="EK103" s="27">
        <v>4</v>
      </c>
      <c r="EL103" s="27">
        <v>7</v>
      </c>
      <c r="EM103" s="27">
        <v>4</v>
      </c>
      <c r="EN103" s="27">
        <v>4</v>
      </c>
      <c r="EO103" s="27">
        <v>7</v>
      </c>
      <c r="EP103" s="27">
        <v>7</v>
      </c>
      <c r="EQ103" s="27">
        <v>7</v>
      </c>
      <c r="ER103" s="27">
        <v>7</v>
      </c>
      <c r="ES103" s="27">
        <v>4</v>
      </c>
      <c r="ET103" s="27"/>
      <c r="EU103" s="27"/>
      <c r="EV103" s="1">
        <v>28</v>
      </c>
      <c r="EW103" s="1">
        <v>3</v>
      </c>
      <c r="EX103" s="1" t="s">
        <v>752</v>
      </c>
      <c r="EY103" s="1">
        <v>1</v>
      </c>
      <c r="EZ103" s="9"/>
      <c r="FA103" s="1">
        <v>1</v>
      </c>
      <c r="FB103" s="9" t="s">
        <v>849</v>
      </c>
      <c r="FC103" s="1">
        <v>1</v>
      </c>
      <c r="FD103" s="1">
        <v>1</v>
      </c>
      <c r="FE103" s="4"/>
      <c r="FF103" s="4"/>
      <c r="FG103" s="4"/>
      <c r="FH103" s="4"/>
      <c r="FI103" s="4"/>
      <c r="FJ103" s="23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26"/>
      <c r="GF103" s="26"/>
      <c r="GG103" s="4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S103" s="3"/>
      <c r="HU103" s="3"/>
      <c r="HX103" s="3"/>
      <c r="IA103" s="3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6"/>
      <c r="JP103" s="6"/>
      <c r="JQ103" s="6"/>
      <c r="JR103" s="6"/>
      <c r="JS103" s="6"/>
      <c r="JT103" s="8"/>
      <c r="JU103" s="8"/>
      <c r="JV103" s="8"/>
      <c r="JW103" s="8"/>
      <c r="JX103" s="8"/>
      <c r="JY103" s="8"/>
      <c r="JZ103" s="8"/>
      <c r="KA103" s="8"/>
      <c r="KB103" s="8"/>
      <c r="KC103" s="6"/>
      <c r="KD103" s="6"/>
      <c r="KE103" s="6"/>
      <c r="KF103" s="6"/>
      <c r="KG103" s="6"/>
      <c r="KH103" s="6"/>
      <c r="KI103" s="6"/>
      <c r="KJ103" s="6"/>
      <c r="KK103" s="6"/>
      <c r="KL103" s="4"/>
      <c r="KM103" s="4"/>
      <c r="KN103" s="6"/>
      <c r="KO103" s="4"/>
      <c r="KP103" s="4"/>
      <c r="KQ103" s="6"/>
      <c r="KR103" s="6"/>
      <c r="KS103" s="4"/>
      <c r="KU103" s="4"/>
      <c r="KV103" s="4"/>
      <c r="KW103" s="4"/>
      <c r="KX103" s="6"/>
      <c r="KY103" s="6"/>
      <c r="KZ103" s="6"/>
      <c r="LA103" s="4"/>
      <c r="LB103" s="6"/>
      <c r="LC103" s="6"/>
      <c r="LD103" s="4"/>
      <c r="LE103" s="4"/>
      <c r="LF103" s="6"/>
      <c r="LG103" s="6"/>
      <c r="LH103" s="6"/>
      <c r="LI103" s="6"/>
      <c r="LJ103" s="6"/>
      <c r="LK103" s="6"/>
      <c r="LL103" s="6"/>
      <c r="LM103" s="6"/>
      <c r="LN103" s="6"/>
      <c r="LO103" s="6"/>
      <c r="LP103" s="6"/>
      <c r="LQ103" s="6"/>
      <c r="LR103" s="6"/>
      <c r="LS103" s="6"/>
      <c r="LT103" s="6"/>
      <c r="LU103" s="6"/>
      <c r="LV103" s="6"/>
      <c r="LW103" s="6"/>
      <c r="LX103" s="6"/>
      <c r="LY103" s="6"/>
      <c r="LZ103" s="6"/>
      <c r="MA103" s="6"/>
      <c r="MB103" s="6"/>
      <c r="MC103" s="6"/>
      <c r="MD103" s="6"/>
      <c r="ME103" s="6"/>
      <c r="MF103" s="6"/>
      <c r="MG103" s="6"/>
      <c r="MH103" s="6"/>
      <c r="MI103" s="6"/>
      <c r="MJ103" s="6"/>
      <c r="MK103" s="6"/>
      <c r="ML103" s="6"/>
      <c r="MM103" s="6"/>
      <c r="MN103" s="6"/>
      <c r="MO103" s="6"/>
      <c r="MP103" s="6"/>
      <c r="MQ103" s="6"/>
      <c r="MR103" s="6"/>
      <c r="MS103" s="6"/>
      <c r="MT103" s="6"/>
      <c r="MU103" s="6"/>
      <c r="MV103" s="6"/>
      <c r="MW103" s="6"/>
      <c r="MX103" s="6"/>
      <c r="MY103" s="6"/>
      <c r="MZ103" s="6"/>
      <c r="NA103" s="6"/>
      <c r="NB103" s="6"/>
      <c r="NC103" s="6"/>
      <c r="ND103" s="6"/>
      <c r="NE103" s="6"/>
      <c r="NF103" s="6"/>
      <c r="NG103" s="6"/>
      <c r="NH103" s="6"/>
      <c r="NI103" s="6"/>
      <c r="NJ103" s="4"/>
    </row>
    <row r="104" spans="1:374" s="1" customFormat="1" x14ac:dyDescent="0.35">
      <c r="A104" s="2">
        <v>43350</v>
      </c>
      <c r="B104" s="15" t="s">
        <v>114</v>
      </c>
      <c r="C104" s="15" t="s">
        <v>265</v>
      </c>
      <c r="D104" s="1">
        <v>103</v>
      </c>
      <c r="E104" s="3">
        <v>3</v>
      </c>
      <c r="F104" s="3">
        <v>1</v>
      </c>
      <c r="G104" s="3"/>
      <c r="H104" s="3">
        <v>26</v>
      </c>
      <c r="I104" s="3">
        <v>3</v>
      </c>
      <c r="J104" s="3"/>
      <c r="K104" s="18">
        <v>0</v>
      </c>
      <c r="L104" s="18">
        <v>0</v>
      </c>
      <c r="M104" s="18">
        <v>0</v>
      </c>
      <c r="N104" s="18">
        <v>1</v>
      </c>
      <c r="O104" s="18">
        <v>0</v>
      </c>
      <c r="P104" s="4">
        <v>0.2</v>
      </c>
      <c r="Q104" s="3">
        <v>50</v>
      </c>
      <c r="R104" s="3">
        <v>102</v>
      </c>
      <c r="S104" s="3">
        <v>98</v>
      </c>
      <c r="T104" s="3">
        <v>85</v>
      </c>
      <c r="U104" s="3">
        <v>111</v>
      </c>
      <c r="V104" s="3">
        <v>98</v>
      </c>
      <c r="W104" s="3">
        <v>100</v>
      </c>
      <c r="X104" s="3">
        <v>98</v>
      </c>
      <c r="Y104" s="3">
        <v>95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4"/>
      <c r="AJ104" s="4"/>
      <c r="AK104" s="4"/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9">
        <v>0</v>
      </c>
      <c r="AT104" s="19">
        <v>0</v>
      </c>
      <c r="AU104" s="19">
        <v>0</v>
      </c>
      <c r="AV104" s="19">
        <v>0</v>
      </c>
      <c r="AW104" s="19">
        <v>0</v>
      </c>
      <c r="AX104" s="19"/>
      <c r="AY104"/>
      <c r="AZ104"/>
      <c r="BA104"/>
      <c r="BB104"/>
      <c r="BC104"/>
      <c r="BP104" s="4"/>
      <c r="BQ104" s="4"/>
      <c r="BR104" s="4"/>
      <c r="BS104" s="4"/>
      <c r="BT104" s="4"/>
      <c r="BU104" s="4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1">
        <v>7</v>
      </c>
      <c r="CJ104" s="1">
        <v>6</v>
      </c>
      <c r="CK104" s="1">
        <v>6</v>
      </c>
      <c r="CL104" s="1">
        <v>6</v>
      </c>
      <c r="CM104" s="1">
        <v>6</v>
      </c>
      <c r="CN104" s="1">
        <v>6</v>
      </c>
      <c r="CO104" s="1">
        <v>6</v>
      </c>
      <c r="CP104" s="1">
        <v>2</v>
      </c>
      <c r="CQ104" s="1">
        <v>6</v>
      </c>
      <c r="CR104" s="1">
        <v>6</v>
      </c>
      <c r="CS104" s="1">
        <v>6</v>
      </c>
      <c r="CT104" s="1">
        <v>6</v>
      </c>
      <c r="CU104" s="1">
        <v>6</v>
      </c>
      <c r="CV104" s="1">
        <v>6</v>
      </c>
      <c r="CW104" s="1">
        <v>6</v>
      </c>
      <c r="CX104" s="1">
        <v>6</v>
      </c>
      <c r="CY104" s="1">
        <v>6</v>
      </c>
      <c r="CZ104" s="1">
        <v>7</v>
      </c>
      <c r="DA104" s="1">
        <v>7</v>
      </c>
      <c r="DB104" s="1">
        <v>7</v>
      </c>
      <c r="DC104" s="1">
        <v>7</v>
      </c>
      <c r="DD104" s="1">
        <v>7</v>
      </c>
      <c r="DE104" s="1">
        <v>6</v>
      </c>
      <c r="DF104" s="1">
        <v>5</v>
      </c>
      <c r="DG104" s="1">
        <v>3</v>
      </c>
      <c r="DH104" s="1">
        <v>5</v>
      </c>
      <c r="DI104" s="1">
        <v>7</v>
      </c>
      <c r="DJ104" s="1">
        <v>6</v>
      </c>
      <c r="DK104" s="1">
        <v>7</v>
      </c>
      <c r="DL104" s="1">
        <v>7</v>
      </c>
      <c r="DM104" s="19">
        <v>7</v>
      </c>
      <c r="DN104" s="19">
        <v>5</v>
      </c>
      <c r="DO104" s="1">
        <v>4</v>
      </c>
      <c r="DP104" s="1">
        <v>7</v>
      </c>
      <c r="DQ104" s="1">
        <v>7</v>
      </c>
      <c r="DR104" s="1">
        <v>7</v>
      </c>
      <c r="DS104" s="1">
        <v>6</v>
      </c>
      <c r="DT104" s="1">
        <v>5</v>
      </c>
      <c r="DU104" s="27">
        <v>6</v>
      </c>
      <c r="DV104" s="27">
        <v>6</v>
      </c>
      <c r="DW104" s="27">
        <v>5</v>
      </c>
      <c r="DX104" s="27">
        <v>4</v>
      </c>
      <c r="DY104" s="27">
        <v>2</v>
      </c>
      <c r="DZ104" s="27">
        <v>4</v>
      </c>
      <c r="EA104" s="27">
        <v>2</v>
      </c>
      <c r="EB104" s="27">
        <v>2</v>
      </c>
      <c r="EC104" s="27">
        <v>6</v>
      </c>
      <c r="ED104" s="27">
        <v>6</v>
      </c>
      <c r="EE104" s="27">
        <v>2</v>
      </c>
      <c r="EF104" s="27">
        <v>4</v>
      </c>
      <c r="EG104" s="27">
        <v>6</v>
      </c>
      <c r="EH104" s="27">
        <v>6</v>
      </c>
      <c r="EI104" s="27">
        <v>6</v>
      </c>
      <c r="EJ104" s="27">
        <v>6</v>
      </c>
      <c r="EK104" s="27">
        <v>6</v>
      </c>
      <c r="EL104" s="27">
        <v>6</v>
      </c>
      <c r="EM104" s="27">
        <v>2</v>
      </c>
      <c r="EN104" s="27">
        <v>2</v>
      </c>
      <c r="EO104" s="27">
        <v>6</v>
      </c>
      <c r="EP104" s="27">
        <v>6</v>
      </c>
      <c r="EQ104" s="27">
        <v>4</v>
      </c>
      <c r="ER104" s="27">
        <v>6</v>
      </c>
      <c r="ES104" s="27">
        <v>6</v>
      </c>
      <c r="ET104" s="27">
        <v>4</v>
      </c>
      <c r="EU104" s="27">
        <v>4</v>
      </c>
      <c r="EV104" s="1">
        <v>19</v>
      </c>
      <c r="EW104" s="1">
        <v>2</v>
      </c>
      <c r="EY104" s="1">
        <v>1</v>
      </c>
      <c r="EZ104" s="9"/>
      <c r="FA104" s="1">
        <v>2</v>
      </c>
      <c r="FB104" s="9" t="s">
        <v>776</v>
      </c>
      <c r="FC104" s="1">
        <v>1</v>
      </c>
      <c r="FD104" s="1">
        <v>4</v>
      </c>
      <c r="FE104" s="4"/>
      <c r="FF104" s="4"/>
      <c r="FG104" s="4"/>
      <c r="FH104" s="4"/>
      <c r="FI104" s="4"/>
      <c r="FJ104" s="23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26"/>
      <c r="GF104" s="26"/>
      <c r="GG104" s="4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S104" s="3"/>
      <c r="HU104" s="3"/>
      <c r="HX104" s="3"/>
      <c r="IA104" s="3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6"/>
      <c r="JP104" s="6"/>
      <c r="JQ104" s="6"/>
      <c r="JR104" s="6"/>
      <c r="JS104" s="6"/>
      <c r="JT104" s="8"/>
      <c r="JU104" s="8"/>
      <c r="JV104" s="8"/>
      <c r="JW104" s="8"/>
      <c r="JX104" s="8"/>
      <c r="JY104" s="8"/>
      <c r="JZ104" s="8"/>
      <c r="KA104" s="8"/>
      <c r="KB104" s="8"/>
      <c r="KC104" s="6"/>
      <c r="KD104" s="6"/>
      <c r="KE104" s="6"/>
      <c r="KF104" s="6"/>
      <c r="KG104" s="6"/>
      <c r="KH104" s="6"/>
      <c r="KI104" s="6"/>
      <c r="KJ104" s="6"/>
      <c r="KK104" s="6"/>
      <c r="KL104" s="4"/>
      <c r="KM104" s="4"/>
      <c r="KN104" s="6"/>
      <c r="KO104" s="4"/>
      <c r="KP104" s="4"/>
      <c r="KQ104" s="6"/>
      <c r="KR104" s="6"/>
      <c r="KS104" s="4"/>
      <c r="KU104" s="4"/>
      <c r="KV104" s="4"/>
      <c r="KW104" s="4"/>
      <c r="KX104" s="6"/>
      <c r="KY104" s="6"/>
      <c r="KZ104" s="6"/>
      <c r="LA104" s="4"/>
      <c r="LB104" s="6"/>
      <c r="LC104" s="6"/>
      <c r="LD104" s="4"/>
      <c r="LE104" s="4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  <c r="ML104" s="6"/>
      <c r="MM104" s="6"/>
      <c r="MN104" s="6"/>
      <c r="MO104" s="6"/>
      <c r="MP104" s="6"/>
      <c r="MQ104" s="6"/>
      <c r="MR104" s="6"/>
      <c r="MS104" s="6"/>
      <c r="MT104" s="6"/>
      <c r="MU104" s="6"/>
      <c r="MV104" s="6"/>
      <c r="MW104" s="6"/>
      <c r="MX104" s="6"/>
      <c r="MY104" s="6"/>
      <c r="MZ104" s="6"/>
      <c r="NA104" s="6"/>
      <c r="NB104" s="6"/>
      <c r="NC104" s="6"/>
      <c r="ND104" s="6"/>
      <c r="NE104" s="6"/>
      <c r="NF104" s="6"/>
      <c r="NG104" s="6"/>
      <c r="NH104" s="6"/>
      <c r="NI104" s="6"/>
      <c r="NJ104" s="4"/>
    </row>
    <row r="105" spans="1:374" s="1" customFormat="1" x14ac:dyDescent="0.35">
      <c r="A105" s="2">
        <v>43350</v>
      </c>
      <c r="B105" s="15" t="s">
        <v>114</v>
      </c>
      <c r="C105" s="15" t="s">
        <v>266</v>
      </c>
      <c r="D105" s="1">
        <v>104</v>
      </c>
      <c r="E105" s="3">
        <v>3</v>
      </c>
      <c r="F105" s="3">
        <v>1</v>
      </c>
      <c r="G105" s="3"/>
      <c r="H105" s="3">
        <v>26</v>
      </c>
      <c r="I105" s="3">
        <v>4</v>
      </c>
      <c r="J105" s="3"/>
      <c r="K105" s="18">
        <v>1</v>
      </c>
      <c r="L105" s="18">
        <v>1</v>
      </c>
      <c r="M105" s="18">
        <v>1</v>
      </c>
      <c r="N105" s="18">
        <v>1</v>
      </c>
      <c r="O105" s="18">
        <v>1</v>
      </c>
      <c r="P105" s="4">
        <v>1</v>
      </c>
      <c r="Q105" s="3">
        <v>59</v>
      </c>
      <c r="R105" s="3">
        <v>102</v>
      </c>
      <c r="S105" s="3">
        <v>89</v>
      </c>
      <c r="T105" s="3">
        <v>95</v>
      </c>
      <c r="U105" s="3">
        <v>72</v>
      </c>
      <c r="V105" s="3">
        <v>116</v>
      </c>
      <c r="W105" s="3">
        <v>103</v>
      </c>
      <c r="X105" s="3">
        <v>92</v>
      </c>
      <c r="Y105" s="3">
        <v>96</v>
      </c>
      <c r="Z105" s="3"/>
      <c r="AA105" s="3"/>
      <c r="AB105" s="3"/>
      <c r="AC105" s="3"/>
      <c r="AD105" s="3"/>
      <c r="AE105" s="3"/>
      <c r="AF105" s="3"/>
      <c r="AG105" s="3"/>
      <c r="AH105" s="3"/>
      <c r="AI105" s="4"/>
      <c r="AJ105" s="4"/>
      <c r="AK105" s="4"/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19"/>
      <c r="AY105"/>
      <c r="AZ105"/>
      <c r="BA105"/>
      <c r="BB105"/>
      <c r="BC105"/>
      <c r="BP105" s="4"/>
      <c r="BQ105" s="4"/>
      <c r="BR105" s="4"/>
      <c r="BS105" s="4"/>
      <c r="BT105" s="4"/>
      <c r="BU105" s="4"/>
      <c r="BV105" s="6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1">
        <v>6</v>
      </c>
      <c r="CJ105" s="1">
        <v>6</v>
      </c>
      <c r="CK105" s="1">
        <v>7</v>
      </c>
      <c r="CL105" s="1">
        <v>6</v>
      </c>
      <c r="CM105" s="1">
        <v>4</v>
      </c>
      <c r="CN105" s="1">
        <v>6</v>
      </c>
      <c r="CO105" s="1">
        <v>6</v>
      </c>
      <c r="CP105" s="1">
        <v>1</v>
      </c>
      <c r="CQ105" s="1">
        <v>6</v>
      </c>
      <c r="CR105" s="1">
        <v>6</v>
      </c>
      <c r="CS105" s="1">
        <v>7</v>
      </c>
      <c r="CT105" s="1">
        <v>7</v>
      </c>
      <c r="CU105" s="1">
        <v>7</v>
      </c>
      <c r="CV105" s="1">
        <v>7</v>
      </c>
      <c r="CW105" s="1">
        <v>4</v>
      </c>
      <c r="CX105" s="1">
        <v>7</v>
      </c>
      <c r="CY105" s="1">
        <v>6</v>
      </c>
      <c r="CZ105" s="1">
        <v>7</v>
      </c>
      <c r="DA105" s="1">
        <v>7</v>
      </c>
      <c r="DB105" s="1">
        <v>7</v>
      </c>
      <c r="DC105" s="1">
        <v>7</v>
      </c>
      <c r="DD105" s="1">
        <v>7</v>
      </c>
      <c r="DE105" s="1">
        <v>6</v>
      </c>
      <c r="DF105" s="1">
        <v>4</v>
      </c>
      <c r="DG105" s="1">
        <v>4</v>
      </c>
      <c r="DH105" s="1">
        <v>4</v>
      </c>
      <c r="DI105" s="1">
        <v>6</v>
      </c>
      <c r="DJ105" s="1">
        <v>7</v>
      </c>
      <c r="DK105" s="1">
        <v>7</v>
      </c>
      <c r="DL105" s="1">
        <v>7</v>
      </c>
      <c r="DM105" s="19">
        <v>7</v>
      </c>
      <c r="DN105" s="19">
        <v>4</v>
      </c>
      <c r="DO105" s="1">
        <v>4</v>
      </c>
      <c r="DP105" s="1">
        <v>6</v>
      </c>
      <c r="DQ105" s="1">
        <v>7</v>
      </c>
      <c r="DR105" s="1">
        <v>6</v>
      </c>
      <c r="DS105" s="1">
        <v>7</v>
      </c>
      <c r="DT105" s="1">
        <v>7</v>
      </c>
      <c r="DU105" s="27">
        <v>7</v>
      </c>
      <c r="DV105" s="27">
        <v>7</v>
      </c>
      <c r="DW105" s="27">
        <v>7</v>
      </c>
      <c r="DX105" s="27">
        <v>7</v>
      </c>
      <c r="DY105" s="27">
        <v>1</v>
      </c>
      <c r="DZ105" s="27">
        <v>1</v>
      </c>
      <c r="EA105" s="27">
        <v>1</v>
      </c>
      <c r="EB105" s="27">
        <v>6</v>
      </c>
      <c r="EC105" s="27">
        <v>4</v>
      </c>
      <c r="ED105" s="27">
        <v>6</v>
      </c>
      <c r="EE105" s="27">
        <v>4</v>
      </c>
      <c r="EF105" s="27">
        <v>4</v>
      </c>
      <c r="EG105" s="27">
        <v>7</v>
      </c>
      <c r="EH105" s="27">
        <v>7</v>
      </c>
      <c r="EI105" s="27">
        <v>7</v>
      </c>
      <c r="EJ105" s="27">
        <v>7</v>
      </c>
      <c r="EK105" s="27">
        <v>7</v>
      </c>
      <c r="EL105" s="27">
        <v>4</v>
      </c>
      <c r="EM105" s="27">
        <v>1</v>
      </c>
      <c r="EN105" s="27">
        <v>1</v>
      </c>
      <c r="EO105" s="27">
        <v>7</v>
      </c>
      <c r="EP105" s="27">
        <v>7</v>
      </c>
      <c r="EQ105" s="27">
        <v>7</v>
      </c>
      <c r="ER105" s="27">
        <v>7</v>
      </c>
      <c r="ES105" s="27">
        <v>7</v>
      </c>
      <c r="ET105" s="27">
        <v>7</v>
      </c>
      <c r="EU105" s="27">
        <v>7</v>
      </c>
      <c r="EV105" s="1">
        <v>18</v>
      </c>
      <c r="EW105" s="1">
        <v>1</v>
      </c>
      <c r="EY105" s="1">
        <v>1</v>
      </c>
      <c r="EZ105" s="9"/>
      <c r="FA105" s="1">
        <v>1</v>
      </c>
      <c r="FB105" s="9" t="s">
        <v>834</v>
      </c>
      <c r="FC105" s="1">
        <v>0</v>
      </c>
      <c r="FD105" s="1">
        <v>3</v>
      </c>
      <c r="FE105" s="4"/>
      <c r="FF105" s="4"/>
      <c r="FG105" s="4"/>
      <c r="FH105" s="4"/>
      <c r="FI105" s="4"/>
      <c r="FJ105" s="23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26"/>
      <c r="GF105" s="26"/>
      <c r="GG105" s="4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3"/>
      <c r="HQ105" s="3"/>
      <c r="HS105" s="3"/>
      <c r="HU105" s="3"/>
      <c r="HX105" s="3"/>
      <c r="IA105" s="3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6"/>
      <c r="JP105" s="6"/>
      <c r="JQ105" s="6"/>
      <c r="JR105" s="6"/>
      <c r="JS105" s="6"/>
      <c r="JT105" s="8"/>
      <c r="JU105" s="8"/>
      <c r="JV105" s="8"/>
      <c r="JW105" s="8"/>
      <c r="JX105" s="8"/>
      <c r="JY105" s="8"/>
      <c r="JZ105" s="8"/>
      <c r="KA105" s="8"/>
      <c r="KB105" s="8"/>
      <c r="KC105" s="6"/>
      <c r="KD105" s="6"/>
      <c r="KE105" s="6"/>
      <c r="KF105" s="6"/>
      <c r="KG105" s="6"/>
      <c r="KH105" s="6"/>
      <c r="KI105" s="6"/>
      <c r="KJ105" s="6"/>
      <c r="KK105" s="6"/>
      <c r="KL105" s="4"/>
      <c r="KM105" s="4"/>
      <c r="KN105" s="6"/>
      <c r="KO105" s="4"/>
      <c r="KP105" s="4"/>
      <c r="KQ105" s="6"/>
      <c r="KR105" s="6"/>
      <c r="KS105" s="4"/>
      <c r="KU105" s="4"/>
      <c r="KV105" s="4"/>
      <c r="KW105" s="4"/>
      <c r="KX105" s="6"/>
      <c r="KY105" s="6"/>
      <c r="KZ105" s="6"/>
      <c r="LA105" s="4"/>
      <c r="LB105" s="6"/>
      <c r="LC105" s="6"/>
      <c r="LD105" s="4"/>
      <c r="LE105" s="4"/>
      <c r="LF105" s="6"/>
      <c r="LG105" s="6"/>
      <c r="LH105" s="6"/>
      <c r="LI105" s="6"/>
      <c r="LJ105" s="6"/>
      <c r="LK105" s="6"/>
      <c r="LL105" s="6"/>
      <c r="LM105" s="6"/>
      <c r="LN105" s="6"/>
      <c r="LO105" s="6"/>
      <c r="LP105" s="6"/>
      <c r="LQ105" s="6"/>
      <c r="LR105" s="6"/>
      <c r="LS105" s="6"/>
      <c r="LT105" s="6"/>
      <c r="LU105" s="6"/>
      <c r="LV105" s="6"/>
      <c r="LW105" s="6"/>
      <c r="LX105" s="6"/>
      <c r="LY105" s="6"/>
      <c r="LZ105" s="6"/>
      <c r="MA105" s="6"/>
      <c r="MB105" s="6"/>
      <c r="MC105" s="6"/>
      <c r="MD105" s="6"/>
      <c r="ME105" s="6"/>
      <c r="MF105" s="6"/>
      <c r="MG105" s="6"/>
      <c r="MH105" s="6"/>
      <c r="MI105" s="6"/>
      <c r="MJ105" s="6"/>
      <c r="MK105" s="6"/>
      <c r="ML105" s="6"/>
      <c r="MM105" s="6"/>
      <c r="MN105" s="6"/>
      <c r="MO105" s="6"/>
      <c r="MP105" s="6"/>
      <c r="MQ105" s="6"/>
      <c r="MR105" s="6"/>
      <c r="MS105" s="6"/>
      <c r="MT105" s="6"/>
      <c r="MU105" s="6"/>
      <c r="MV105" s="6"/>
      <c r="MW105" s="6"/>
      <c r="MX105" s="6"/>
      <c r="MY105" s="6"/>
      <c r="MZ105" s="6"/>
      <c r="NA105" s="6"/>
      <c r="NB105" s="6"/>
      <c r="NC105" s="6"/>
      <c r="ND105" s="6"/>
      <c r="NE105" s="6"/>
      <c r="NF105" s="6"/>
      <c r="NG105" s="6"/>
      <c r="NH105" s="6"/>
      <c r="NI105" s="6"/>
      <c r="NJ105" s="4"/>
    </row>
    <row r="106" spans="1:374" s="1" customFormat="1" x14ac:dyDescent="0.35">
      <c r="A106" s="2">
        <v>43350</v>
      </c>
      <c r="B106" s="15" t="s">
        <v>115</v>
      </c>
      <c r="C106" s="15" t="s">
        <v>267</v>
      </c>
      <c r="D106" s="1">
        <v>105</v>
      </c>
      <c r="E106" s="3">
        <v>3</v>
      </c>
      <c r="F106" s="3">
        <v>1</v>
      </c>
      <c r="G106" s="3">
        <v>0</v>
      </c>
      <c r="H106" s="3">
        <v>27</v>
      </c>
      <c r="I106" s="3">
        <v>1</v>
      </c>
      <c r="J106" s="3">
        <v>1</v>
      </c>
      <c r="K106" s="18">
        <v>1</v>
      </c>
      <c r="L106" s="18">
        <v>1</v>
      </c>
      <c r="M106" s="18">
        <v>1</v>
      </c>
      <c r="N106" s="18">
        <v>1</v>
      </c>
      <c r="O106" s="18">
        <v>0</v>
      </c>
      <c r="P106" s="4">
        <v>0.8</v>
      </c>
      <c r="Q106" s="3">
        <v>113</v>
      </c>
      <c r="R106" s="3">
        <v>93</v>
      </c>
      <c r="S106" s="3">
        <v>109</v>
      </c>
      <c r="T106" s="3">
        <v>86</v>
      </c>
      <c r="U106" s="3">
        <v>74</v>
      </c>
      <c r="V106" s="3">
        <v>82</v>
      </c>
      <c r="W106" s="3">
        <v>68</v>
      </c>
      <c r="X106" s="3">
        <v>63</v>
      </c>
      <c r="Y106" s="3">
        <v>81</v>
      </c>
      <c r="Z106" s="3">
        <v>412</v>
      </c>
      <c r="AA106" s="3">
        <v>418</v>
      </c>
      <c r="AB106" s="3">
        <v>435</v>
      </c>
      <c r="AC106" s="3">
        <v>372</v>
      </c>
      <c r="AD106" s="3">
        <v>319</v>
      </c>
      <c r="AE106" s="3">
        <v>363</v>
      </c>
      <c r="AF106" s="3">
        <v>309</v>
      </c>
      <c r="AG106" s="3">
        <v>341</v>
      </c>
      <c r="AH106" s="3">
        <v>314</v>
      </c>
      <c r="AI106" s="4">
        <v>421.67</v>
      </c>
      <c r="AJ106" s="4">
        <v>351.33</v>
      </c>
      <c r="AK106" s="4">
        <v>321.33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  <c r="AX106" s="19">
        <f t="shared" ref="AX106:BC106" si="52">AL106+AL107+AL108+AL109</f>
        <v>0</v>
      </c>
      <c r="AY106" s="19">
        <f t="shared" si="52"/>
        <v>0</v>
      </c>
      <c r="AZ106" s="19">
        <f t="shared" si="52"/>
        <v>0</v>
      </c>
      <c r="BA106" s="19">
        <f t="shared" si="52"/>
        <v>0</v>
      </c>
      <c r="BB106" s="19">
        <f t="shared" si="52"/>
        <v>0</v>
      </c>
      <c r="BC106" s="19">
        <f t="shared" si="52"/>
        <v>0</v>
      </c>
      <c r="BD106" s="1">
        <f>AX106*3</f>
        <v>0</v>
      </c>
      <c r="BE106" s="1">
        <f t="shared" ref="BE106:BI106" si="53">AY106*3</f>
        <v>0</v>
      </c>
      <c r="BF106" s="1">
        <f t="shared" si="53"/>
        <v>0</v>
      </c>
      <c r="BG106" s="1">
        <f t="shared" si="53"/>
        <v>0</v>
      </c>
      <c r="BH106" s="1">
        <f t="shared" si="53"/>
        <v>0</v>
      </c>
      <c r="BI106" s="1">
        <f t="shared" si="53"/>
        <v>0</v>
      </c>
      <c r="BJ106" s="1">
        <f>AX106+AY106+AZ106</f>
        <v>0</v>
      </c>
      <c r="BK106" s="1">
        <f>BA106+BB106+BC106</f>
        <v>0</v>
      </c>
      <c r="BL106" s="1">
        <f>BJ106*3</f>
        <v>0</v>
      </c>
      <c r="BM106" s="1">
        <f>BK106*3</f>
        <v>0</v>
      </c>
      <c r="BN106" s="1">
        <f>BL106/3</f>
        <v>0</v>
      </c>
      <c r="BO106" s="1">
        <f>BM106/3</f>
        <v>0</v>
      </c>
      <c r="BP106" s="4">
        <v>421.66666666666669</v>
      </c>
      <c r="BQ106" s="4">
        <v>351.33333333333331</v>
      </c>
      <c r="BR106" s="4">
        <v>321.33333333333331</v>
      </c>
      <c r="BS106" s="4">
        <v>421.67</v>
      </c>
      <c r="BT106" s="4">
        <v>351.33</v>
      </c>
      <c r="BU106" s="4">
        <v>3.56</v>
      </c>
      <c r="BV106" s="3">
        <v>3</v>
      </c>
      <c r="BW106" s="3">
        <v>3</v>
      </c>
      <c r="BX106" s="3">
        <v>3</v>
      </c>
      <c r="BY106" s="3">
        <v>3</v>
      </c>
      <c r="BZ106" s="3">
        <v>0</v>
      </c>
      <c r="CA106" s="3">
        <v>0</v>
      </c>
      <c r="CB106" s="3">
        <v>0</v>
      </c>
      <c r="CC106" s="3">
        <v>0</v>
      </c>
      <c r="CD106" s="3">
        <v>1</v>
      </c>
      <c r="CE106" s="3">
        <v>1</v>
      </c>
      <c r="CF106" s="3">
        <v>1</v>
      </c>
      <c r="CG106" s="3">
        <v>1</v>
      </c>
      <c r="CH106" s="3">
        <v>0</v>
      </c>
      <c r="CI106" s="1">
        <v>7</v>
      </c>
      <c r="CJ106" s="1">
        <v>7</v>
      </c>
      <c r="CK106" s="1">
        <v>7</v>
      </c>
      <c r="CL106" s="1">
        <v>7</v>
      </c>
      <c r="CM106" s="1">
        <v>6</v>
      </c>
      <c r="CN106" s="1">
        <v>7</v>
      </c>
      <c r="CO106" s="1">
        <v>7</v>
      </c>
      <c r="CP106" s="1">
        <v>1</v>
      </c>
      <c r="CQ106" s="1">
        <v>7</v>
      </c>
      <c r="CR106" s="1">
        <v>7</v>
      </c>
      <c r="CS106" s="1">
        <v>7</v>
      </c>
      <c r="CT106" s="1">
        <v>7</v>
      </c>
      <c r="CU106" s="1">
        <v>6</v>
      </c>
      <c r="CV106" s="1">
        <v>7</v>
      </c>
      <c r="CW106" s="1">
        <v>7</v>
      </c>
      <c r="CX106" s="1">
        <v>7</v>
      </c>
      <c r="CY106" s="1">
        <v>7</v>
      </c>
      <c r="CZ106" s="1">
        <v>7</v>
      </c>
      <c r="DA106" s="1">
        <v>7</v>
      </c>
      <c r="DB106" s="1">
        <v>7</v>
      </c>
      <c r="DC106" s="1">
        <v>6</v>
      </c>
      <c r="DD106" s="1">
        <v>5</v>
      </c>
      <c r="DE106" s="1">
        <v>6</v>
      </c>
      <c r="DF106" s="1">
        <v>3</v>
      </c>
      <c r="DG106" s="1">
        <v>1</v>
      </c>
      <c r="DH106" s="1">
        <v>3</v>
      </c>
      <c r="DI106" s="1">
        <v>3</v>
      </c>
      <c r="DJ106" s="1">
        <v>3</v>
      </c>
      <c r="DK106" s="1">
        <v>4</v>
      </c>
      <c r="DL106" s="1">
        <v>6</v>
      </c>
      <c r="DM106" s="19">
        <v>6</v>
      </c>
      <c r="DN106" s="19">
        <v>2</v>
      </c>
      <c r="DO106" s="1">
        <v>3</v>
      </c>
      <c r="DP106" s="1">
        <v>6</v>
      </c>
      <c r="DQ106" s="1">
        <v>7</v>
      </c>
      <c r="DR106" s="1">
        <v>6</v>
      </c>
      <c r="DS106" s="1">
        <v>7</v>
      </c>
      <c r="DT106" s="1">
        <v>7</v>
      </c>
      <c r="DU106" s="27">
        <v>7</v>
      </c>
      <c r="DV106" s="27">
        <v>7</v>
      </c>
      <c r="DW106" s="27">
        <v>7</v>
      </c>
      <c r="DX106" s="27">
        <v>1</v>
      </c>
      <c r="DY106" s="27">
        <v>1</v>
      </c>
      <c r="DZ106" s="27">
        <v>1</v>
      </c>
      <c r="EA106" s="27">
        <v>1</v>
      </c>
      <c r="EB106" s="27">
        <v>3</v>
      </c>
      <c r="EC106" s="27">
        <v>7</v>
      </c>
      <c r="ED106" s="27">
        <v>7</v>
      </c>
      <c r="EE106" s="27">
        <v>5</v>
      </c>
      <c r="EF106" s="27">
        <v>3</v>
      </c>
      <c r="EG106" s="27">
        <v>7</v>
      </c>
      <c r="EH106" s="27">
        <v>7</v>
      </c>
      <c r="EI106" s="27">
        <v>7</v>
      </c>
      <c r="EJ106" s="27">
        <v>7</v>
      </c>
      <c r="EK106" s="27">
        <v>7</v>
      </c>
      <c r="EL106" s="27">
        <v>7</v>
      </c>
      <c r="EM106" s="27">
        <v>1</v>
      </c>
      <c r="EN106" s="27">
        <v>1</v>
      </c>
      <c r="EO106" s="27">
        <v>7</v>
      </c>
      <c r="EP106" s="27">
        <v>7</v>
      </c>
      <c r="EQ106" s="27">
        <v>7</v>
      </c>
      <c r="ER106" s="27">
        <v>7</v>
      </c>
      <c r="ES106" s="27">
        <v>7</v>
      </c>
      <c r="ET106" s="27">
        <v>4</v>
      </c>
      <c r="EU106" s="27">
        <v>4</v>
      </c>
      <c r="EV106" s="1">
        <v>18</v>
      </c>
      <c r="EW106" s="1">
        <v>1</v>
      </c>
      <c r="EY106" s="1">
        <v>1</v>
      </c>
      <c r="EZ106" s="9"/>
      <c r="FA106" s="1">
        <v>1</v>
      </c>
      <c r="FB106" s="9" t="s">
        <v>838</v>
      </c>
      <c r="FC106" s="1">
        <v>1</v>
      </c>
      <c r="FD106" s="1">
        <v>2</v>
      </c>
      <c r="FE106" s="4">
        <v>6.75</v>
      </c>
      <c r="FF106" s="4">
        <v>6.69</v>
      </c>
      <c r="FG106" s="4">
        <v>8.69</v>
      </c>
      <c r="FH106" s="4">
        <v>6.83</v>
      </c>
      <c r="FI106" s="4">
        <v>6.5</v>
      </c>
      <c r="FJ106" s="23">
        <v>6.25</v>
      </c>
      <c r="FK106" s="4">
        <v>4.75</v>
      </c>
      <c r="FL106" s="4">
        <v>6.75</v>
      </c>
      <c r="FM106" s="4">
        <v>4.5</v>
      </c>
      <c r="FN106" s="4">
        <v>5.38</v>
      </c>
      <c r="FO106" s="4">
        <v>6.42</v>
      </c>
      <c r="FP106" s="4">
        <v>6.25</v>
      </c>
      <c r="FQ106" s="4">
        <v>1.38</v>
      </c>
      <c r="FR106" s="4">
        <v>1</v>
      </c>
      <c r="FS106" s="4">
        <v>4.25</v>
      </c>
      <c r="FT106" s="4">
        <v>5</v>
      </c>
      <c r="FU106" s="4">
        <v>5.5</v>
      </c>
      <c r="FV106" s="4">
        <v>5.25</v>
      </c>
      <c r="FW106" s="4">
        <v>2.75</v>
      </c>
      <c r="FX106" s="4">
        <v>4</v>
      </c>
      <c r="FY106" s="4">
        <v>7</v>
      </c>
      <c r="FZ106" s="4">
        <v>6.92</v>
      </c>
      <c r="GA106" s="4">
        <v>1</v>
      </c>
      <c r="GB106" s="4">
        <v>6.92</v>
      </c>
      <c r="GC106" s="4">
        <v>7</v>
      </c>
      <c r="GD106" s="4">
        <v>4.75</v>
      </c>
      <c r="GE106" s="26"/>
      <c r="GF106" s="26"/>
      <c r="GG106" s="4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S106" s="3"/>
      <c r="HU106" s="3"/>
      <c r="HX106" s="3"/>
      <c r="IA106" s="3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3"/>
      <c r="JP106" s="3"/>
      <c r="JQ106" s="4"/>
      <c r="JR106" s="5"/>
      <c r="JS106" s="5"/>
      <c r="JT106" s="8"/>
      <c r="JU106" s="8"/>
      <c r="JV106" s="8"/>
      <c r="JW106" s="8"/>
      <c r="JX106" s="8"/>
      <c r="JY106" s="8"/>
      <c r="JZ106" s="8"/>
      <c r="KA106" s="8"/>
      <c r="KB106" s="8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</row>
    <row r="107" spans="1:374" s="1" customFormat="1" x14ac:dyDescent="0.35">
      <c r="A107" s="2">
        <v>43350</v>
      </c>
      <c r="B107" s="15" t="s">
        <v>115</v>
      </c>
      <c r="C107" s="15" t="s">
        <v>268</v>
      </c>
      <c r="D107" s="1">
        <v>106</v>
      </c>
      <c r="E107" s="3">
        <v>3</v>
      </c>
      <c r="F107" s="3">
        <v>1</v>
      </c>
      <c r="G107" s="3"/>
      <c r="H107" s="3">
        <v>27</v>
      </c>
      <c r="I107" s="3">
        <v>2</v>
      </c>
      <c r="J107" s="3"/>
      <c r="K107" s="18">
        <v>0</v>
      </c>
      <c r="L107" s="18">
        <v>1</v>
      </c>
      <c r="M107" s="18">
        <v>1</v>
      </c>
      <c r="N107" s="18">
        <v>1</v>
      </c>
      <c r="O107" s="18">
        <v>1</v>
      </c>
      <c r="P107" s="4">
        <v>0.8</v>
      </c>
      <c r="Q107" s="3">
        <v>117</v>
      </c>
      <c r="R107" s="3">
        <v>126</v>
      </c>
      <c r="S107" s="3">
        <v>108</v>
      </c>
      <c r="T107" s="3">
        <v>103</v>
      </c>
      <c r="U107" s="3">
        <v>79</v>
      </c>
      <c r="V107" s="3">
        <v>79</v>
      </c>
      <c r="W107" s="3">
        <v>88</v>
      </c>
      <c r="X107" s="3">
        <v>93</v>
      </c>
      <c r="Y107" s="3">
        <v>71</v>
      </c>
      <c r="Z107" s="3"/>
      <c r="AA107" s="3"/>
      <c r="AB107" s="3"/>
      <c r="AC107" s="3"/>
      <c r="AD107" s="3"/>
      <c r="AE107" s="3"/>
      <c r="AF107" s="3"/>
      <c r="AG107" s="3"/>
      <c r="AH107" s="3"/>
      <c r="AI107" s="4"/>
      <c r="AJ107" s="4"/>
      <c r="AK107" s="4"/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/>
      <c r="AY107"/>
      <c r="AZ107"/>
      <c r="BA107"/>
      <c r="BB107"/>
      <c r="BC107"/>
      <c r="BP107" s="4"/>
      <c r="BQ107" s="4"/>
      <c r="BR107" s="4"/>
      <c r="BS107" s="4"/>
      <c r="BT107" s="4"/>
      <c r="BU107" s="4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1">
        <v>7</v>
      </c>
      <c r="CJ107" s="1">
        <v>7</v>
      </c>
      <c r="CK107" s="1">
        <v>7</v>
      </c>
      <c r="CL107" s="1">
        <v>6</v>
      </c>
      <c r="CM107" s="1">
        <v>6</v>
      </c>
      <c r="CN107" s="1">
        <v>7</v>
      </c>
      <c r="CO107" s="1">
        <v>6</v>
      </c>
      <c r="CP107" s="1">
        <v>1</v>
      </c>
      <c r="CQ107" s="1">
        <v>7</v>
      </c>
      <c r="CR107" s="1">
        <v>7</v>
      </c>
      <c r="CS107" s="1">
        <v>7</v>
      </c>
      <c r="CT107" s="1">
        <v>7</v>
      </c>
      <c r="CU107" s="1">
        <v>7</v>
      </c>
      <c r="CV107" s="1">
        <v>7</v>
      </c>
      <c r="CW107" s="1">
        <v>7</v>
      </c>
      <c r="CX107" s="1">
        <v>7</v>
      </c>
      <c r="CY107" s="1">
        <v>7</v>
      </c>
      <c r="CZ107" s="1">
        <v>7</v>
      </c>
      <c r="DA107" s="1">
        <v>7</v>
      </c>
      <c r="DB107" s="1">
        <v>7</v>
      </c>
      <c r="DC107" s="1">
        <v>7</v>
      </c>
      <c r="DD107" s="1">
        <v>7</v>
      </c>
      <c r="DE107" s="1">
        <v>7</v>
      </c>
      <c r="DF107" s="1">
        <v>5</v>
      </c>
      <c r="DG107" s="1">
        <v>1</v>
      </c>
      <c r="DH107" s="1">
        <v>6</v>
      </c>
      <c r="DI107" s="1">
        <v>7</v>
      </c>
      <c r="DJ107" s="1">
        <v>6</v>
      </c>
      <c r="DK107" s="1">
        <v>4</v>
      </c>
      <c r="DL107" s="1">
        <v>7</v>
      </c>
      <c r="DM107" s="19">
        <v>7</v>
      </c>
      <c r="DN107" s="19">
        <v>7</v>
      </c>
      <c r="DO107" s="1">
        <v>1</v>
      </c>
      <c r="DP107" s="1">
        <v>4</v>
      </c>
      <c r="DQ107" s="1">
        <v>6</v>
      </c>
      <c r="DR107" s="1">
        <v>7</v>
      </c>
      <c r="DS107" s="1">
        <v>7</v>
      </c>
      <c r="DT107" s="1">
        <v>7</v>
      </c>
      <c r="DU107" s="27">
        <v>7</v>
      </c>
      <c r="DV107" s="27">
        <v>7</v>
      </c>
      <c r="DW107" s="27">
        <v>4</v>
      </c>
      <c r="DX107" s="27">
        <v>4</v>
      </c>
      <c r="DY107" s="27">
        <v>1</v>
      </c>
      <c r="DZ107" s="27">
        <v>4</v>
      </c>
      <c r="EA107" s="27">
        <v>1</v>
      </c>
      <c r="EB107" s="27">
        <v>1</v>
      </c>
      <c r="EC107" s="27">
        <v>4</v>
      </c>
      <c r="ED107" s="27">
        <v>4</v>
      </c>
      <c r="EE107" s="27">
        <v>5</v>
      </c>
      <c r="EF107" s="27">
        <v>4</v>
      </c>
      <c r="EG107" s="27">
        <v>4</v>
      </c>
      <c r="EH107" s="27">
        <v>7</v>
      </c>
      <c r="EI107" s="27">
        <v>7</v>
      </c>
      <c r="EJ107" s="27">
        <v>7</v>
      </c>
      <c r="EK107" s="27">
        <v>7</v>
      </c>
      <c r="EL107" s="27">
        <v>7</v>
      </c>
      <c r="EM107" s="27">
        <v>1</v>
      </c>
      <c r="EN107" s="27">
        <v>1</v>
      </c>
      <c r="EO107" s="27">
        <v>7</v>
      </c>
      <c r="EP107" s="27">
        <v>7</v>
      </c>
      <c r="EQ107" s="27">
        <v>7</v>
      </c>
      <c r="ER107" s="27">
        <v>7</v>
      </c>
      <c r="ES107" s="27">
        <v>7</v>
      </c>
      <c r="ET107" s="27">
        <v>7</v>
      </c>
      <c r="EU107" s="27">
        <v>7</v>
      </c>
      <c r="EV107" s="1">
        <v>20</v>
      </c>
      <c r="EW107" s="1">
        <v>1</v>
      </c>
      <c r="EY107" s="1">
        <v>1</v>
      </c>
      <c r="EZ107" s="9"/>
      <c r="FA107" s="1">
        <v>3</v>
      </c>
      <c r="FB107" s="9" t="s">
        <v>785</v>
      </c>
      <c r="FC107" s="1">
        <v>1</v>
      </c>
      <c r="FD107" s="1">
        <v>5</v>
      </c>
      <c r="FE107" s="4"/>
      <c r="FF107" s="4"/>
      <c r="FG107" s="4"/>
      <c r="FH107" s="4"/>
      <c r="FI107" s="4"/>
      <c r="FJ107" s="23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26"/>
      <c r="GF107" s="26"/>
      <c r="GG107" s="4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S107" s="3"/>
      <c r="HU107" s="3"/>
      <c r="HX107" s="3"/>
      <c r="IA107" s="3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6"/>
      <c r="JP107" s="6"/>
      <c r="JQ107" s="6"/>
      <c r="JR107" s="6"/>
      <c r="JS107" s="6"/>
      <c r="JT107" s="8"/>
      <c r="JU107" s="8"/>
      <c r="JV107" s="8"/>
      <c r="JW107" s="8"/>
      <c r="JX107" s="8"/>
      <c r="JY107" s="8"/>
      <c r="JZ107" s="8"/>
      <c r="KA107" s="8"/>
      <c r="KB107" s="8"/>
      <c r="KC107" s="6"/>
      <c r="KD107" s="6"/>
      <c r="KE107" s="6"/>
      <c r="KF107" s="6"/>
      <c r="KG107" s="6"/>
      <c r="KH107" s="6"/>
      <c r="KI107" s="6"/>
      <c r="KJ107" s="6"/>
      <c r="KK107" s="6"/>
      <c r="KL107" s="4"/>
      <c r="KM107" s="4"/>
      <c r="KN107" s="6"/>
      <c r="KO107" s="4"/>
      <c r="KP107" s="4"/>
      <c r="KQ107" s="6"/>
      <c r="KR107" s="6"/>
      <c r="KS107" s="4"/>
      <c r="KU107" s="4"/>
      <c r="KV107" s="4"/>
      <c r="KW107" s="4"/>
      <c r="KX107" s="6"/>
      <c r="KY107" s="6"/>
      <c r="KZ107" s="6"/>
      <c r="LA107" s="4"/>
      <c r="LB107" s="6"/>
      <c r="LC107" s="6"/>
      <c r="LD107" s="4"/>
      <c r="LE107" s="4"/>
      <c r="LF107" s="6"/>
      <c r="LG107" s="6"/>
      <c r="LH107" s="6"/>
      <c r="LI107" s="6"/>
      <c r="LJ107" s="6"/>
      <c r="LK107" s="6"/>
      <c r="LL107" s="6"/>
      <c r="LM107" s="6"/>
      <c r="LN107" s="6"/>
      <c r="LO107" s="6"/>
      <c r="LP107" s="6"/>
      <c r="LQ107" s="6"/>
      <c r="LR107" s="6"/>
      <c r="LS107" s="6"/>
      <c r="LT107" s="6"/>
      <c r="LU107" s="6"/>
      <c r="LV107" s="6"/>
      <c r="LW107" s="6"/>
      <c r="LX107" s="6"/>
      <c r="LY107" s="6"/>
      <c r="LZ107" s="6"/>
      <c r="MA107" s="6"/>
      <c r="MB107" s="6"/>
      <c r="MC107" s="6"/>
      <c r="MD107" s="6"/>
      <c r="ME107" s="6"/>
      <c r="MF107" s="6"/>
      <c r="MG107" s="6"/>
      <c r="MH107" s="6"/>
      <c r="MI107" s="6"/>
      <c r="MJ107" s="6"/>
      <c r="MK107" s="6"/>
      <c r="ML107" s="6"/>
      <c r="MM107" s="6"/>
      <c r="MN107" s="6"/>
      <c r="MO107" s="6"/>
      <c r="MP107" s="6"/>
      <c r="MQ107" s="6"/>
      <c r="MR107" s="6"/>
      <c r="MS107" s="6"/>
      <c r="MT107" s="6"/>
      <c r="MU107" s="6"/>
      <c r="MV107" s="6"/>
      <c r="MW107" s="6"/>
      <c r="MX107" s="6"/>
      <c r="MY107" s="6"/>
      <c r="MZ107" s="6"/>
      <c r="NA107" s="6"/>
      <c r="NB107" s="6"/>
      <c r="NC107" s="6"/>
      <c r="ND107" s="6"/>
      <c r="NE107" s="6"/>
      <c r="NF107" s="6"/>
      <c r="NG107" s="6"/>
      <c r="NH107" s="6"/>
      <c r="NI107" s="6"/>
      <c r="NJ107" s="4"/>
    </row>
    <row r="108" spans="1:374" s="1" customFormat="1" x14ac:dyDescent="0.35">
      <c r="A108" s="2">
        <v>43350</v>
      </c>
      <c r="B108" s="15" t="s">
        <v>115</v>
      </c>
      <c r="C108" s="15" t="s">
        <v>269</v>
      </c>
      <c r="D108" s="1">
        <v>107</v>
      </c>
      <c r="E108" s="3">
        <v>3</v>
      </c>
      <c r="F108" s="3">
        <v>1</v>
      </c>
      <c r="G108" s="3"/>
      <c r="H108" s="3">
        <v>27</v>
      </c>
      <c r="I108" s="3">
        <v>3</v>
      </c>
      <c r="J108" s="3"/>
      <c r="K108" s="18">
        <v>1</v>
      </c>
      <c r="L108" s="18">
        <v>1</v>
      </c>
      <c r="M108" s="18">
        <v>1</v>
      </c>
      <c r="N108" s="18">
        <v>1</v>
      </c>
      <c r="O108" s="18">
        <v>0</v>
      </c>
      <c r="P108" s="4">
        <v>0.8</v>
      </c>
      <c r="Q108" s="3">
        <v>94</v>
      </c>
      <c r="R108" s="3">
        <v>91</v>
      </c>
      <c r="S108" s="3">
        <v>94</v>
      </c>
      <c r="T108" s="3">
        <v>79</v>
      </c>
      <c r="U108" s="3">
        <v>87</v>
      </c>
      <c r="V108" s="3">
        <v>104</v>
      </c>
      <c r="W108" s="3">
        <v>89</v>
      </c>
      <c r="X108" s="3">
        <v>95</v>
      </c>
      <c r="Y108" s="3">
        <v>69</v>
      </c>
      <c r="Z108" s="3"/>
      <c r="AA108" s="3"/>
      <c r="AB108" s="3"/>
      <c r="AC108" s="3"/>
      <c r="AD108" s="3"/>
      <c r="AE108" s="3"/>
      <c r="AF108" s="3"/>
      <c r="AG108" s="3"/>
      <c r="AH108" s="3"/>
      <c r="AI108" s="4"/>
      <c r="AJ108" s="4"/>
      <c r="AK108" s="4"/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/>
      <c r="AY108"/>
      <c r="AZ108"/>
      <c r="BA108"/>
      <c r="BB108"/>
      <c r="BC108"/>
      <c r="BP108" s="4"/>
      <c r="BQ108" s="4"/>
      <c r="BR108" s="4"/>
      <c r="BS108" s="4"/>
      <c r="BT108" s="4"/>
      <c r="BU108" s="4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1">
        <v>7</v>
      </c>
      <c r="CJ108" s="1">
        <v>7</v>
      </c>
      <c r="CK108" s="1">
        <v>7</v>
      </c>
      <c r="CL108" s="1">
        <v>7</v>
      </c>
      <c r="CM108" s="1">
        <v>7</v>
      </c>
      <c r="CN108" s="1">
        <v>7</v>
      </c>
      <c r="CO108" s="1">
        <v>6</v>
      </c>
      <c r="CP108" s="1">
        <v>4</v>
      </c>
      <c r="CQ108" s="1">
        <v>6</v>
      </c>
      <c r="CR108" s="1">
        <v>6</v>
      </c>
      <c r="CS108" s="1">
        <v>7</v>
      </c>
      <c r="CT108" s="1">
        <v>4</v>
      </c>
      <c r="CU108" s="1">
        <v>7</v>
      </c>
      <c r="CV108" s="1">
        <v>7</v>
      </c>
      <c r="CW108" s="1">
        <v>7</v>
      </c>
      <c r="CX108" s="1">
        <v>7</v>
      </c>
      <c r="CY108" s="1">
        <v>7</v>
      </c>
      <c r="CZ108" s="1">
        <v>7</v>
      </c>
      <c r="DA108" s="1">
        <v>5</v>
      </c>
      <c r="DB108" s="1">
        <v>7</v>
      </c>
      <c r="DC108" s="1">
        <v>6</v>
      </c>
      <c r="DD108" s="1">
        <v>7</v>
      </c>
      <c r="DE108" s="1">
        <v>6</v>
      </c>
      <c r="DF108" s="1">
        <v>6</v>
      </c>
      <c r="DG108" s="1">
        <v>3</v>
      </c>
      <c r="DH108" s="1">
        <v>5</v>
      </c>
      <c r="DI108" s="1">
        <v>6</v>
      </c>
      <c r="DJ108" s="1">
        <v>4</v>
      </c>
      <c r="DK108" s="1">
        <v>7</v>
      </c>
      <c r="DL108" s="1">
        <v>7</v>
      </c>
      <c r="DM108" s="19">
        <v>7</v>
      </c>
      <c r="DN108" s="19">
        <v>7</v>
      </c>
      <c r="DO108" s="1">
        <v>7</v>
      </c>
      <c r="DP108" s="1">
        <v>4</v>
      </c>
      <c r="DQ108" s="1">
        <v>6</v>
      </c>
      <c r="DR108" s="1">
        <v>6</v>
      </c>
      <c r="DS108" s="1">
        <v>6</v>
      </c>
      <c r="DT108" s="1">
        <v>3</v>
      </c>
      <c r="DU108" s="27">
        <v>7</v>
      </c>
      <c r="DV108" s="27">
        <v>7</v>
      </c>
      <c r="DW108" s="27">
        <v>2</v>
      </c>
      <c r="DX108" s="27">
        <v>1</v>
      </c>
      <c r="DY108" s="27">
        <v>1</v>
      </c>
      <c r="DZ108" s="27">
        <v>4</v>
      </c>
      <c r="EA108" s="27">
        <v>1</v>
      </c>
      <c r="EB108" s="27">
        <v>7</v>
      </c>
      <c r="EC108" s="27">
        <v>2</v>
      </c>
      <c r="ED108" s="27">
        <v>4</v>
      </c>
      <c r="EE108" s="27">
        <v>4</v>
      </c>
      <c r="EF108" s="27">
        <v>2</v>
      </c>
      <c r="EG108" s="27">
        <v>1</v>
      </c>
      <c r="EH108" s="27">
        <v>7</v>
      </c>
      <c r="EI108" s="27">
        <v>7</v>
      </c>
      <c r="EJ108" s="27">
        <v>7</v>
      </c>
      <c r="EK108" s="27">
        <v>6</v>
      </c>
      <c r="EL108" s="27">
        <v>7</v>
      </c>
      <c r="EM108" s="27">
        <v>1</v>
      </c>
      <c r="EN108" s="27">
        <v>1</v>
      </c>
      <c r="EO108" s="27">
        <v>7</v>
      </c>
      <c r="EP108" s="27">
        <v>7</v>
      </c>
      <c r="EQ108" s="27">
        <v>7</v>
      </c>
      <c r="ER108" s="27">
        <v>7</v>
      </c>
      <c r="ES108" s="27">
        <v>7</v>
      </c>
      <c r="ET108" s="27">
        <v>4</v>
      </c>
      <c r="EU108" s="27">
        <v>4</v>
      </c>
      <c r="EV108" s="1">
        <v>18</v>
      </c>
      <c r="EW108" s="1">
        <v>2</v>
      </c>
      <c r="EY108" s="1">
        <v>1</v>
      </c>
      <c r="EZ108" s="9"/>
      <c r="FA108" s="1">
        <v>1</v>
      </c>
      <c r="FB108" s="9" t="s">
        <v>850</v>
      </c>
      <c r="FC108" s="1">
        <v>1</v>
      </c>
      <c r="FD108" s="1">
        <v>1</v>
      </c>
      <c r="FE108" s="4"/>
      <c r="FF108" s="4"/>
      <c r="FG108" s="4"/>
      <c r="FH108" s="4"/>
      <c r="FI108" s="4"/>
      <c r="FJ108" s="23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26"/>
      <c r="GF108" s="26"/>
      <c r="GG108" s="4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S108" s="3"/>
      <c r="HU108" s="3"/>
      <c r="HX108" s="3"/>
      <c r="IA108" s="3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6"/>
      <c r="JP108" s="6"/>
      <c r="JQ108" s="6"/>
      <c r="JR108" s="6"/>
      <c r="JS108" s="6"/>
      <c r="JT108" s="8"/>
      <c r="JU108" s="8"/>
      <c r="JV108" s="8"/>
      <c r="JW108" s="8"/>
      <c r="JX108" s="8"/>
      <c r="JY108" s="8"/>
      <c r="JZ108" s="8"/>
      <c r="KA108" s="8"/>
      <c r="KB108" s="8"/>
      <c r="KC108" s="6"/>
      <c r="KD108" s="6"/>
      <c r="KE108" s="6"/>
      <c r="KF108" s="6"/>
      <c r="KG108" s="6"/>
      <c r="KH108" s="6"/>
      <c r="KI108" s="6"/>
      <c r="KJ108" s="6"/>
      <c r="KK108" s="6"/>
      <c r="KL108" s="4"/>
      <c r="KM108" s="4"/>
      <c r="KN108" s="6"/>
      <c r="KO108" s="4"/>
      <c r="KP108" s="4"/>
      <c r="KQ108" s="6"/>
      <c r="KR108" s="6"/>
      <c r="KS108" s="4"/>
      <c r="KU108" s="4"/>
      <c r="KV108" s="4"/>
      <c r="KW108" s="4"/>
      <c r="KX108" s="6"/>
      <c r="KY108" s="6"/>
      <c r="KZ108" s="6"/>
      <c r="LA108" s="4"/>
      <c r="LB108" s="6"/>
      <c r="LC108" s="6"/>
      <c r="LD108" s="4"/>
      <c r="LE108" s="4"/>
      <c r="LF108" s="6"/>
      <c r="LG108" s="6"/>
      <c r="LH108" s="6"/>
      <c r="LI108" s="6"/>
      <c r="LJ108" s="6"/>
      <c r="LK108" s="6"/>
      <c r="LL108" s="6"/>
      <c r="LM108" s="6"/>
      <c r="LN108" s="6"/>
      <c r="LO108" s="6"/>
      <c r="LP108" s="6"/>
      <c r="LQ108" s="6"/>
      <c r="LR108" s="6"/>
      <c r="LS108" s="6"/>
      <c r="LT108" s="6"/>
      <c r="LU108" s="6"/>
      <c r="LV108" s="6"/>
      <c r="LW108" s="6"/>
      <c r="LX108" s="6"/>
      <c r="LY108" s="6"/>
      <c r="LZ108" s="6"/>
      <c r="MA108" s="6"/>
      <c r="MB108" s="6"/>
      <c r="MC108" s="6"/>
      <c r="MD108" s="6"/>
      <c r="ME108" s="6"/>
      <c r="MF108" s="6"/>
      <c r="MG108" s="6"/>
      <c r="MH108" s="6"/>
      <c r="MI108" s="6"/>
      <c r="MJ108" s="6"/>
      <c r="MK108" s="6"/>
      <c r="ML108" s="6"/>
      <c r="MM108" s="6"/>
      <c r="MN108" s="6"/>
      <c r="MO108" s="6"/>
      <c r="MP108" s="6"/>
      <c r="MQ108" s="6"/>
      <c r="MR108" s="6"/>
      <c r="MS108" s="6"/>
      <c r="MT108" s="6"/>
      <c r="MU108" s="6"/>
      <c r="MV108" s="6"/>
      <c r="MW108" s="6"/>
      <c r="MX108" s="6"/>
      <c r="MY108" s="6"/>
      <c r="MZ108" s="6"/>
      <c r="NA108" s="6"/>
      <c r="NB108" s="6"/>
      <c r="NC108" s="6"/>
      <c r="ND108" s="6"/>
      <c r="NE108" s="6"/>
      <c r="NF108" s="6"/>
      <c r="NG108" s="6"/>
      <c r="NH108" s="6"/>
      <c r="NI108" s="6"/>
      <c r="NJ108" s="4"/>
    </row>
    <row r="109" spans="1:374" s="1" customFormat="1" x14ac:dyDescent="0.35">
      <c r="A109" s="2">
        <v>43350</v>
      </c>
      <c r="B109" s="15" t="s">
        <v>115</v>
      </c>
      <c r="C109" s="15" t="s">
        <v>270</v>
      </c>
      <c r="D109" s="1">
        <v>108</v>
      </c>
      <c r="E109" s="3">
        <v>3</v>
      </c>
      <c r="F109" s="3">
        <v>1</v>
      </c>
      <c r="G109" s="3"/>
      <c r="H109" s="3">
        <v>27</v>
      </c>
      <c r="I109" s="3">
        <v>4</v>
      </c>
      <c r="J109" s="3"/>
      <c r="K109" s="18">
        <v>1</v>
      </c>
      <c r="L109" s="18">
        <v>1</v>
      </c>
      <c r="M109" s="18">
        <v>1</v>
      </c>
      <c r="N109" s="18">
        <v>1</v>
      </c>
      <c r="O109" s="18">
        <v>0</v>
      </c>
      <c r="P109" s="4">
        <v>0.8</v>
      </c>
      <c r="Q109" s="3">
        <v>88</v>
      </c>
      <c r="R109" s="3">
        <v>108</v>
      </c>
      <c r="S109" s="3">
        <v>124</v>
      </c>
      <c r="T109" s="3">
        <v>104</v>
      </c>
      <c r="U109" s="3">
        <v>79</v>
      </c>
      <c r="V109" s="3">
        <v>98</v>
      </c>
      <c r="W109" s="3">
        <v>64</v>
      </c>
      <c r="X109" s="3">
        <v>90</v>
      </c>
      <c r="Y109" s="3">
        <v>93</v>
      </c>
      <c r="Z109" s="3"/>
      <c r="AA109" s="3"/>
      <c r="AB109" s="3"/>
      <c r="AC109" s="3"/>
      <c r="AD109" s="3"/>
      <c r="AE109" s="3"/>
      <c r="AF109" s="3"/>
      <c r="AG109" s="3"/>
      <c r="AH109" s="3"/>
      <c r="AI109" s="4"/>
      <c r="AJ109" s="4"/>
      <c r="AK109" s="4"/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/>
      <c r="AY109"/>
      <c r="AZ109"/>
      <c r="BA109"/>
      <c r="BB109"/>
      <c r="BC109"/>
      <c r="BP109" s="4"/>
      <c r="BQ109" s="4"/>
      <c r="BR109" s="4"/>
      <c r="BS109" s="4"/>
      <c r="BT109" s="4"/>
      <c r="BU109" s="4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1">
        <v>7</v>
      </c>
      <c r="CJ109" s="1">
        <v>7</v>
      </c>
      <c r="CK109" s="1">
        <v>7</v>
      </c>
      <c r="CL109" s="1">
        <v>7</v>
      </c>
      <c r="CM109" s="1">
        <v>7</v>
      </c>
      <c r="CN109" s="1">
        <v>6</v>
      </c>
      <c r="CO109" s="1">
        <v>6</v>
      </c>
      <c r="CP109" s="1">
        <v>1</v>
      </c>
      <c r="CQ109" s="1">
        <v>7</v>
      </c>
      <c r="CR109" s="1">
        <v>7</v>
      </c>
      <c r="CS109" s="1">
        <v>7</v>
      </c>
      <c r="CT109" s="1">
        <v>7</v>
      </c>
      <c r="CU109" s="1">
        <v>7</v>
      </c>
      <c r="CV109" s="1">
        <v>7</v>
      </c>
      <c r="CW109" s="1">
        <v>7</v>
      </c>
      <c r="CX109" s="1">
        <v>7</v>
      </c>
      <c r="CY109" s="1">
        <v>7</v>
      </c>
      <c r="CZ109" s="1">
        <v>7</v>
      </c>
      <c r="DA109" s="1">
        <v>7</v>
      </c>
      <c r="DB109" s="1">
        <v>7</v>
      </c>
      <c r="DC109" s="1">
        <v>7</v>
      </c>
      <c r="DD109" s="1">
        <v>7</v>
      </c>
      <c r="DE109" s="1">
        <v>6</v>
      </c>
      <c r="DF109" s="1">
        <v>6</v>
      </c>
      <c r="DG109" s="1">
        <v>6</v>
      </c>
      <c r="DH109" s="1">
        <v>6</v>
      </c>
      <c r="DI109" s="1">
        <v>7</v>
      </c>
      <c r="DJ109" s="1">
        <v>6</v>
      </c>
      <c r="DK109" s="1">
        <v>6</v>
      </c>
      <c r="DL109" s="1">
        <v>7</v>
      </c>
      <c r="DM109" s="19">
        <v>7</v>
      </c>
      <c r="DN109" s="19">
        <v>5</v>
      </c>
      <c r="DO109" s="1">
        <v>4</v>
      </c>
      <c r="DP109" s="1">
        <v>4</v>
      </c>
      <c r="DQ109" s="1">
        <v>6</v>
      </c>
      <c r="DR109" s="1">
        <v>7</v>
      </c>
      <c r="DS109" s="1">
        <v>7</v>
      </c>
      <c r="DT109" s="1">
        <v>7</v>
      </c>
      <c r="DU109" s="27">
        <v>7</v>
      </c>
      <c r="DV109" s="27">
        <v>7</v>
      </c>
      <c r="DW109" s="27">
        <v>6</v>
      </c>
      <c r="DX109" s="27">
        <v>1</v>
      </c>
      <c r="DY109" s="27">
        <v>1</v>
      </c>
      <c r="DZ109" s="27">
        <v>1</v>
      </c>
      <c r="EA109" s="27">
        <v>1</v>
      </c>
      <c r="EB109" s="27">
        <v>6</v>
      </c>
      <c r="EC109" s="27">
        <v>7</v>
      </c>
      <c r="ED109" s="27">
        <v>7</v>
      </c>
      <c r="EE109" s="27">
        <v>7</v>
      </c>
      <c r="EF109" s="27">
        <v>2</v>
      </c>
      <c r="EG109" s="27">
        <v>4</v>
      </c>
      <c r="EH109" s="27">
        <v>7</v>
      </c>
      <c r="EI109" s="27">
        <v>7</v>
      </c>
      <c r="EJ109" s="27">
        <v>7</v>
      </c>
      <c r="EK109" s="27">
        <v>7</v>
      </c>
      <c r="EL109" s="27">
        <v>7</v>
      </c>
      <c r="EM109" s="27">
        <v>1</v>
      </c>
      <c r="EN109" s="27">
        <v>1</v>
      </c>
      <c r="EO109" s="27">
        <v>7</v>
      </c>
      <c r="EP109" s="27">
        <v>7</v>
      </c>
      <c r="EQ109" s="27">
        <v>6</v>
      </c>
      <c r="ER109" s="27">
        <v>7</v>
      </c>
      <c r="ES109" s="27">
        <v>7</v>
      </c>
      <c r="ET109" s="27">
        <v>4</v>
      </c>
      <c r="EU109" s="27">
        <v>4</v>
      </c>
      <c r="EV109" s="1">
        <v>21</v>
      </c>
      <c r="EW109" s="1">
        <v>1</v>
      </c>
      <c r="EY109" s="1">
        <v>1</v>
      </c>
      <c r="EZ109" s="9"/>
      <c r="FA109" s="1">
        <v>3</v>
      </c>
      <c r="FB109" s="9" t="s">
        <v>851</v>
      </c>
      <c r="FC109" s="1">
        <v>1</v>
      </c>
      <c r="FD109" s="1">
        <v>4</v>
      </c>
      <c r="FE109" s="4"/>
      <c r="FF109" s="4"/>
      <c r="FG109" s="4"/>
      <c r="FH109" s="4"/>
      <c r="FI109" s="4"/>
      <c r="FJ109" s="23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26"/>
      <c r="GF109" s="26"/>
      <c r="GG109" s="4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S109" s="3"/>
      <c r="HU109" s="3"/>
      <c r="HX109" s="3"/>
      <c r="IA109" s="3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6"/>
      <c r="JP109" s="6"/>
      <c r="JQ109" s="6"/>
      <c r="JR109" s="6"/>
      <c r="JS109" s="6"/>
      <c r="JT109" s="8"/>
      <c r="JU109" s="8"/>
      <c r="JV109" s="8"/>
      <c r="JW109" s="8"/>
      <c r="JX109" s="8"/>
      <c r="JY109" s="8"/>
      <c r="JZ109" s="8"/>
      <c r="KA109" s="8"/>
      <c r="KB109" s="8"/>
      <c r="KC109" s="6"/>
      <c r="KD109" s="6"/>
      <c r="KE109" s="6"/>
      <c r="KF109" s="6"/>
      <c r="KG109" s="6"/>
      <c r="KH109" s="6"/>
      <c r="KI109" s="6"/>
      <c r="KJ109" s="6"/>
      <c r="KK109" s="6"/>
      <c r="KL109" s="4"/>
      <c r="KM109" s="4"/>
      <c r="KN109" s="6"/>
      <c r="KO109" s="4"/>
      <c r="KP109" s="4"/>
      <c r="KQ109" s="6"/>
      <c r="KR109" s="6"/>
      <c r="KS109" s="4"/>
      <c r="KU109" s="4"/>
      <c r="KV109" s="4"/>
      <c r="KW109" s="4"/>
      <c r="KX109" s="6"/>
      <c r="KY109" s="6"/>
      <c r="KZ109" s="6"/>
      <c r="LA109" s="4"/>
      <c r="LB109" s="6"/>
      <c r="LC109" s="6"/>
      <c r="LD109" s="4"/>
      <c r="LE109" s="4"/>
      <c r="LF109" s="6"/>
      <c r="LG109" s="6"/>
      <c r="LH109" s="6"/>
      <c r="LI109" s="6"/>
      <c r="LJ109" s="6"/>
      <c r="LK109" s="6"/>
      <c r="LL109" s="6"/>
      <c r="LM109" s="6"/>
      <c r="LN109" s="6"/>
      <c r="LO109" s="6"/>
      <c r="LP109" s="6"/>
      <c r="LQ109" s="6"/>
      <c r="LR109" s="6"/>
      <c r="LS109" s="6"/>
      <c r="LT109" s="6"/>
      <c r="LU109" s="6"/>
      <c r="LV109" s="6"/>
      <c r="LW109" s="6"/>
      <c r="LX109" s="6"/>
      <c r="LY109" s="6"/>
      <c r="LZ109" s="6"/>
      <c r="MA109" s="6"/>
      <c r="MB109" s="6"/>
      <c r="MC109" s="6"/>
      <c r="MD109" s="6"/>
      <c r="ME109" s="6"/>
      <c r="MF109" s="6"/>
      <c r="MG109" s="6"/>
      <c r="MH109" s="6"/>
      <c r="MI109" s="6"/>
      <c r="MJ109" s="6"/>
      <c r="MK109" s="6"/>
      <c r="ML109" s="6"/>
      <c r="MM109" s="6"/>
      <c r="MN109" s="6"/>
      <c r="MO109" s="6"/>
      <c r="MP109" s="6"/>
      <c r="MQ109" s="6"/>
      <c r="MR109" s="6"/>
      <c r="MS109" s="6"/>
      <c r="MT109" s="6"/>
      <c r="MU109" s="6"/>
      <c r="MV109" s="6"/>
      <c r="MW109" s="6"/>
      <c r="MX109" s="6"/>
      <c r="MY109" s="6"/>
      <c r="MZ109" s="6"/>
      <c r="NA109" s="6"/>
      <c r="NB109" s="6"/>
      <c r="NC109" s="6"/>
      <c r="ND109" s="6"/>
      <c r="NE109" s="6"/>
      <c r="NF109" s="6"/>
      <c r="NG109" s="6"/>
      <c r="NH109" s="6"/>
      <c r="NI109" s="6"/>
      <c r="NJ109" s="4"/>
    </row>
    <row r="110" spans="1:374" s="1" customFormat="1" x14ac:dyDescent="0.35">
      <c r="A110" s="2">
        <v>43350</v>
      </c>
      <c r="B110" s="15" t="s">
        <v>116</v>
      </c>
      <c r="C110" s="15" t="s">
        <v>271</v>
      </c>
      <c r="D110" s="1">
        <v>109</v>
      </c>
      <c r="E110" s="3">
        <v>3</v>
      </c>
      <c r="F110" s="3">
        <v>1</v>
      </c>
      <c r="G110" s="3">
        <v>0</v>
      </c>
      <c r="H110" s="3">
        <v>28</v>
      </c>
      <c r="I110" s="3">
        <v>1</v>
      </c>
      <c r="J110" s="3">
        <v>1</v>
      </c>
      <c r="K110" s="18">
        <v>1</v>
      </c>
      <c r="L110" s="18">
        <v>1</v>
      </c>
      <c r="M110" s="18">
        <v>1</v>
      </c>
      <c r="N110" s="18">
        <v>1</v>
      </c>
      <c r="O110" s="18">
        <v>0</v>
      </c>
      <c r="P110" s="4">
        <v>0.8</v>
      </c>
      <c r="Q110" s="3">
        <v>73</v>
      </c>
      <c r="R110" s="3">
        <v>106</v>
      </c>
      <c r="S110" s="3">
        <v>91</v>
      </c>
      <c r="T110" s="3">
        <v>89</v>
      </c>
      <c r="U110" s="3">
        <v>79</v>
      </c>
      <c r="V110" s="3">
        <v>42</v>
      </c>
      <c r="W110" s="3">
        <v>40</v>
      </c>
      <c r="X110" s="3">
        <v>46</v>
      </c>
      <c r="Y110" s="3">
        <v>33</v>
      </c>
      <c r="Z110" s="3">
        <v>329</v>
      </c>
      <c r="AA110" s="3">
        <v>350</v>
      </c>
      <c r="AB110" s="3">
        <v>379</v>
      </c>
      <c r="AC110" s="3">
        <v>319</v>
      </c>
      <c r="AD110" s="3">
        <v>349</v>
      </c>
      <c r="AE110" s="3">
        <v>240</v>
      </c>
      <c r="AF110" s="3">
        <v>250</v>
      </c>
      <c r="AG110" s="3">
        <v>204</v>
      </c>
      <c r="AH110" s="3">
        <v>185</v>
      </c>
      <c r="AI110" s="4">
        <v>352.67</v>
      </c>
      <c r="AJ110" s="4">
        <v>302.67</v>
      </c>
      <c r="AK110" s="4">
        <v>213</v>
      </c>
      <c r="AL110" s="1">
        <v>1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9">
        <v>0</v>
      </c>
      <c r="AT110" s="19">
        <v>0</v>
      </c>
      <c r="AU110" s="19">
        <v>0</v>
      </c>
      <c r="AV110" s="19">
        <v>0</v>
      </c>
      <c r="AW110" s="19">
        <v>0</v>
      </c>
      <c r="AX110" s="19">
        <f t="shared" ref="AX110:BC110" si="54">AL110+AL111+AL112+AL113</f>
        <v>2</v>
      </c>
      <c r="AY110" s="19">
        <f t="shared" si="54"/>
        <v>0</v>
      </c>
      <c r="AZ110" s="19">
        <f t="shared" si="54"/>
        <v>0</v>
      </c>
      <c r="BA110" s="19">
        <f t="shared" si="54"/>
        <v>0</v>
      </c>
      <c r="BB110" s="19">
        <f t="shared" si="54"/>
        <v>0</v>
      </c>
      <c r="BC110" s="19">
        <f t="shared" si="54"/>
        <v>0</v>
      </c>
      <c r="BD110" s="1">
        <f>AX110*3</f>
        <v>6</v>
      </c>
      <c r="BE110" s="1">
        <f t="shared" ref="BE110:BI110" si="55">AY110*3</f>
        <v>0</v>
      </c>
      <c r="BF110" s="1">
        <f t="shared" si="55"/>
        <v>0</v>
      </c>
      <c r="BG110" s="1">
        <f t="shared" si="55"/>
        <v>0</v>
      </c>
      <c r="BH110" s="1">
        <f t="shared" si="55"/>
        <v>0</v>
      </c>
      <c r="BI110" s="1">
        <f t="shared" si="55"/>
        <v>0</v>
      </c>
      <c r="BJ110" s="1">
        <f>AX110+AY110+AZ110</f>
        <v>2</v>
      </c>
      <c r="BK110" s="1">
        <f>BA110+BB110+BC110</f>
        <v>0</v>
      </c>
      <c r="BL110" s="1">
        <f>BJ110*3</f>
        <v>6</v>
      </c>
      <c r="BM110" s="1">
        <f>BK110*3</f>
        <v>0</v>
      </c>
      <c r="BN110" s="1">
        <f>BL110/3</f>
        <v>2</v>
      </c>
      <c r="BO110" s="1">
        <f>BM110/3</f>
        <v>0</v>
      </c>
      <c r="BP110" s="4">
        <v>350.66666666666669</v>
      </c>
      <c r="BQ110" s="4">
        <v>302.66666666666669</v>
      </c>
      <c r="BR110" s="4">
        <v>213</v>
      </c>
      <c r="BS110" s="4">
        <v>350.67</v>
      </c>
      <c r="BT110" s="4">
        <v>302.67</v>
      </c>
      <c r="BU110" s="4">
        <v>3.25</v>
      </c>
      <c r="BV110" s="3">
        <v>1</v>
      </c>
      <c r="BW110" s="3">
        <v>1</v>
      </c>
      <c r="BX110" s="3">
        <v>2</v>
      </c>
      <c r="BY110" s="3">
        <v>2</v>
      </c>
      <c r="BZ110" s="3">
        <v>2</v>
      </c>
      <c r="CA110" s="3">
        <v>2</v>
      </c>
      <c r="CB110" s="3">
        <v>2</v>
      </c>
      <c r="CC110" s="3">
        <v>2</v>
      </c>
      <c r="CD110" s="3">
        <v>2</v>
      </c>
      <c r="CE110" s="3">
        <v>2</v>
      </c>
      <c r="CF110" s="3">
        <v>2</v>
      </c>
      <c r="CG110" s="3">
        <v>2</v>
      </c>
      <c r="CH110" s="3">
        <v>1</v>
      </c>
      <c r="CI110" s="1">
        <v>7</v>
      </c>
      <c r="CJ110" s="1">
        <v>7</v>
      </c>
      <c r="CK110" s="1">
        <v>7</v>
      </c>
      <c r="CL110" s="1">
        <v>6</v>
      </c>
      <c r="CM110" s="1">
        <v>5</v>
      </c>
      <c r="CN110" s="1">
        <v>6</v>
      </c>
      <c r="CO110" s="1">
        <v>6</v>
      </c>
      <c r="CP110" s="1">
        <v>2</v>
      </c>
      <c r="CQ110" s="1">
        <v>6</v>
      </c>
      <c r="CR110" s="1">
        <v>6</v>
      </c>
      <c r="CS110" s="1">
        <v>6</v>
      </c>
      <c r="CT110" s="1">
        <v>6</v>
      </c>
      <c r="CU110" s="1">
        <v>6</v>
      </c>
      <c r="CV110" s="1">
        <v>6</v>
      </c>
      <c r="CW110" s="1">
        <v>6</v>
      </c>
      <c r="CX110" s="1">
        <v>6</v>
      </c>
      <c r="CY110" s="1">
        <v>6</v>
      </c>
      <c r="CZ110" s="1">
        <v>3</v>
      </c>
      <c r="DA110" s="1">
        <v>3</v>
      </c>
      <c r="DB110" s="1">
        <v>4</v>
      </c>
      <c r="DC110" s="1">
        <v>5</v>
      </c>
      <c r="DD110" s="1">
        <v>5</v>
      </c>
      <c r="DE110" s="1">
        <v>6</v>
      </c>
      <c r="DF110" s="1">
        <v>2</v>
      </c>
      <c r="DG110" s="1">
        <v>2</v>
      </c>
      <c r="DH110" s="1">
        <v>2</v>
      </c>
      <c r="DI110" s="1">
        <v>2</v>
      </c>
      <c r="DJ110" s="1">
        <v>2</v>
      </c>
      <c r="DK110" s="1">
        <v>2</v>
      </c>
      <c r="DL110" s="1">
        <v>5</v>
      </c>
      <c r="DM110" s="19">
        <v>4</v>
      </c>
      <c r="DN110" s="19">
        <v>2</v>
      </c>
      <c r="DO110" s="1">
        <v>2</v>
      </c>
      <c r="DP110" s="1">
        <v>5</v>
      </c>
      <c r="DQ110" s="1">
        <v>3</v>
      </c>
      <c r="DR110" s="1">
        <v>6</v>
      </c>
      <c r="DS110" s="1">
        <v>6</v>
      </c>
      <c r="DT110" s="1">
        <v>6</v>
      </c>
      <c r="DU110" s="27">
        <v>6</v>
      </c>
      <c r="DV110" s="27">
        <v>4</v>
      </c>
      <c r="DW110" s="27">
        <v>3</v>
      </c>
      <c r="DX110" s="27">
        <v>5</v>
      </c>
      <c r="DY110" s="27">
        <v>2</v>
      </c>
      <c r="DZ110" s="27">
        <v>2</v>
      </c>
      <c r="EA110" s="27">
        <v>2</v>
      </c>
      <c r="EB110" s="27">
        <v>3</v>
      </c>
      <c r="EC110" s="27">
        <v>4</v>
      </c>
      <c r="ED110" s="27">
        <v>5</v>
      </c>
      <c r="EE110" s="27">
        <v>5</v>
      </c>
      <c r="EF110" s="27">
        <v>5</v>
      </c>
      <c r="EG110" s="27">
        <v>6</v>
      </c>
      <c r="EH110" s="27">
        <v>7</v>
      </c>
      <c r="EI110" s="27">
        <v>7</v>
      </c>
      <c r="EJ110" s="27">
        <v>7</v>
      </c>
      <c r="EK110" s="27">
        <v>7</v>
      </c>
      <c r="EL110" s="27">
        <v>7</v>
      </c>
      <c r="EM110" s="27">
        <v>2</v>
      </c>
      <c r="EN110" s="27">
        <v>2</v>
      </c>
      <c r="EO110" s="27">
        <v>6</v>
      </c>
      <c r="EP110" s="27">
        <v>6</v>
      </c>
      <c r="EQ110" s="27">
        <v>6</v>
      </c>
      <c r="ER110" s="27">
        <v>7</v>
      </c>
      <c r="ES110" s="27">
        <v>7</v>
      </c>
      <c r="ET110" s="27">
        <v>4</v>
      </c>
      <c r="EU110" s="27">
        <v>4</v>
      </c>
      <c r="EV110" s="1">
        <v>19</v>
      </c>
      <c r="EW110" s="1">
        <v>2</v>
      </c>
      <c r="EY110" s="1">
        <v>2</v>
      </c>
      <c r="EZ110" s="9"/>
      <c r="FA110" s="1">
        <v>1</v>
      </c>
      <c r="FB110" s="9" t="s">
        <v>852</v>
      </c>
      <c r="FC110" s="1">
        <v>1</v>
      </c>
      <c r="FD110" s="1">
        <v>3</v>
      </c>
      <c r="FE110" s="4">
        <v>6.39</v>
      </c>
      <c r="FF110" s="4">
        <v>4.5</v>
      </c>
      <c r="FG110" s="4">
        <v>5.75</v>
      </c>
      <c r="FH110" s="4">
        <v>5.17</v>
      </c>
      <c r="FI110" s="4">
        <v>5.63</v>
      </c>
      <c r="FJ110" s="23">
        <v>6</v>
      </c>
      <c r="FK110" s="4">
        <v>5</v>
      </c>
      <c r="FL110" s="4">
        <v>6.38</v>
      </c>
      <c r="FM110" s="4">
        <v>4.75</v>
      </c>
      <c r="FN110" s="4">
        <v>5.25</v>
      </c>
      <c r="FO110" s="4">
        <v>4.92</v>
      </c>
      <c r="FP110" s="4">
        <v>5.5</v>
      </c>
      <c r="FQ110" s="4">
        <v>5.13</v>
      </c>
      <c r="FR110" s="4">
        <v>2.25</v>
      </c>
      <c r="FS110" s="4">
        <v>5.75</v>
      </c>
      <c r="FT110" s="4">
        <v>5.5</v>
      </c>
      <c r="FU110" s="4">
        <v>6</v>
      </c>
      <c r="FV110" s="4">
        <v>5.75</v>
      </c>
      <c r="FW110" s="4">
        <v>5.75</v>
      </c>
      <c r="FX110" s="4">
        <v>6</v>
      </c>
      <c r="FY110" s="4">
        <v>6.5</v>
      </c>
      <c r="FZ110" s="4">
        <v>5.17</v>
      </c>
      <c r="GA110" s="4">
        <v>2.88</v>
      </c>
      <c r="GB110" s="4">
        <v>5.67</v>
      </c>
      <c r="GC110" s="4">
        <v>6.25</v>
      </c>
      <c r="GD110" s="4">
        <v>3.63</v>
      </c>
      <c r="GE110" s="26"/>
      <c r="GF110" s="26"/>
      <c r="GG110" s="4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S110" s="3"/>
      <c r="HU110" s="3"/>
      <c r="HX110" s="3"/>
      <c r="IA110" s="3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3"/>
      <c r="JP110" s="3"/>
      <c r="JQ110" s="4"/>
      <c r="JR110" s="5"/>
      <c r="JS110" s="5"/>
      <c r="JT110" s="8"/>
      <c r="JU110" s="8"/>
      <c r="JV110" s="8"/>
      <c r="JW110" s="8"/>
      <c r="JX110" s="8"/>
      <c r="JY110" s="8"/>
      <c r="JZ110" s="8"/>
      <c r="KA110" s="8"/>
      <c r="KB110" s="8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</row>
    <row r="111" spans="1:374" s="1" customFormat="1" x14ac:dyDescent="0.35">
      <c r="A111" s="2">
        <v>43350</v>
      </c>
      <c r="B111" s="15" t="s">
        <v>116</v>
      </c>
      <c r="C111" s="15" t="s">
        <v>272</v>
      </c>
      <c r="D111" s="1">
        <v>110</v>
      </c>
      <c r="E111" s="3">
        <v>3</v>
      </c>
      <c r="F111" s="3">
        <v>1</v>
      </c>
      <c r="G111" s="3"/>
      <c r="H111" s="3">
        <v>28</v>
      </c>
      <c r="I111" s="3">
        <v>2</v>
      </c>
      <c r="J111" s="3"/>
      <c r="K111" s="18">
        <v>0</v>
      </c>
      <c r="L111" s="18">
        <v>1</v>
      </c>
      <c r="M111" s="18">
        <v>1</v>
      </c>
      <c r="N111" s="18">
        <v>1</v>
      </c>
      <c r="O111" s="18">
        <v>1</v>
      </c>
      <c r="P111" s="4">
        <v>0.8</v>
      </c>
      <c r="Q111" s="3">
        <v>82</v>
      </c>
      <c r="R111" s="3">
        <v>76</v>
      </c>
      <c r="S111" s="3">
        <v>78</v>
      </c>
      <c r="T111" s="3">
        <v>83</v>
      </c>
      <c r="U111" s="3">
        <v>97</v>
      </c>
      <c r="V111" s="3">
        <v>58</v>
      </c>
      <c r="W111" s="3">
        <v>51</v>
      </c>
      <c r="X111" s="3">
        <v>35</v>
      </c>
      <c r="Y111" s="3">
        <v>29</v>
      </c>
      <c r="Z111" s="3"/>
      <c r="AA111" s="3"/>
      <c r="AB111" s="3"/>
      <c r="AC111" s="3"/>
      <c r="AD111" s="3"/>
      <c r="AE111" s="3"/>
      <c r="AF111" s="3"/>
      <c r="AG111" s="3"/>
      <c r="AH111" s="3"/>
      <c r="AI111" s="4"/>
      <c r="AJ111" s="4"/>
      <c r="AK111" s="4"/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9">
        <v>0</v>
      </c>
      <c r="AT111" s="19">
        <v>0</v>
      </c>
      <c r="AU111" s="19">
        <v>0</v>
      </c>
      <c r="AV111" s="19">
        <v>0</v>
      </c>
      <c r="AW111" s="19">
        <v>0</v>
      </c>
      <c r="AX111" s="19"/>
      <c r="AY111"/>
      <c r="AZ111"/>
      <c r="BA111"/>
      <c r="BB111"/>
      <c r="BC111"/>
      <c r="BP111" s="4"/>
      <c r="BQ111" s="4"/>
      <c r="BR111" s="4"/>
      <c r="BS111" s="4"/>
      <c r="BT111" s="4"/>
      <c r="BU111" s="4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1">
        <v>7</v>
      </c>
      <c r="CJ111" s="1">
        <v>7</v>
      </c>
      <c r="CK111" s="1">
        <v>6</v>
      </c>
      <c r="CL111" s="1">
        <v>7</v>
      </c>
      <c r="CM111" s="1">
        <v>6</v>
      </c>
      <c r="CN111" s="1">
        <v>6</v>
      </c>
      <c r="CO111" s="1">
        <v>5</v>
      </c>
      <c r="CP111" s="1">
        <v>2</v>
      </c>
      <c r="CQ111" s="1">
        <v>5</v>
      </c>
      <c r="CR111" s="1">
        <v>6</v>
      </c>
      <c r="CS111" s="1">
        <v>6</v>
      </c>
      <c r="CT111" s="1">
        <v>6</v>
      </c>
      <c r="CU111" s="1">
        <v>7</v>
      </c>
      <c r="CV111" s="1">
        <v>6</v>
      </c>
      <c r="CW111" s="1">
        <v>6</v>
      </c>
      <c r="CX111" s="1">
        <v>4</v>
      </c>
      <c r="CY111" s="1">
        <v>7</v>
      </c>
      <c r="CZ111" s="1">
        <v>5</v>
      </c>
      <c r="DA111" s="1">
        <v>5</v>
      </c>
      <c r="DB111" s="1">
        <v>5</v>
      </c>
      <c r="DC111" s="1">
        <v>4</v>
      </c>
      <c r="DD111" s="1">
        <v>5</v>
      </c>
      <c r="DE111" s="1">
        <v>6</v>
      </c>
      <c r="DF111" s="1">
        <v>7</v>
      </c>
      <c r="DG111" s="1">
        <v>7</v>
      </c>
      <c r="DH111" s="1">
        <v>5</v>
      </c>
      <c r="DI111" s="1">
        <v>4</v>
      </c>
      <c r="DJ111" s="1">
        <v>6</v>
      </c>
      <c r="DK111" s="1">
        <v>4</v>
      </c>
      <c r="DL111" s="1">
        <v>7</v>
      </c>
      <c r="DM111" s="19">
        <v>7</v>
      </c>
      <c r="DN111" s="19">
        <v>7</v>
      </c>
      <c r="DO111" s="1">
        <v>7</v>
      </c>
      <c r="DP111" s="1">
        <v>5</v>
      </c>
      <c r="DQ111" s="1">
        <v>4</v>
      </c>
      <c r="DR111" s="1">
        <v>5</v>
      </c>
      <c r="DS111" s="1">
        <v>7</v>
      </c>
      <c r="DT111" s="1">
        <v>5</v>
      </c>
      <c r="DU111" s="27">
        <v>7</v>
      </c>
      <c r="DV111" s="27">
        <v>7</v>
      </c>
      <c r="DW111" s="27">
        <v>7</v>
      </c>
      <c r="DX111" s="27">
        <v>4</v>
      </c>
      <c r="DY111" s="27">
        <v>4</v>
      </c>
      <c r="DZ111" s="27">
        <v>2</v>
      </c>
      <c r="EA111" s="27">
        <v>1</v>
      </c>
      <c r="EB111" s="27">
        <v>7</v>
      </c>
      <c r="EC111" s="27">
        <v>7</v>
      </c>
      <c r="ED111" s="27">
        <v>6</v>
      </c>
      <c r="EE111" s="27">
        <v>7</v>
      </c>
      <c r="EF111" s="27">
        <v>7</v>
      </c>
      <c r="EG111" s="27">
        <v>7</v>
      </c>
      <c r="EH111" s="27">
        <v>7</v>
      </c>
      <c r="EI111" s="27">
        <v>7</v>
      </c>
      <c r="EJ111" s="27">
        <v>6</v>
      </c>
      <c r="EK111" s="27">
        <v>6</v>
      </c>
      <c r="EL111" s="27">
        <v>6</v>
      </c>
      <c r="EM111" s="27">
        <v>4</v>
      </c>
      <c r="EN111" s="27">
        <v>3</v>
      </c>
      <c r="EO111" s="27">
        <v>7</v>
      </c>
      <c r="EP111" s="27">
        <v>7</v>
      </c>
      <c r="EQ111" s="27">
        <v>7</v>
      </c>
      <c r="ER111" s="27">
        <v>7</v>
      </c>
      <c r="ES111" s="27">
        <v>7</v>
      </c>
      <c r="ET111" s="27">
        <v>4</v>
      </c>
      <c r="EU111" s="27">
        <v>4</v>
      </c>
      <c r="EV111" s="1">
        <v>18</v>
      </c>
      <c r="EW111" s="1">
        <v>2</v>
      </c>
      <c r="EY111" s="1">
        <v>1</v>
      </c>
      <c r="EZ111" s="9"/>
      <c r="FA111" s="1">
        <v>1</v>
      </c>
      <c r="FB111" s="9" t="s">
        <v>853</v>
      </c>
      <c r="FC111" s="1">
        <v>1</v>
      </c>
      <c r="FD111" s="1">
        <v>6</v>
      </c>
      <c r="FE111" s="4"/>
      <c r="FF111" s="4"/>
      <c r="FG111" s="4"/>
      <c r="FH111" s="4"/>
      <c r="FI111" s="4"/>
      <c r="FJ111" s="23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26"/>
      <c r="GF111" s="26"/>
      <c r="GG111" s="4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S111" s="3"/>
      <c r="HU111" s="3"/>
      <c r="HX111" s="3"/>
      <c r="IA111" s="3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6"/>
      <c r="JP111" s="6"/>
      <c r="JQ111" s="6"/>
      <c r="JR111" s="6"/>
      <c r="JS111" s="6"/>
      <c r="JT111" s="8"/>
      <c r="JU111" s="8"/>
      <c r="JV111" s="8"/>
      <c r="JW111" s="8"/>
      <c r="JX111" s="8"/>
      <c r="JY111" s="8"/>
      <c r="JZ111" s="8"/>
      <c r="KA111" s="8"/>
      <c r="KB111" s="8"/>
      <c r="KC111" s="6"/>
      <c r="KD111" s="6"/>
      <c r="KE111" s="6"/>
      <c r="KF111" s="6"/>
      <c r="KG111" s="6"/>
      <c r="KH111" s="6"/>
      <c r="KI111" s="6"/>
      <c r="KJ111" s="6"/>
      <c r="KK111" s="6"/>
      <c r="KL111" s="4"/>
      <c r="KM111" s="4"/>
      <c r="KN111" s="6"/>
      <c r="KO111" s="4"/>
      <c r="KP111" s="4"/>
      <c r="KQ111" s="6"/>
      <c r="KR111" s="6"/>
      <c r="KS111" s="4"/>
      <c r="KU111" s="4"/>
      <c r="KV111" s="4"/>
      <c r="KW111" s="4"/>
      <c r="KX111" s="6"/>
      <c r="KY111" s="6"/>
      <c r="KZ111" s="6"/>
      <c r="LA111" s="4"/>
      <c r="LB111" s="6"/>
      <c r="LC111" s="6"/>
      <c r="LD111" s="4"/>
      <c r="LE111" s="4"/>
      <c r="LF111" s="6"/>
      <c r="LG111" s="6"/>
      <c r="LH111" s="6"/>
      <c r="LI111" s="6"/>
      <c r="LJ111" s="6"/>
      <c r="LK111" s="6"/>
      <c r="LL111" s="6"/>
      <c r="LM111" s="6"/>
      <c r="LN111" s="6"/>
      <c r="LO111" s="6"/>
      <c r="LP111" s="6"/>
      <c r="LQ111" s="6"/>
      <c r="LR111" s="6"/>
      <c r="LS111" s="6"/>
      <c r="LT111" s="6"/>
      <c r="LU111" s="6"/>
      <c r="LV111" s="6"/>
      <c r="LW111" s="6"/>
      <c r="LX111" s="6"/>
      <c r="LY111" s="6"/>
      <c r="LZ111" s="6"/>
      <c r="MA111" s="6"/>
      <c r="MB111" s="6"/>
      <c r="MC111" s="6"/>
      <c r="MD111" s="6"/>
      <c r="ME111" s="6"/>
      <c r="MF111" s="6"/>
      <c r="MG111" s="6"/>
      <c r="MH111" s="6"/>
      <c r="MI111" s="6"/>
      <c r="MJ111" s="6"/>
      <c r="MK111" s="6"/>
      <c r="ML111" s="6"/>
      <c r="MM111" s="6"/>
      <c r="MN111" s="6"/>
      <c r="MO111" s="6"/>
      <c r="MP111" s="6"/>
      <c r="MQ111" s="6"/>
      <c r="MR111" s="6"/>
      <c r="MS111" s="6"/>
      <c r="MT111" s="6"/>
      <c r="MU111" s="6"/>
      <c r="MV111" s="6"/>
      <c r="MW111" s="6"/>
      <c r="MX111" s="6"/>
      <c r="MY111" s="6"/>
      <c r="MZ111" s="6"/>
      <c r="NA111" s="6"/>
      <c r="NB111" s="6"/>
      <c r="NC111" s="6"/>
      <c r="ND111" s="6"/>
      <c r="NE111" s="6"/>
      <c r="NF111" s="6"/>
      <c r="NG111" s="6"/>
      <c r="NH111" s="6"/>
      <c r="NI111" s="6"/>
      <c r="NJ111" s="4"/>
    </row>
    <row r="112" spans="1:374" s="1" customFormat="1" x14ac:dyDescent="0.35">
      <c r="A112" s="2">
        <v>43350</v>
      </c>
      <c r="B112" s="15" t="s">
        <v>116</v>
      </c>
      <c r="C112" s="15" t="s">
        <v>273</v>
      </c>
      <c r="D112" s="1">
        <v>111</v>
      </c>
      <c r="E112" s="3">
        <v>3</v>
      </c>
      <c r="F112" s="3">
        <v>1</v>
      </c>
      <c r="G112" s="3"/>
      <c r="H112" s="3">
        <v>28</v>
      </c>
      <c r="I112" s="3">
        <v>3</v>
      </c>
      <c r="J112" s="3"/>
      <c r="K112" s="18">
        <v>0</v>
      </c>
      <c r="L112" s="18">
        <v>1</v>
      </c>
      <c r="M112" s="18">
        <v>1</v>
      </c>
      <c r="N112" s="18">
        <v>1</v>
      </c>
      <c r="O112" s="18">
        <v>0</v>
      </c>
      <c r="P112" s="4">
        <v>0.6</v>
      </c>
      <c r="Q112" s="3">
        <v>127</v>
      </c>
      <c r="R112" s="3">
        <v>95</v>
      </c>
      <c r="S112" s="3">
        <v>126</v>
      </c>
      <c r="T112" s="3">
        <v>84</v>
      </c>
      <c r="U112" s="3">
        <v>85</v>
      </c>
      <c r="V112" s="3">
        <v>81</v>
      </c>
      <c r="W112" s="3">
        <v>74</v>
      </c>
      <c r="X112" s="3">
        <v>51</v>
      </c>
      <c r="Y112" s="3">
        <v>53</v>
      </c>
      <c r="Z112" s="3"/>
      <c r="AA112" s="3"/>
      <c r="AB112" s="3"/>
      <c r="AC112" s="3"/>
      <c r="AD112" s="3"/>
      <c r="AE112" s="3"/>
      <c r="AF112" s="3"/>
      <c r="AG112" s="3"/>
      <c r="AH112" s="3"/>
      <c r="AI112" s="4"/>
      <c r="AJ112" s="4"/>
      <c r="AK112" s="4"/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4</v>
      </c>
      <c r="AS112" s="19">
        <v>0</v>
      </c>
      <c r="AT112" s="19">
        <v>0</v>
      </c>
      <c r="AU112" s="19">
        <v>0</v>
      </c>
      <c r="AV112" s="19">
        <v>0</v>
      </c>
      <c r="AW112" s="19">
        <v>0</v>
      </c>
      <c r="AX112" s="19"/>
      <c r="AY112"/>
      <c r="AZ112"/>
      <c r="BA112"/>
      <c r="BB112"/>
      <c r="BC112"/>
      <c r="BP112" s="4"/>
      <c r="BQ112" s="4"/>
      <c r="BR112" s="4"/>
      <c r="BS112" s="4"/>
      <c r="BT112" s="4"/>
      <c r="BU112" s="4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1">
        <v>7</v>
      </c>
      <c r="CJ112" s="1">
        <v>7</v>
      </c>
      <c r="CK112" s="1">
        <v>7</v>
      </c>
      <c r="CL112" s="1">
        <v>7</v>
      </c>
      <c r="CM112" s="1">
        <v>7</v>
      </c>
      <c r="CN112" s="1">
        <v>7</v>
      </c>
      <c r="CO112" s="1">
        <v>7</v>
      </c>
      <c r="CP112" s="1">
        <v>3</v>
      </c>
      <c r="CQ112" s="1">
        <v>7</v>
      </c>
      <c r="CR112" s="1">
        <v>2</v>
      </c>
      <c r="CS112" s="1">
        <v>3</v>
      </c>
      <c r="CT112" s="1">
        <v>5</v>
      </c>
      <c r="CU112" s="1">
        <v>7</v>
      </c>
      <c r="CV112" s="1">
        <v>5</v>
      </c>
      <c r="CW112" s="1">
        <v>1</v>
      </c>
      <c r="CX112" s="1">
        <v>2</v>
      </c>
      <c r="CY112" s="1">
        <v>4</v>
      </c>
      <c r="CZ112" s="1">
        <v>7</v>
      </c>
      <c r="DA112" s="1">
        <v>7</v>
      </c>
      <c r="DB112" s="1">
        <v>7</v>
      </c>
      <c r="DC112" s="1">
        <v>7</v>
      </c>
      <c r="DD112" s="1">
        <v>7</v>
      </c>
      <c r="DE112" s="1">
        <v>7</v>
      </c>
      <c r="DF112" s="1">
        <v>2</v>
      </c>
      <c r="DG112" s="1">
        <v>7</v>
      </c>
      <c r="DH112" s="1">
        <v>7</v>
      </c>
      <c r="DI112" s="1">
        <v>3</v>
      </c>
      <c r="DJ112" s="1">
        <v>7</v>
      </c>
      <c r="DK112" s="1">
        <v>7</v>
      </c>
      <c r="DL112" s="1">
        <v>7</v>
      </c>
      <c r="DM112" s="19">
        <v>7</v>
      </c>
      <c r="DN112" s="19">
        <v>2</v>
      </c>
      <c r="DO112" s="1">
        <v>7</v>
      </c>
      <c r="DP112" s="1">
        <v>5</v>
      </c>
      <c r="DQ112" s="1">
        <v>6</v>
      </c>
      <c r="DR112" s="1">
        <v>7</v>
      </c>
      <c r="DS112" s="1">
        <v>6</v>
      </c>
      <c r="DT112" s="1">
        <v>4</v>
      </c>
      <c r="DU112" s="27">
        <v>7</v>
      </c>
      <c r="DV112" s="27">
        <v>2</v>
      </c>
      <c r="DW112" s="27">
        <v>3</v>
      </c>
      <c r="DX112" s="27">
        <v>6</v>
      </c>
      <c r="DY112" s="27">
        <v>7</v>
      </c>
      <c r="DZ112" s="27">
        <v>5</v>
      </c>
      <c r="EA112" s="27">
        <v>2</v>
      </c>
      <c r="EB112" s="27">
        <v>7</v>
      </c>
      <c r="EC112" s="27">
        <v>7</v>
      </c>
      <c r="ED112" s="27">
        <v>7</v>
      </c>
      <c r="EE112" s="27">
        <v>7</v>
      </c>
      <c r="EF112" s="27">
        <v>7</v>
      </c>
      <c r="EG112" s="27">
        <v>4</v>
      </c>
      <c r="EH112" s="27">
        <v>7</v>
      </c>
      <c r="EI112" s="27">
        <v>7</v>
      </c>
      <c r="EJ112" s="27">
        <v>7</v>
      </c>
      <c r="EK112" s="27">
        <v>4</v>
      </c>
      <c r="EL112" s="27">
        <v>7</v>
      </c>
      <c r="EM112" s="27">
        <v>4</v>
      </c>
      <c r="EN112" s="27">
        <v>4</v>
      </c>
      <c r="EO112" s="27">
        <v>5</v>
      </c>
      <c r="EP112" s="27">
        <v>3</v>
      </c>
      <c r="EQ112" s="27">
        <v>7</v>
      </c>
      <c r="ER112" s="27">
        <v>7</v>
      </c>
      <c r="ES112" s="27">
        <v>4</v>
      </c>
      <c r="ET112" s="27">
        <v>2</v>
      </c>
      <c r="EU112" s="27">
        <v>3</v>
      </c>
      <c r="EV112" s="1">
        <v>18</v>
      </c>
      <c r="EW112" s="1">
        <v>2</v>
      </c>
      <c r="EY112" s="1">
        <v>9</v>
      </c>
      <c r="EZ112" s="9"/>
      <c r="FA112" s="1">
        <v>1</v>
      </c>
      <c r="FB112" s="9" t="s">
        <v>854</v>
      </c>
      <c r="FC112" s="1">
        <v>0</v>
      </c>
      <c r="FD112" s="1">
        <v>9</v>
      </c>
      <c r="FE112" s="4"/>
      <c r="FF112" s="4"/>
      <c r="FG112" s="4"/>
      <c r="FH112" s="4"/>
      <c r="FI112" s="4"/>
      <c r="FJ112" s="23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26"/>
      <c r="GF112" s="26"/>
      <c r="GG112" s="4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S112" s="3"/>
      <c r="HU112" s="3"/>
      <c r="HX112" s="3"/>
      <c r="IA112" s="3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6"/>
      <c r="JP112" s="6"/>
      <c r="JQ112" s="6"/>
      <c r="JR112" s="6"/>
      <c r="JS112" s="6"/>
      <c r="JT112" s="8"/>
      <c r="JU112" s="8"/>
      <c r="JV112" s="8"/>
      <c r="JW112" s="8"/>
      <c r="JX112" s="8"/>
      <c r="JY112" s="8"/>
      <c r="JZ112" s="8"/>
      <c r="KA112" s="8"/>
      <c r="KB112" s="8"/>
      <c r="KC112" s="6"/>
      <c r="KD112" s="6"/>
      <c r="KE112" s="6"/>
      <c r="KF112" s="6"/>
      <c r="KG112" s="6"/>
      <c r="KH112" s="6"/>
      <c r="KI112" s="6"/>
      <c r="KJ112" s="6"/>
      <c r="KK112" s="6"/>
      <c r="KL112" s="4"/>
      <c r="KM112" s="4"/>
      <c r="KN112" s="6"/>
      <c r="KO112" s="4"/>
      <c r="KP112" s="4"/>
      <c r="KQ112" s="6"/>
      <c r="KR112" s="6"/>
      <c r="KS112" s="4"/>
      <c r="KU112" s="4"/>
      <c r="KV112" s="4"/>
      <c r="KW112" s="4"/>
      <c r="KX112" s="6"/>
      <c r="KY112" s="6"/>
      <c r="KZ112" s="6"/>
      <c r="LA112" s="4"/>
      <c r="LB112" s="6"/>
      <c r="LC112" s="6"/>
      <c r="LD112" s="4"/>
      <c r="LE112" s="4"/>
      <c r="LF112" s="6"/>
      <c r="LG112" s="6"/>
      <c r="LH112" s="6"/>
      <c r="LI112" s="6"/>
      <c r="LJ112" s="6"/>
      <c r="LK112" s="6"/>
      <c r="LL112" s="6"/>
      <c r="LM112" s="6"/>
      <c r="LN112" s="6"/>
      <c r="LO112" s="6"/>
      <c r="LP112" s="6"/>
      <c r="LQ112" s="6"/>
      <c r="LR112" s="6"/>
      <c r="LS112" s="6"/>
      <c r="LT112" s="6"/>
      <c r="LU112" s="6"/>
      <c r="LV112" s="6"/>
      <c r="LW112" s="6"/>
      <c r="LX112" s="6"/>
      <c r="LY112" s="6"/>
      <c r="LZ112" s="6"/>
      <c r="MA112" s="6"/>
      <c r="MB112" s="6"/>
      <c r="MC112" s="6"/>
      <c r="MD112" s="6"/>
      <c r="ME112" s="6"/>
      <c r="MF112" s="6"/>
      <c r="MG112" s="6"/>
      <c r="MH112" s="6"/>
      <c r="MI112" s="6"/>
      <c r="MJ112" s="6"/>
      <c r="MK112" s="6"/>
      <c r="ML112" s="6"/>
      <c r="MM112" s="6"/>
      <c r="MN112" s="6"/>
      <c r="MO112" s="6"/>
      <c r="MP112" s="6"/>
      <c r="MQ112" s="6"/>
      <c r="MR112" s="6"/>
      <c r="MS112" s="6"/>
      <c r="MT112" s="6"/>
      <c r="MU112" s="6"/>
      <c r="MV112" s="6"/>
      <c r="MW112" s="6"/>
      <c r="MX112" s="6"/>
      <c r="MY112" s="6"/>
      <c r="MZ112" s="6"/>
      <c r="NA112" s="6"/>
      <c r="NB112" s="6"/>
      <c r="NC112" s="6"/>
      <c r="ND112" s="6"/>
      <c r="NE112" s="6"/>
      <c r="NF112" s="6"/>
      <c r="NG112" s="6"/>
      <c r="NH112" s="6"/>
      <c r="NI112" s="6"/>
      <c r="NJ112" s="4"/>
    </row>
    <row r="113" spans="1:374" s="1" customFormat="1" x14ac:dyDescent="0.35">
      <c r="A113" s="2">
        <v>43350</v>
      </c>
      <c r="B113" s="15" t="s">
        <v>116</v>
      </c>
      <c r="C113" s="15" t="s">
        <v>274</v>
      </c>
      <c r="D113" s="1">
        <v>112</v>
      </c>
      <c r="E113" s="3">
        <v>3</v>
      </c>
      <c r="F113" s="3">
        <v>1</v>
      </c>
      <c r="G113" s="3"/>
      <c r="H113" s="3">
        <v>28</v>
      </c>
      <c r="I113" s="3">
        <v>4</v>
      </c>
      <c r="J113" s="3"/>
      <c r="K113" s="18">
        <v>1</v>
      </c>
      <c r="L113" s="18">
        <v>1</v>
      </c>
      <c r="M113" s="18">
        <v>1</v>
      </c>
      <c r="N113" s="18">
        <v>1</v>
      </c>
      <c r="O113" s="18">
        <v>1</v>
      </c>
      <c r="P113" s="4">
        <v>1</v>
      </c>
      <c r="Q113" s="3">
        <v>47</v>
      </c>
      <c r="R113" s="3">
        <v>73</v>
      </c>
      <c r="S113" s="3">
        <v>84</v>
      </c>
      <c r="T113" s="3">
        <v>63</v>
      </c>
      <c r="U113" s="3">
        <v>88</v>
      </c>
      <c r="V113" s="3">
        <v>59</v>
      </c>
      <c r="W113" s="3">
        <v>85</v>
      </c>
      <c r="X113" s="3">
        <v>72</v>
      </c>
      <c r="Y113" s="3">
        <v>70</v>
      </c>
      <c r="Z113" s="3"/>
      <c r="AA113" s="3"/>
      <c r="AB113" s="3"/>
      <c r="AC113" s="3"/>
      <c r="AD113" s="3"/>
      <c r="AE113" s="3"/>
      <c r="AF113" s="3"/>
      <c r="AG113" s="3"/>
      <c r="AH113" s="3"/>
      <c r="AI113" s="4"/>
      <c r="AJ113" s="4"/>
      <c r="AK113" s="4"/>
      <c r="AL113" s="1">
        <v>1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9">
        <v>0</v>
      </c>
      <c r="AT113" s="19">
        <v>0</v>
      </c>
      <c r="AU113" s="19">
        <v>0</v>
      </c>
      <c r="AV113" s="19">
        <v>0</v>
      </c>
      <c r="AW113" s="19">
        <v>0</v>
      </c>
      <c r="AX113" s="19"/>
      <c r="AY113"/>
      <c r="AZ113"/>
      <c r="BA113"/>
      <c r="BB113"/>
      <c r="BC113"/>
      <c r="BP113" s="4"/>
      <c r="BQ113" s="4"/>
      <c r="BR113" s="4"/>
      <c r="BS113" s="4"/>
      <c r="BT113" s="4"/>
      <c r="BU113" s="4"/>
      <c r="BV113" s="6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1">
        <v>7</v>
      </c>
      <c r="CJ113" s="1">
        <v>6</v>
      </c>
      <c r="CK113" s="1">
        <v>5</v>
      </c>
      <c r="CL113" s="1">
        <v>6</v>
      </c>
      <c r="CM113" s="1">
        <v>6</v>
      </c>
      <c r="CN113" s="1">
        <v>6</v>
      </c>
      <c r="CO113" s="1">
        <v>6</v>
      </c>
      <c r="CP113" s="1">
        <v>5</v>
      </c>
      <c r="CQ113" s="1">
        <v>2</v>
      </c>
      <c r="CR113" s="1">
        <v>1</v>
      </c>
      <c r="CS113" s="1">
        <v>2</v>
      </c>
      <c r="CT113" s="1">
        <v>3</v>
      </c>
      <c r="CU113" s="1">
        <v>3</v>
      </c>
      <c r="CV113" s="1">
        <v>1</v>
      </c>
      <c r="CW113" s="1">
        <v>2</v>
      </c>
      <c r="CX113" s="1">
        <v>5</v>
      </c>
      <c r="CY113" s="1">
        <v>2</v>
      </c>
      <c r="CZ113" s="1">
        <v>6</v>
      </c>
      <c r="DA113" s="1">
        <v>4</v>
      </c>
      <c r="DB113" s="1">
        <v>6</v>
      </c>
      <c r="DC113" s="1">
        <v>7</v>
      </c>
      <c r="DD113" s="1">
        <v>5</v>
      </c>
      <c r="DE113" s="1">
        <v>5</v>
      </c>
      <c r="DF113" s="1">
        <v>7</v>
      </c>
      <c r="DG113" s="1">
        <v>7</v>
      </c>
      <c r="DH113" s="1">
        <v>7</v>
      </c>
      <c r="DI113" s="1">
        <v>7</v>
      </c>
      <c r="DJ113" s="1">
        <v>7</v>
      </c>
      <c r="DK113" s="1">
        <v>7</v>
      </c>
      <c r="DL113" s="1">
        <v>7</v>
      </c>
      <c r="DM113" s="19">
        <v>7</v>
      </c>
      <c r="DN113" s="19">
        <v>7</v>
      </c>
      <c r="DO113" s="1">
        <v>4</v>
      </c>
      <c r="DP113" s="1">
        <v>7</v>
      </c>
      <c r="DQ113" s="1">
        <v>7</v>
      </c>
      <c r="DR113" s="1">
        <v>3</v>
      </c>
      <c r="DS113" s="1">
        <v>3</v>
      </c>
      <c r="DT113" s="1">
        <v>1</v>
      </c>
      <c r="DU113" s="27">
        <v>6</v>
      </c>
      <c r="DV113" s="27">
        <v>7</v>
      </c>
      <c r="DW113" s="27">
        <v>7</v>
      </c>
      <c r="DX113" s="27">
        <v>7</v>
      </c>
      <c r="DY113" s="27">
        <v>6</v>
      </c>
      <c r="DZ113" s="27">
        <v>5</v>
      </c>
      <c r="EA113" s="27">
        <v>4</v>
      </c>
      <c r="EB113" s="27">
        <v>6</v>
      </c>
      <c r="EC113" s="27">
        <v>4</v>
      </c>
      <c r="ED113" s="27">
        <v>6</v>
      </c>
      <c r="EE113" s="27">
        <v>4</v>
      </c>
      <c r="EF113" s="27">
        <v>4</v>
      </c>
      <c r="EG113" s="27">
        <v>7</v>
      </c>
      <c r="EH113" s="27">
        <v>5</v>
      </c>
      <c r="EI113" s="27">
        <v>5</v>
      </c>
      <c r="EJ113" s="27">
        <v>1</v>
      </c>
      <c r="EK113" s="27">
        <v>1</v>
      </c>
      <c r="EL113" s="27">
        <v>3</v>
      </c>
      <c r="EM113" s="27">
        <v>1</v>
      </c>
      <c r="EN113" s="27">
        <v>3</v>
      </c>
      <c r="EO113" s="27">
        <v>5</v>
      </c>
      <c r="EP113" s="27">
        <v>5</v>
      </c>
      <c r="EQ113" s="27">
        <v>4</v>
      </c>
      <c r="ER113" s="27">
        <v>5</v>
      </c>
      <c r="ES113" s="27">
        <v>6</v>
      </c>
      <c r="ET113" s="27">
        <v>4</v>
      </c>
      <c r="EU113" s="27">
        <v>4</v>
      </c>
      <c r="EV113" s="1">
        <v>18</v>
      </c>
      <c r="EW113" s="1">
        <v>2</v>
      </c>
      <c r="EY113" s="1">
        <v>4</v>
      </c>
      <c r="EZ113" s="9"/>
      <c r="FA113" s="1">
        <v>1</v>
      </c>
      <c r="FB113" s="9" t="s">
        <v>800</v>
      </c>
      <c r="FC113" s="1">
        <v>1</v>
      </c>
      <c r="FD113" s="1">
        <v>2</v>
      </c>
      <c r="FE113" s="4"/>
      <c r="FF113" s="4"/>
      <c r="FG113" s="4"/>
      <c r="FH113" s="4"/>
      <c r="FI113" s="4"/>
      <c r="FJ113" s="23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26"/>
      <c r="GF113" s="26"/>
      <c r="GG113" s="4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6"/>
      <c r="HQ113" s="3"/>
      <c r="HS113" s="3"/>
      <c r="HU113" s="3"/>
      <c r="HX113" s="3"/>
      <c r="IA113" s="3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6"/>
      <c r="JP113" s="6"/>
      <c r="JQ113" s="6"/>
      <c r="JR113" s="6"/>
      <c r="JS113" s="6"/>
      <c r="JT113" s="8"/>
      <c r="JU113" s="8"/>
      <c r="JV113" s="8"/>
      <c r="JW113" s="8"/>
      <c r="JX113" s="8"/>
      <c r="JY113" s="8"/>
      <c r="JZ113" s="8"/>
      <c r="KA113" s="8"/>
      <c r="KB113" s="8"/>
      <c r="KC113" s="6"/>
      <c r="KD113" s="6"/>
      <c r="KE113" s="6"/>
      <c r="KF113" s="6"/>
      <c r="KG113" s="6"/>
      <c r="KH113" s="6"/>
      <c r="KI113" s="6"/>
      <c r="KJ113" s="6"/>
      <c r="KK113" s="6"/>
      <c r="KL113" s="4"/>
      <c r="KM113" s="4"/>
      <c r="KN113" s="6"/>
      <c r="KO113" s="4"/>
      <c r="KP113" s="4"/>
      <c r="KQ113" s="6"/>
      <c r="KR113" s="6"/>
      <c r="KS113" s="4"/>
      <c r="KU113" s="4"/>
      <c r="KV113" s="4"/>
      <c r="KW113" s="4"/>
      <c r="KX113" s="6"/>
      <c r="KY113" s="6"/>
      <c r="KZ113" s="6"/>
      <c r="LA113" s="4"/>
      <c r="LB113" s="6"/>
      <c r="LC113" s="6"/>
      <c r="LD113" s="4"/>
      <c r="LE113" s="4"/>
      <c r="LF113" s="6"/>
      <c r="LG113" s="6"/>
      <c r="LH113" s="6"/>
      <c r="LI113" s="6"/>
      <c r="LJ113" s="6"/>
      <c r="LK113" s="6"/>
      <c r="LL113" s="6"/>
      <c r="LM113" s="6"/>
      <c r="LN113" s="6"/>
      <c r="LO113" s="6"/>
      <c r="LP113" s="6"/>
      <c r="LQ113" s="6"/>
      <c r="LR113" s="6"/>
      <c r="LS113" s="6"/>
      <c r="LT113" s="6"/>
      <c r="LU113" s="6"/>
      <c r="LV113" s="6"/>
      <c r="LW113" s="6"/>
      <c r="LX113" s="6"/>
      <c r="LY113" s="6"/>
      <c r="LZ113" s="6"/>
      <c r="MA113" s="6"/>
      <c r="MB113" s="6"/>
      <c r="MC113" s="6"/>
      <c r="MD113" s="6"/>
      <c r="ME113" s="6"/>
      <c r="MF113" s="6"/>
      <c r="MG113" s="6"/>
      <c r="MH113" s="6"/>
      <c r="MI113" s="6"/>
      <c r="MJ113" s="6"/>
      <c r="MK113" s="6"/>
      <c r="ML113" s="6"/>
      <c r="MM113" s="6"/>
      <c r="MN113" s="6"/>
      <c r="MO113" s="6"/>
      <c r="MP113" s="6"/>
      <c r="MQ113" s="6"/>
      <c r="MR113" s="6"/>
      <c r="MS113" s="6"/>
      <c r="MT113" s="6"/>
      <c r="MU113" s="6"/>
      <c r="MV113" s="6"/>
      <c r="MW113" s="6"/>
      <c r="MX113" s="6"/>
      <c r="MY113" s="6"/>
      <c r="MZ113" s="6"/>
      <c r="NA113" s="6"/>
      <c r="NB113" s="6"/>
      <c r="NC113" s="6"/>
      <c r="ND113" s="6"/>
      <c r="NE113" s="6"/>
      <c r="NF113" s="6"/>
      <c r="NG113" s="6"/>
      <c r="NH113" s="6"/>
      <c r="NI113" s="6"/>
      <c r="NJ113" s="4"/>
    </row>
    <row r="114" spans="1:374" s="1" customFormat="1" x14ac:dyDescent="0.35">
      <c r="A114" s="2">
        <v>43355</v>
      </c>
      <c r="B114" s="15" t="s">
        <v>117</v>
      </c>
      <c r="C114" s="15" t="s">
        <v>275</v>
      </c>
      <c r="D114" s="1">
        <v>113</v>
      </c>
      <c r="E114" s="3">
        <v>3</v>
      </c>
      <c r="F114" s="3">
        <v>1</v>
      </c>
      <c r="G114" s="3">
        <v>0</v>
      </c>
      <c r="H114" s="3">
        <v>29</v>
      </c>
      <c r="I114" s="3">
        <v>1</v>
      </c>
      <c r="J114" s="3">
        <v>1</v>
      </c>
      <c r="K114" s="18">
        <v>0</v>
      </c>
      <c r="L114" s="18">
        <v>1</v>
      </c>
      <c r="M114" s="18">
        <v>1</v>
      </c>
      <c r="N114" s="18">
        <v>1</v>
      </c>
      <c r="O114" s="18">
        <v>1</v>
      </c>
      <c r="P114" s="4">
        <v>0.8</v>
      </c>
      <c r="Q114" s="3">
        <v>84</v>
      </c>
      <c r="R114" s="3">
        <v>83</v>
      </c>
      <c r="S114" s="3">
        <v>115</v>
      </c>
      <c r="T114" s="3">
        <v>112</v>
      </c>
      <c r="U114" s="3">
        <v>107</v>
      </c>
      <c r="V114" s="3">
        <v>106</v>
      </c>
      <c r="W114" s="3">
        <v>120</v>
      </c>
      <c r="X114" s="3">
        <v>111</v>
      </c>
      <c r="Y114" s="3">
        <v>118</v>
      </c>
      <c r="Z114" s="3">
        <v>258</v>
      </c>
      <c r="AA114" s="3">
        <v>327</v>
      </c>
      <c r="AB114" s="3">
        <v>422</v>
      </c>
      <c r="AC114" s="3">
        <v>430</v>
      </c>
      <c r="AD114" s="3">
        <v>440</v>
      </c>
      <c r="AE114" s="3">
        <v>468</v>
      </c>
      <c r="AF114" s="3">
        <v>483</v>
      </c>
      <c r="AG114" s="3">
        <v>474</v>
      </c>
      <c r="AH114" s="3">
        <v>410</v>
      </c>
      <c r="AI114" s="4">
        <v>335.67</v>
      </c>
      <c r="AJ114" s="4">
        <v>446</v>
      </c>
      <c r="AK114" s="4">
        <v>455.67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9">
        <v>2</v>
      </c>
      <c r="AT114" s="19">
        <v>0</v>
      </c>
      <c r="AU114" s="19">
        <v>0</v>
      </c>
      <c r="AV114" s="19">
        <v>0</v>
      </c>
      <c r="AW114" s="19">
        <v>0</v>
      </c>
      <c r="AX114" s="19">
        <f t="shared" ref="AX114:BC114" si="56">AL114+AL115+AL116+AL117</f>
        <v>0</v>
      </c>
      <c r="AY114" s="19">
        <f t="shared" si="56"/>
        <v>1</v>
      </c>
      <c r="AZ114" s="19">
        <f t="shared" si="56"/>
        <v>0</v>
      </c>
      <c r="BA114" s="19">
        <f t="shared" si="56"/>
        <v>0</v>
      </c>
      <c r="BB114" s="19">
        <f t="shared" si="56"/>
        <v>0</v>
      </c>
      <c r="BC114" s="19">
        <f t="shared" si="56"/>
        <v>0</v>
      </c>
      <c r="BD114" s="1">
        <f>AX114*3</f>
        <v>0</v>
      </c>
      <c r="BE114" s="1">
        <f t="shared" ref="BE114:BI114" si="57">AY114*3</f>
        <v>3</v>
      </c>
      <c r="BF114" s="1">
        <f t="shared" si="57"/>
        <v>0</v>
      </c>
      <c r="BG114" s="1">
        <f t="shared" si="57"/>
        <v>0</v>
      </c>
      <c r="BH114" s="1">
        <f t="shared" si="57"/>
        <v>0</v>
      </c>
      <c r="BI114" s="1">
        <f t="shared" si="57"/>
        <v>0</v>
      </c>
      <c r="BJ114" s="1">
        <f>AX114+AY114+AZ114</f>
        <v>1</v>
      </c>
      <c r="BK114" s="1">
        <f>BA114+BB114+BC114</f>
        <v>0</v>
      </c>
      <c r="BL114" s="1">
        <f>BJ114*3</f>
        <v>3</v>
      </c>
      <c r="BM114" s="1">
        <f>BK114*3</f>
        <v>0</v>
      </c>
      <c r="BN114" s="1">
        <f>BL114/3</f>
        <v>1</v>
      </c>
      <c r="BO114" s="1">
        <f>BM114/3</f>
        <v>0</v>
      </c>
      <c r="BP114" s="4">
        <v>334.66666666666669</v>
      </c>
      <c r="BQ114" s="4">
        <v>446</v>
      </c>
      <c r="BR114" s="4">
        <v>455.66666666666669</v>
      </c>
      <c r="BS114" s="4">
        <v>334.67</v>
      </c>
      <c r="BT114" s="4">
        <v>446</v>
      </c>
      <c r="BU114" s="4">
        <v>3.25</v>
      </c>
      <c r="BV114" s="3">
        <v>1</v>
      </c>
      <c r="BW114" s="3">
        <v>1</v>
      </c>
      <c r="BX114" s="3">
        <v>2</v>
      </c>
      <c r="BY114" s="3">
        <v>2</v>
      </c>
      <c r="BZ114" s="3">
        <v>0</v>
      </c>
      <c r="CA114" s="3">
        <v>0</v>
      </c>
      <c r="CB114" s="3">
        <v>0</v>
      </c>
      <c r="CC114" s="3">
        <v>0</v>
      </c>
      <c r="CD114" s="3">
        <v>1</v>
      </c>
      <c r="CE114" s="3">
        <v>1</v>
      </c>
      <c r="CF114" s="3">
        <v>1</v>
      </c>
      <c r="CG114" s="3">
        <v>1</v>
      </c>
      <c r="CH114" s="3">
        <v>0</v>
      </c>
      <c r="CI114" s="1">
        <v>7</v>
      </c>
      <c r="CJ114" s="1">
        <v>7</v>
      </c>
      <c r="CK114" s="1">
        <v>6</v>
      </c>
      <c r="CL114" s="1">
        <v>7</v>
      </c>
      <c r="CM114" s="1">
        <v>7</v>
      </c>
      <c r="CN114" s="1">
        <v>7</v>
      </c>
      <c r="CO114" s="1">
        <v>7</v>
      </c>
      <c r="CP114" s="1">
        <v>1</v>
      </c>
      <c r="CQ114" s="1">
        <v>7</v>
      </c>
      <c r="CR114" s="1">
        <v>7</v>
      </c>
      <c r="CS114" s="1">
        <v>7</v>
      </c>
      <c r="CT114" s="1">
        <v>7</v>
      </c>
      <c r="CU114" s="1">
        <v>7</v>
      </c>
      <c r="CV114" s="1">
        <v>7</v>
      </c>
      <c r="CW114" s="1">
        <v>7</v>
      </c>
      <c r="CX114" s="1">
        <v>7</v>
      </c>
      <c r="CY114" s="1">
        <v>7</v>
      </c>
      <c r="CZ114" s="1">
        <v>7</v>
      </c>
      <c r="DA114" s="1">
        <v>7</v>
      </c>
      <c r="DB114" s="1">
        <v>7</v>
      </c>
      <c r="DC114" s="1">
        <v>7</v>
      </c>
      <c r="DD114" s="1">
        <v>7</v>
      </c>
      <c r="DE114" s="1">
        <v>6</v>
      </c>
      <c r="DF114" s="1">
        <v>1</v>
      </c>
      <c r="DG114" s="1">
        <v>1</v>
      </c>
      <c r="DH114" s="1">
        <v>1</v>
      </c>
      <c r="DI114" s="1">
        <v>1</v>
      </c>
      <c r="DJ114" s="1">
        <v>1</v>
      </c>
      <c r="DK114" s="1">
        <v>1</v>
      </c>
      <c r="DL114" s="1">
        <v>7</v>
      </c>
      <c r="DM114" s="19">
        <v>7</v>
      </c>
      <c r="DN114" s="19">
        <v>1</v>
      </c>
      <c r="DO114" s="1">
        <v>1</v>
      </c>
      <c r="DP114" s="1">
        <v>7</v>
      </c>
      <c r="DQ114" s="1">
        <v>7</v>
      </c>
      <c r="DR114" s="1">
        <v>7</v>
      </c>
      <c r="DS114" s="1">
        <v>7</v>
      </c>
      <c r="DT114" s="1">
        <v>7</v>
      </c>
      <c r="DU114" s="27">
        <v>7</v>
      </c>
      <c r="DV114" s="27">
        <v>7</v>
      </c>
      <c r="DW114" s="27">
        <v>7</v>
      </c>
      <c r="DX114" s="27">
        <v>1</v>
      </c>
      <c r="DY114" s="27">
        <v>1</v>
      </c>
      <c r="DZ114" s="27">
        <v>1</v>
      </c>
      <c r="EA114" s="27">
        <v>1</v>
      </c>
      <c r="EB114" s="27">
        <v>1</v>
      </c>
      <c r="EC114" s="27">
        <v>1</v>
      </c>
      <c r="ED114" s="27">
        <v>1</v>
      </c>
      <c r="EE114" s="27">
        <v>5</v>
      </c>
      <c r="EF114" s="27">
        <v>6</v>
      </c>
      <c r="EG114" s="27">
        <v>2</v>
      </c>
      <c r="EH114" s="27">
        <v>7</v>
      </c>
      <c r="EI114" s="27">
        <v>7</v>
      </c>
      <c r="EJ114" s="27">
        <v>7</v>
      </c>
      <c r="EK114" s="27">
        <v>7</v>
      </c>
      <c r="EL114" s="27">
        <v>7</v>
      </c>
      <c r="EM114" s="27">
        <v>1</v>
      </c>
      <c r="EN114" s="27">
        <v>1</v>
      </c>
      <c r="EO114" s="27">
        <v>7</v>
      </c>
      <c r="EP114" s="27">
        <v>7</v>
      </c>
      <c r="EQ114" s="27">
        <v>7</v>
      </c>
      <c r="ER114" s="27">
        <v>7</v>
      </c>
      <c r="ES114" s="27">
        <v>7</v>
      </c>
      <c r="ET114" s="27">
        <v>7</v>
      </c>
      <c r="EU114" s="27">
        <v>7</v>
      </c>
      <c r="EV114" s="1">
        <v>18</v>
      </c>
      <c r="EW114" s="1">
        <v>2</v>
      </c>
      <c r="EY114" s="1">
        <v>1</v>
      </c>
      <c r="EZ114" s="9"/>
      <c r="FA114" s="1">
        <v>1</v>
      </c>
      <c r="FB114" s="9" t="s">
        <v>838</v>
      </c>
      <c r="FC114" s="1">
        <v>1</v>
      </c>
      <c r="FD114" s="1">
        <v>9</v>
      </c>
      <c r="FE114" s="4">
        <v>6.93</v>
      </c>
      <c r="FF114" s="4">
        <v>7</v>
      </c>
      <c r="FG114" s="4">
        <v>8.75</v>
      </c>
      <c r="FH114" s="4">
        <v>6.75</v>
      </c>
      <c r="FI114" s="4">
        <v>6.38</v>
      </c>
      <c r="FJ114" s="23">
        <v>6.5</v>
      </c>
      <c r="FK114" s="4">
        <v>2.88</v>
      </c>
      <c r="FL114" s="4">
        <v>6.75</v>
      </c>
      <c r="FM114" s="4">
        <v>2.38</v>
      </c>
      <c r="FN114" s="4">
        <v>6.75</v>
      </c>
      <c r="FO114" s="4">
        <v>7</v>
      </c>
      <c r="FP114" s="4">
        <v>6.58</v>
      </c>
      <c r="FQ114" s="4">
        <v>2.88</v>
      </c>
      <c r="FR114" s="4">
        <v>1.75</v>
      </c>
      <c r="FS114" s="4">
        <v>3.25</v>
      </c>
      <c r="FT114" s="4">
        <v>4.75</v>
      </c>
      <c r="FU114" s="4">
        <v>5.5</v>
      </c>
      <c r="FV114" s="4">
        <v>4.25</v>
      </c>
      <c r="FW114" s="4">
        <v>3</v>
      </c>
      <c r="FX114" s="4">
        <v>5</v>
      </c>
      <c r="FY114" s="4">
        <v>6.25</v>
      </c>
      <c r="FZ114" s="4">
        <v>5.5</v>
      </c>
      <c r="GA114" s="4">
        <v>1.1299999999999999</v>
      </c>
      <c r="GB114" s="4">
        <v>6.92</v>
      </c>
      <c r="GC114" s="4">
        <v>5.5</v>
      </c>
      <c r="GD114" s="4">
        <v>5.5</v>
      </c>
      <c r="GE114" s="26"/>
      <c r="GF114" s="26"/>
      <c r="GG114" s="4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S114" s="3"/>
      <c r="HU114" s="3"/>
      <c r="HX114" s="3"/>
      <c r="IA114" s="3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3"/>
      <c r="JP114" s="3"/>
      <c r="JQ114" s="4"/>
      <c r="JR114" s="5"/>
      <c r="JS114" s="5"/>
      <c r="JT114" s="8"/>
      <c r="JU114" s="8"/>
      <c r="JV114" s="8"/>
      <c r="JW114" s="8"/>
      <c r="JX114" s="8"/>
      <c r="JY114" s="8"/>
      <c r="JZ114" s="8"/>
      <c r="KA114" s="8"/>
      <c r="KB114" s="8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</row>
    <row r="115" spans="1:374" s="1" customFormat="1" x14ac:dyDescent="0.35">
      <c r="A115" s="2">
        <v>43355</v>
      </c>
      <c r="B115" s="15" t="s">
        <v>117</v>
      </c>
      <c r="C115" s="15" t="s">
        <v>276</v>
      </c>
      <c r="D115" s="1">
        <v>114</v>
      </c>
      <c r="E115" s="3">
        <v>3</v>
      </c>
      <c r="F115" s="3">
        <v>1</v>
      </c>
      <c r="G115" s="3"/>
      <c r="H115" s="3">
        <v>29</v>
      </c>
      <c r="I115" s="3">
        <v>2</v>
      </c>
      <c r="J115" s="3"/>
      <c r="K115" s="18">
        <v>0</v>
      </c>
      <c r="L115" s="18">
        <v>1</v>
      </c>
      <c r="M115" s="18">
        <v>1</v>
      </c>
      <c r="N115" s="18">
        <v>1</v>
      </c>
      <c r="O115" s="18">
        <v>0</v>
      </c>
      <c r="P115" s="4">
        <v>0.6</v>
      </c>
      <c r="Q115" s="3">
        <v>64</v>
      </c>
      <c r="R115" s="3">
        <v>103</v>
      </c>
      <c r="S115" s="3">
        <v>108</v>
      </c>
      <c r="T115" s="3">
        <v>94</v>
      </c>
      <c r="U115" s="3">
        <v>83</v>
      </c>
      <c r="V115" s="3">
        <v>117</v>
      </c>
      <c r="W115" s="3">
        <v>120</v>
      </c>
      <c r="X115" s="3">
        <v>134</v>
      </c>
      <c r="Y115" s="3">
        <v>92</v>
      </c>
      <c r="Z115" s="3"/>
      <c r="AA115" s="3"/>
      <c r="AB115" s="3"/>
      <c r="AC115" s="3"/>
      <c r="AD115" s="3"/>
      <c r="AE115" s="3"/>
      <c r="AF115" s="3"/>
      <c r="AG115" s="3"/>
      <c r="AH115" s="3"/>
      <c r="AI115" s="4"/>
      <c r="AJ115" s="4"/>
      <c r="AK115" s="4"/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/>
      <c r="AY115"/>
      <c r="AZ115"/>
      <c r="BA115"/>
      <c r="BB115"/>
      <c r="BC115"/>
      <c r="BP115" s="4"/>
      <c r="BQ115" s="4"/>
      <c r="BR115" s="4"/>
      <c r="BS115" s="4"/>
      <c r="BT115" s="4"/>
      <c r="BU115" s="4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1">
        <v>7</v>
      </c>
      <c r="CJ115" s="1">
        <v>7</v>
      </c>
      <c r="CK115" s="1">
        <v>7</v>
      </c>
      <c r="CL115" s="1">
        <v>6</v>
      </c>
      <c r="CM115" s="1">
        <v>7</v>
      </c>
      <c r="CN115" s="1">
        <v>7</v>
      </c>
      <c r="CO115" s="1">
        <v>7</v>
      </c>
      <c r="CP115" s="1">
        <v>1</v>
      </c>
      <c r="CQ115" s="1">
        <v>7</v>
      </c>
      <c r="CR115" s="1">
        <v>7</v>
      </c>
      <c r="CS115" s="1">
        <v>7</v>
      </c>
      <c r="CT115" s="1">
        <v>7</v>
      </c>
      <c r="CU115" s="1">
        <v>7</v>
      </c>
      <c r="CV115" s="1">
        <v>7</v>
      </c>
      <c r="CW115" s="1">
        <v>7</v>
      </c>
      <c r="CX115" s="1">
        <v>7</v>
      </c>
      <c r="CY115" s="1">
        <v>7</v>
      </c>
      <c r="CZ115" s="1">
        <v>6</v>
      </c>
      <c r="DA115" s="1">
        <v>6</v>
      </c>
      <c r="DB115" s="1">
        <v>6</v>
      </c>
      <c r="DC115" s="1">
        <v>6</v>
      </c>
      <c r="DD115" s="1">
        <v>6</v>
      </c>
      <c r="DE115" s="1">
        <v>7</v>
      </c>
      <c r="DF115" s="1">
        <v>6</v>
      </c>
      <c r="DG115" s="1">
        <v>3</v>
      </c>
      <c r="DH115" s="1">
        <v>5</v>
      </c>
      <c r="DI115" s="1">
        <v>6</v>
      </c>
      <c r="DJ115" s="1">
        <v>3</v>
      </c>
      <c r="DK115" s="1">
        <v>1</v>
      </c>
      <c r="DL115" s="1">
        <v>6</v>
      </c>
      <c r="DM115" s="19">
        <v>7</v>
      </c>
      <c r="DN115" s="19">
        <v>1</v>
      </c>
      <c r="DO115" s="1">
        <v>1</v>
      </c>
      <c r="DP115" s="1">
        <v>7</v>
      </c>
      <c r="DQ115" s="1">
        <v>7</v>
      </c>
      <c r="DR115" s="1">
        <v>7</v>
      </c>
      <c r="DS115" s="1">
        <v>7</v>
      </c>
      <c r="DT115" s="1">
        <v>7</v>
      </c>
      <c r="DU115" s="27">
        <v>7</v>
      </c>
      <c r="DV115" s="27">
        <v>7</v>
      </c>
      <c r="DW115" s="27">
        <v>7</v>
      </c>
      <c r="DX115" s="27">
        <v>1</v>
      </c>
      <c r="DY115" s="27">
        <v>1</v>
      </c>
      <c r="DZ115" s="27">
        <v>1</v>
      </c>
      <c r="EA115" s="27">
        <v>1</v>
      </c>
      <c r="EB115" s="27">
        <v>1</v>
      </c>
      <c r="EC115" s="27">
        <v>7</v>
      </c>
      <c r="ED115" s="27">
        <v>7</v>
      </c>
      <c r="EE115" s="27">
        <v>1</v>
      </c>
      <c r="EF115" s="27">
        <v>1</v>
      </c>
      <c r="EG115" s="27">
        <v>7</v>
      </c>
      <c r="EH115" s="27">
        <v>7</v>
      </c>
      <c r="EI115" s="27">
        <v>7</v>
      </c>
      <c r="EJ115" s="27">
        <v>7</v>
      </c>
      <c r="EK115" s="27">
        <v>7</v>
      </c>
      <c r="EL115" s="27">
        <v>7</v>
      </c>
      <c r="EM115" s="27">
        <v>1</v>
      </c>
      <c r="EN115" s="27">
        <v>1</v>
      </c>
      <c r="EO115" s="27">
        <v>7</v>
      </c>
      <c r="EP115" s="27">
        <v>7</v>
      </c>
      <c r="EQ115" s="27">
        <v>7</v>
      </c>
      <c r="ER115" s="27">
        <v>7</v>
      </c>
      <c r="ES115" s="27">
        <v>7</v>
      </c>
      <c r="ET115" s="27">
        <v>7</v>
      </c>
      <c r="EU115" s="27">
        <v>7</v>
      </c>
      <c r="EV115" s="1">
        <v>18</v>
      </c>
      <c r="EW115" s="1">
        <v>2</v>
      </c>
      <c r="EY115" s="1">
        <v>1</v>
      </c>
      <c r="EZ115" s="9"/>
      <c r="FA115" s="1">
        <v>1</v>
      </c>
      <c r="FB115" s="9" t="s">
        <v>817</v>
      </c>
      <c r="FC115" s="1">
        <v>1</v>
      </c>
      <c r="FD115" s="1">
        <v>1</v>
      </c>
      <c r="FE115" s="4"/>
      <c r="FF115" s="4"/>
      <c r="FG115" s="4"/>
      <c r="FH115" s="4"/>
      <c r="FI115" s="4"/>
      <c r="FJ115" s="23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26"/>
      <c r="GF115" s="26"/>
      <c r="GG115" s="4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S115" s="3"/>
      <c r="HU115" s="3"/>
      <c r="HX115" s="3"/>
      <c r="IA115" s="3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6"/>
      <c r="JP115" s="6"/>
      <c r="JQ115" s="6"/>
      <c r="JR115" s="6"/>
      <c r="JS115" s="6"/>
      <c r="JT115" s="8"/>
      <c r="JU115" s="8"/>
      <c r="JV115" s="8"/>
      <c r="JW115" s="8"/>
      <c r="JX115" s="8"/>
      <c r="JY115" s="8"/>
      <c r="JZ115" s="8"/>
      <c r="KA115" s="8"/>
      <c r="KB115" s="8"/>
      <c r="KC115" s="6"/>
      <c r="KD115" s="6"/>
      <c r="KE115" s="6"/>
      <c r="KF115" s="6"/>
      <c r="KG115" s="6"/>
      <c r="KH115" s="6"/>
      <c r="KI115" s="6"/>
      <c r="KJ115" s="6"/>
      <c r="KK115" s="6"/>
      <c r="KL115" s="4"/>
      <c r="KM115" s="4"/>
      <c r="KN115" s="6"/>
      <c r="KO115" s="4"/>
      <c r="KP115" s="4"/>
      <c r="KQ115" s="6"/>
      <c r="KR115" s="6"/>
      <c r="KS115" s="4"/>
      <c r="KU115" s="4"/>
      <c r="KV115" s="4"/>
      <c r="KW115" s="4"/>
      <c r="KX115" s="6"/>
      <c r="KY115" s="6"/>
      <c r="KZ115" s="6"/>
      <c r="LA115" s="4"/>
      <c r="LB115" s="6"/>
      <c r="LC115" s="6"/>
      <c r="LD115" s="4"/>
      <c r="LE115" s="4"/>
      <c r="LF115" s="6"/>
      <c r="LG115" s="6"/>
      <c r="LH115" s="6"/>
      <c r="LI115" s="6"/>
      <c r="LJ115" s="6"/>
      <c r="LK115" s="6"/>
      <c r="LL115" s="6"/>
      <c r="LM115" s="6"/>
      <c r="LN115" s="6"/>
      <c r="LO115" s="6"/>
      <c r="LP115" s="6"/>
      <c r="LQ115" s="6"/>
      <c r="LR115" s="6"/>
      <c r="LS115" s="6"/>
      <c r="LT115" s="6"/>
      <c r="LU115" s="6"/>
      <c r="LV115" s="6"/>
      <c r="LW115" s="6"/>
      <c r="LX115" s="6"/>
      <c r="LY115" s="6"/>
      <c r="LZ115" s="6"/>
      <c r="MA115" s="6"/>
      <c r="MB115" s="6"/>
      <c r="MC115" s="6"/>
      <c r="MD115" s="6"/>
      <c r="ME115" s="6"/>
      <c r="MF115" s="6"/>
      <c r="MG115" s="6"/>
      <c r="MH115" s="6"/>
      <c r="MI115" s="6"/>
      <c r="MJ115" s="6"/>
      <c r="MK115" s="6"/>
      <c r="ML115" s="6"/>
      <c r="MM115" s="6"/>
      <c r="MN115" s="6"/>
      <c r="MO115" s="6"/>
      <c r="MP115" s="6"/>
      <c r="MQ115" s="6"/>
      <c r="MR115" s="6"/>
      <c r="MS115" s="6"/>
      <c r="MT115" s="6"/>
      <c r="MU115" s="6"/>
      <c r="MV115" s="6"/>
      <c r="MW115" s="6"/>
      <c r="MX115" s="6"/>
      <c r="MY115" s="6"/>
      <c r="MZ115" s="6"/>
      <c r="NA115" s="6"/>
      <c r="NB115" s="6"/>
      <c r="NC115" s="6"/>
      <c r="ND115" s="6"/>
      <c r="NE115" s="6"/>
      <c r="NF115" s="6"/>
      <c r="NG115" s="6"/>
      <c r="NH115" s="6"/>
      <c r="NI115" s="6"/>
      <c r="NJ115" s="4"/>
    </row>
    <row r="116" spans="1:374" s="1" customFormat="1" x14ac:dyDescent="0.35">
      <c r="A116" s="2">
        <v>43355</v>
      </c>
      <c r="B116" s="15" t="s">
        <v>117</v>
      </c>
      <c r="C116" s="15" t="s">
        <v>277</v>
      </c>
      <c r="D116" s="1">
        <v>115</v>
      </c>
      <c r="E116" s="3">
        <v>3</v>
      </c>
      <c r="F116" s="3">
        <v>1</v>
      </c>
      <c r="G116" s="3"/>
      <c r="H116" s="3">
        <v>29</v>
      </c>
      <c r="I116" s="3">
        <v>3</v>
      </c>
      <c r="J116" s="3"/>
      <c r="K116" s="18">
        <v>0</v>
      </c>
      <c r="L116" s="18">
        <v>0</v>
      </c>
      <c r="M116" s="18">
        <v>1</v>
      </c>
      <c r="N116" s="18">
        <v>1</v>
      </c>
      <c r="O116" s="18">
        <v>0</v>
      </c>
      <c r="P116" s="4">
        <v>0.4</v>
      </c>
      <c r="Q116" s="3">
        <v>75</v>
      </c>
      <c r="R116" s="3">
        <v>86</v>
      </c>
      <c r="S116" s="3">
        <v>106</v>
      </c>
      <c r="T116" s="3">
        <v>105</v>
      </c>
      <c r="U116" s="3">
        <v>102</v>
      </c>
      <c r="V116" s="3">
        <v>111</v>
      </c>
      <c r="W116" s="3">
        <v>118</v>
      </c>
      <c r="X116" s="3">
        <v>118</v>
      </c>
      <c r="Y116" s="3">
        <v>97</v>
      </c>
      <c r="Z116" s="3"/>
      <c r="AA116" s="3"/>
      <c r="AB116" s="3"/>
      <c r="AC116" s="3"/>
      <c r="AD116" s="3"/>
      <c r="AE116" s="3"/>
      <c r="AF116" s="3"/>
      <c r="AG116" s="3"/>
      <c r="AH116" s="3"/>
      <c r="AI116" s="4"/>
      <c r="AJ116" s="4"/>
      <c r="AK116" s="4"/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9">
        <v>0</v>
      </c>
      <c r="AT116" s="19">
        <v>0</v>
      </c>
      <c r="AU116" s="19">
        <v>0</v>
      </c>
      <c r="AV116" s="19">
        <v>0</v>
      </c>
      <c r="AW116" s="19">
        <v>0</v>
      </c>
      <c r="AX116" s="19"/>
      <c r="AY116"/>
      <c r="AZ116"/>
      <c r="BA116"/>
      <c r="BB116"/>
      <c r="BC116"/>
      <c r="BP116" s="4"/>
      <c r="BQ116" s="4"/>
      <c r="BR116" s="4"/>
      <c r="BS116" s="4"/>
      <c r="BT116" s="4"/>
      <c r="BU116" s="4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1">
        <v>7</v>
      </c>
      <c r="CJ116" s="1">
        <v>7</v>
      </c>
      <c r="CK116" s="1">
        <v>7</v>
      </c>
      <c r="CL116" s="1">
        <v>7</v>
      </c>
      <c r="CM116" s="1">
        <v>7</v>
      </c>
      <c r="CN116" s="1">
        <v>7</v>
      </c>
      <c r="CO116" s="1">
        <v>7</v>
      </c>
      <c r="CP116" s="1">
        <v>1</v>
      </c>
      <c r="CQ116" s="1">
        <v>7</v>
      </c>
      <c r="CR116" s="1">
        <v>7</v>
      </c>
      <c r="CS116" s="1">
        <v>7</v>
      </c>
      <c r="CT116" s="1">
        <v>7</v>
      </c>
      <c r="CU116" s="1">
        <v>7</v>
      </c>
      <c r="CV116" s="1">
        <v>7</v>
      </c>
      <c r="CW116" s="1">
        <v>7</v>
      </c>
      <c r="CX116" s="1">
        <v>7</v>
      </c>
      <c r="CY116" s="1">
        <v>7</v>
      </c>
      <c r="CZ116" s="1">
        <v>7</v>
      </c>
      <c r="DA116" s="1">
        <v>7</v>
      </c>
      <c r="DB116" s="1">
        <v>7</v>
      </c>
      <c r="DC116" s="1">
        <v>6</v>
      </c>
      <c r="DD116" s="1">
        <v>5</v>
      </c>
      <c r="DE116" s="1">
        <v>6</v>
      </c>
      <c r="DF116" s="1">
        <v>7</v>
      </c>
      <c r="DG116" s="1">
        <v>4</v>
      </c>
      <c r="DH116" s="1">
        <v>5</v>
      </c>
      <c r="DI116" s="1">
        <v>6</v>
      </c>
      <c r="DJ116" s="1">
        <v>3</v>
      </c>
      <c r="DK116" s="1">
        <v>5</v>
      </c>
      <c r="DL116" s="1">
        <v>7</v>
      </c>
      <c r="DM116" s="19">
        <v>6</v>
      </c>
      <c r="DN116" s="19">
        <v>7</v>
      </c>
      <c r="DO116" s="1">
        <v>6</v>
      </c>
      <c r="DP116" s="1">
        <v>5</v>
      </c>
      <c r="DQ116" s="1">
        <v>7</v>
      </c>
      <c r="DR116" s="1">
        <v>7</v>
      </c>
      <c r="DS116" s="1">
        <v>7</v>
      </c>
      <c r="DT116" s="1">
        <v>7</v>
      </c>
      <c r="DU116" s="27">
        <v>7</v>
      </c>
      <c r="DV116" s="27">
        <v>7</v>
      </c>
      <c r="DW116" s="27">
        <v>5</v>
      </c>
      <c r="DX116" s="27">
        <v>7</v>
      </c>
      <c r="DY116" s="27">
        <v>4</v>
      </c>
      <c r="DZ116" s="27">
        <v>4</v>
      </c>
      <c r="EA116" s="27">
        <v>4</v>
      </c>
      <c r="EB116" s="27">
        <v>7</v>
      </c>
      <c r="EC116" s="27">
        <v>7</v>
      </c>
      <c r="ED116" s="27">
        <v>7</v>
      </c>
      <c r="EE116" s="27">
        <v>4</v>
      </c>
      <c r="EF116" s="27">
        <v>1</v>
      </c>
      <c r="EG116" s="27">
        <v>7</v>
      </c>
      <c r="EH116" s="27">
        <v>7</v>
      </c>
      <c r="EI116" s="27">
        <v>7</v>
      </c>
      <c r="EJ116" s="27">
        <v>7</v>
      </c>
      <c r="EK116" s="27">
        <v>7</v>
      </c>
      <c r="EL116" s="27">
        <v>7</v>
      </c>
      <c r="EM116" s="27">
        <v>1</v>
      </c>
      <c r="EN116" s="27">
        <v>2</v>
      </c>
      <c r="EO116" s="27">
        <v>7</v>
      </c>
      <c r="EP116" s="27">
        <v>7</v>
      </c>
      <c r="EQ116" s="27">
        <v>6</v>
      </c>
      <c r="ER116" s="27">
        <v>7</v>
      </c>
      <c r="ES116" s="27">
        <v>7</v>
      </c>
      <c r="ET116" s="27">
        <v>4</v>
      </c>
      <c r="EU116" s="27">
        <v>4</v>
      </c>
      <c r="EV116" s="1">
        <v>19</v>
      </c>
      <c r="EW116" s="1">
        <v>2</v>
      </c>
      <c r="EY116" s="1">
        <v>1</v>
      </c>
      <c r="EZ116" s="9"/>
      <c r="FA116" s="1">
        <v>2</v>
      </c>
      <c r="FB116" s="9" t="s">
        <v>821</v>
      </c>
      <c r="FC116" s="1">
        <v>1</v>
      </c>
      <c r="FD116" s="1">
        <v>8</v>
      </c>
      <c r="FE116" s="4"/>
      <c r="FF116" s="4"/>
      <c r="FG116" s="4"/>
      <c r="FH116" s="4"/>
      <c r="FI116" s="4"/>
      <c r="FJ116" s="23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26"/>
      <c r="GF116" s="26"/>
      <c r="GG116" s="4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S116" s="3"/>
      <c r="HU116" s="3"/>
      <c r="HX116" s="3"/>
      <c r="IA116" s="3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6"/>
      <c r="JP116" s="6"/>
      <c r="JQ116" s="6"/>
      <c r="JR116" s="6"/>
      <c r="JS116" s="6"/>
      <c r="JT116" s="8"/>
      <c r="JU116" s="8"/>
      <c r="JV116" s="8"/>
      <c r="JW116" s="8"/>
      <c r="JX116" s="8"/>
      <c r="JY116" s="8"/>
      <c r="JZ116" s="8"/>
      <c r="KA116" s="8"/>
      <c r="KB116" s="8"/>
      <c r="KC116" s="6"/>
      <c r="KD116" s="6"/>
      <c r="KE116" s="6"/>
      <c r="KF116" s="6"/>
      <c r="KG116" s="6"/>
      <c r="KH116" s="6"/>
      <c r="KI116" s="6"/>
      <c r="KJ116" s="6"/>
      <c r="KK116" s="6"/>
      <c r="KL116" s="4"/>
      <c r="KM116" s="4"/>
      <c r="KN116" s="6"/>
      <c r="KO116" s="4"/>
      <c r="KP116" s="4"/>
      <c r="KQ116" s="6"/>
      <c r="KR116" s="6"/>
      <c r="KS116" s="4"/>
      <c r="KU116" s="4"/>
      <c r="KV116" s="4"/>
      <c r="KW116" s="4"/>
      <c r="KX116" s="6"/>
      <c r="KY116" s="6"/>
      <c r="KZ116" s="6"/>
      <c r="LA116" s="4"/>
      <c r="LB116" s="6"/>
      <c r="LC116" s="6"/>
      <c r="LD116" s="4"/>
      <c r="LE116" s="4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/>
      <c r="MB116" s="6"/>
      <c r="MC116" s="6"/>
      <c r="MD116" s="6"/>
      <c r="ME116" s="6"/>
      <c r="MF116" s="6"/>
      <c r="MG116" s="6"/>
      <c r="MH116" s="6"/>
      <c r="MI116" s="6"/>
      <c r="MJ116" s="6"/>
      <c r="MK116" s="6"/>
      <c r="ML116" s="6"/>
      <c r="MM116" s="6"/>
      <c r="MN116" s="6"/>
      <c r="MO116" s="6"/>
      <c r="MP116" s="6"/>
      <c r="MQ116" s="6"/>
      <c r="MR116" s="6"/>
      <c r="MS116" s="6"/>
      <c r="MT116" s="6"/>
      <c r="MU116" s="6"/>
      <c r="MV116" s="6"/>
      <c r="MW116" s="6"/>
      <c r="MX116" s="6"/>
      <c r="MY116" s="6"/>
      <c r="MZ116" s="6"/>
      <c r="NA116" s="6"/>
      <c r="NB116" s="6"/>
      <c r="NC116" s="6"/>
      <c r="ND116" s="6"/>
      <c r="NE116" s="6"/>
      <c r="NF116" s="6"/>
      <c r="NG116" s="6"/>
      <c r="NH116" s="6"/>
      <c r="NI116" s="6"/>
      <c r="NJ116" s="4"/>
    </row>
    <row r="117" spans="1:374" s="1" customFormat="1" x14ac:dyDescent="0.35">
      <c r="A117" s="2">
        <v>43355</v>
      </c>
      <c r="B117" s="15" t="s">
        <v>117</v>
      </c>
      <c r="C117" s="15" t="s">
        <v>278</v>
      </c>
      <c r="D117" s="1">
        <v>116</v>
      </c>
      <c r="E117" s="3">
        <v>3</v>
      </c>
      <c r="F117" s="3">
        <v>1</v>
      </c>
      <c r="G117" s="3"/>
      <c r="H117" s="3">
        <v>29</v>
      </c>
      <c r="I117" s="3">
        <v>4</v>
      </c>
      <c r="J117" s="3"/>
      <c r="K117" s="18">
        <v>0</v>
      </c>
      <c r="L117" s="18">
        <v>1</v>
      </c>
      <c r="M117" s="18">
        <v>1</v>
      </c>
      <c r="N117" s="18">
        <v>1</v>
      </c>
      <c r="O117" s="18">
        <v>1</v>
      </c>
      <c r="P117" s="4">
        <v>0.8</v>
      </c>
      <c r="Q117" s="3">
        <v>35</v>
      </c>
      <c r="R117" s="3">
        <v>55</v>
      </c>
      <c r="S117" s="3">
        <v>93</v>
      </c>
      <c r="T117" s="3">
        <v>119</v>
      </c>
      <c r="U117" s="3">
        <v>148</v>
      </c>
      <c r="V117" s="3">
        <v>134</v>
      </c>
      <c r="W117" s="3">
        <v>125</v>
      </c>
      <c r="X117" s="3">
        <v>111</v>
      </c>
      <c r="Y117" s="3">
        <v>103</v>
      </c>
      <c r="Z117" s="3"/>
      <c r="AA117" s="3"/>
      <c r="AB117" s="3"/>
      <c r="AC117" s="3"/>
      <c r="AD117" s="3"/>
      <c r="AE117" s="3"/>
      <c r="AF117" s="3"/>
      <c r="AG117" s="3"/>
      <c r="AH117" s="3"/>
      <c r="AI117" s="4"/>
      <c r="AJ117" s="4"/>
      <c r="AK117" s="4"/>
      <c r="AL117" s="1">
        <v>0</v>
      </c>
      <c r="AM117" s="1">
        <v>1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9">
        <v>0</v>
      </c>
      <c r="AT117" s="19">
        <v>0</v>
      </c>
      <c r="AU117" s="19">
        <v>0</v>
      </c>
      <c r="AV117" s="19">
        <v>0</v>
      </c>
      <c r="AW117" s="19">
        <v>0</v>
      </c>
      <c r="AX117" s="19"/>
      <c r="AY117"/>
      <c r="AZ117"/>
      <c r="BA117"/>
      <c r="BB117"/>
      <c r="BC117"/>
      <c r="BP117" s="4"/>
      <c r="BQ117" s="4"/>
      <c r="BR117" s="4"/>
      <c r="BS117" s="4"/>
      <c r="BT117" s="4"/>
      <c r="BU117" s="4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1">
        <v>7</v>
      </c>
      <c r="CJ117" s="1">
        <v>7</v>
      </c>
      <c r="CK117" s="1">
        <v>7</v>
      </c>
      <c r="CL117" s="1">
        <v>7</v>
      </c>
      <c r="CM117" s="1">
        <v>7</v>
      </c>
      <c r="CN117" s="1">
        <v>7</v>
      </c>
      <c r="CO117" s="1">
        <v>7</v>
      </c>
      <c r="CP117" s="1">
        <v>1</v>
      </c>
      <c r="CQ117" s="1">
        <v>7</v>
      </c>
      <c r="CR117" s="1">
        <v>7</v>
      </c>
      <c r="CS117" s="1">
        <v>7</v>
      </c>
      <c r="CT117" s="1">
        <v>7</v>
      </c>
      <c r="CU117" s="1">
        <v>7</v>
      </c>
      <c r="CV117" s="1">
        <v>7</v>
      </c>
      <c r="CW117" s="1">
        <v>7</v>
      </c>
      <c r="CX117" s="1">
        <v>7</v>
      </c>
      <c r="CY117" s="1">
        <v>7</v>
      </c>
      <c r="CZ117" s="1">
        <v>7</v>
      </c>
      <c r="DA117" s="1">
        <v>7</v>
      </c>
      <c r="DB117" s="1">
        <v>7</v>
      </c>
      <c r="DC117" s="1">
        <v>7</v>
      </c>
      <c r="DD117" s="1">
        <v>7</v>
      </c>
      <c r="DE117" s="1">
        <v>7</v>
      </c>
      <c r="DF117" s="1">
        <v>1</v>
      </c>
      <c r="DG117" s="1">
        <v>1</v>
      </c>
      <c r="DH117" s="1">
        <v>1</v>
      </c>
      <c r="DI117" s="1">
        <v>1</v>
      </c>
      <c r="DJ117" s="1">
        <v>1</v>
      </c>
      <c r="DK117" s="1">
        <v>4</v>
      </c>
      <c r="DL117" s="1">
        <v>7</v>
      </c>
      <c r="DM117" s="19">
        <v>7</v>
      </c>
      <c r="DN117" s="19">
        <v>1</v>
      </c>
      <c r="DO117" s="1">
        <v>1</v>
      </c>
      <c r="DP117" s="1">
        <v>7</v>
      </c>
      <c r="DQ117" s="1">
        <v>7</v>
      </c>
      <c r="DR117" s="1">
        <v>7</v>
      </c>
      <c r="DS117" s="1">
        <v>7</v>
      </c>
      <c r="DT117" s="1">
        <v>7</v>
      </c>
      <c r="DU117" s="27">
        <v>7</v>
      </c>
      <c r="DV117" s="27">
        <v>7</v>
      </c>
      <c r="DW117" s="27">
        <v>4</v>
      </c>
      <c r="DX117" s="27">
        <v>4</v>
      </c>
      <c r="DY117" s="27">
        <v>4</v>
      </c>
      <c r="DZ117" s="27">
        <v>4</v>
      </c>
      <c r="EA117" s="27">
        <v>1</v>
      </c>
      <c r="EB117" s="27">
        <v>4</v>
      </c>
      <c r="EC117" s="27">
        <v>4</v>
      </c>
      <c r="ED117" s="27">
        <v>7</v>
      </c>
      <c r="EE117" s="27">
        <v>7</v>
      </c>
      <c r="EF117" s="27">
        <v>4</v>
      </c>
      <c r="EG117" s="27">
        <v>4</v>
      </c>
      <c r="EH117" s="27">
        <v>4</v>
      </c>
      <c r="EI117" s="27">
        <v>4</v>
      </c>
      <c r="EJ117" s="27">
        <v>1</v>
      </c>
      <c r="EK117" s="27">
        <v>1</v>
      </c>
      <c r="EL117" s="27">
        <v>1</v>
      </c>
      <c r="EM117" s="27">
        <v>1</v>
      </c>
      <c r="EN117" s="27">
        <v>1</v>
      </c>
      <c r="EO117" s="27">
        <v>7</v>
      </c>
      <c r="EP117" s="27">
        <v>7</v>
      </c>
      <c r="EQ117" s="27">
        <v>7</v>
      </c>
      <c r="ER117" s="27">
        <v>1</v>
      </c>
      <c r="ES117" s="27">
        <v>1</v>
      </c>
      <c r="ET117" s="27">
        <v>4</v>
      </c>
      <c r="EU117" s="27">
        <v>4</v>
      </c>
      <c r="EV117" s="1">
        <v>18</v>
      </c>
      <c r="EW117" s="1">
        <v>1</v>
      </c>
      <c r="EY117" s="1">
        <v>3</v>
      </c>
      <c r="EZ117" s="9"/>
      <c r="FA117" s="1">
        <v>1</v>
      </c>
      <c r="FB117" s="9" t="s">
        <v>855</v>
      </c>
      <c r="FC117" s="1">
        <v>1</v>
      </c>
      <c r="FD117" s="1">
        <v>1</v>
      </c>
      <c r="FE117" s="4"/>
      <c r="FF117" s="4"/>
      <c r="FG117" s="4"/>
      <c r="FH117" s="4"/>
      <c r="FI117" s="4"/>
      <c r="FJ117" s="23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26"/>
      <c r="GF117" s="26"/>
      <c r="GG117" s="4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S117" s="3"/>
      <c r="HU117" s="3"/>
      <c r="HX117" s="3"/>
      <c r="IA117" s="3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6"/>
      <c r="JP117" s="6"/>
      <c r="JQ117" s="6"/>
      <c r="JR117" s="6"/>
      <c r="JS117" s="6"/>
      <c r="JT117" s="8"/>
      <c r="JU117" s="8"/>
      <c r="JV117" s="8"/>
      <c r="JW117" s="8"/>
      <c r="JX117" s="8"/>
      <c r="JY117" s="8"/>
      <c r="JZ117" s="8"/>
      <c r="KA117" s="8"/>
      <c r="KB117" s="8"/>
      <c r="KC117" s="6"/>
      <c r="KD117" s="6"/>
      <c r="KE117" s="6"/>
      <c r="KF117" s="6"/>
      <c r="KG117" s="6"/>
      <c r="KH117" s="6"/>
      <c r="KI117" s="6"/>
      <c r="KJ117" s="6"/>
      <c r="KK117" s="6"/>
      <c r="KL117" s="4"/>
      <c r="KM117" s="4"/>
      <c r="KN117" s="6"/>
      <c r="KO117" s="4"/>
      <c r="KP117" s="4"/>
      <c r="KQ117" s="6"/>
      <c r="KR117" s="6"/>
      <c r="KS117" s="4"/>
      <c r="KU117" s="4"/>
      <c r="KV117" s="4"/>
      <c r="KW117" s="4"/>
      <c r="KX117" s="6"/>
      <c r="KY117" s="6"/>
      <c r="KZ117" s="6"/>
      <c r="LA117" s="4"/>
      <c r="LB117" s="6"/>
      <c r="LC117" s="6"/>
      <c r="LD117" s="4"/>
      <c r="LE117" s="4"/>
      <c r="LF117" s="6"/>
      <c r="LG117" s="6"/>
      <c r="LH117" s="6"/>
      <c r="LI117" s="6"/>
      <c r="LJ117" s="6"/>
      <c r="LK117" s="6"/>
      <c r="LL117" s="6"/>
      <c r="LM117" s="6"/>
      <c r="LN117" s="6"/>
      <c r="LO117" s="6"/>
      <c r="LP117" s="6"/>
      <c r="LQ117" s="6"/>
      <c r="LR117" s="6"/>
      <c r="LS117" s="6"/>
      <c r="LT117" s="6"/>
      <c r="LU117" s="6"/>
      <c r="LV117" s="6"/>
      <c r="LW117" s="6"/>
      <c r="LX117" s="6"/>
      <c r="LY117" s="6"/>
      <c r="LZ117" s="6"/>
      <c r="MA117" s="6"/>
      <c r="MB117" s="6"/>
      <c r="MC117" s="6"/>
      <c r="MD117" s="6"/>
      <c r="ME117" s="6"/>
      <c r="MF117" s="6"/>
      <c r="MG117" s="6"/>
      <c r="MH117" s="6"/>
      <c r="MI117" s="6"/>
      <c r="MJ117" s="6"/>
      <c r="MK117" s="6"/>
      <c r="ML117" s="6"/>
      <c r="MM117" s="6"/>
      <c r="MN117" s="6"/>
      <c r="MO117" s="6"/>
      <c r="MP117" s="6"/>
      <c r="MQ117" s="6"/>
      <c r="MR117" s="6"/>
      <c r="MS117" s="6"/>
      <c r="MT117" s="6"/>
      <c r="MU117" s="6"/>
      <c r="MV117" s="6"/>
      <c r="MW117" s="6"/>
      <c r="MX117" s="6"/>
      <c r="MY117" s="6"/>
      <c r="MZ117" s="6"/>
      <c r="NA117" s="6"/>
      <c r="NB117" s="6"/>
      <c r="NC117" s="6"/>
      <c r="ND117" s="6"/>
      <c r="NE117" s="6"/>
      <c r="NF117" s="6"/>
      <c r="NG117" s="6"/>
      <c r="NH117" s="6"/>
      <c r="NI117" s="6"/>
      <c r="NJ117" s="4"/>
    </row>
    <row r="118" spans="1:374" s="1" customFormat="1" x14ac:dyDescent="0.35">
      <c r="A118" s="2">
        <v>43355</v>
      </c>
      <c r="B118" s="15" t="s">
        <v>118</v>
      </c>
      <c r="C118" s="15" t="s">
        <v>279</v>
      </c>
      <c r="D118" s="1">
        <v>117</v>
      </c>
      <c r="E118" s="3">
        <v>3</v>
      </c>
      <c r="F118" s="3">
        <v>1</v>
      </c>
      <c r="G118" s="3">
        <v>0</v>
      </c>
      <c r="H118" s="3">
        <v>30</v>
      </c>
      <c r="I118" s="3">
        <v>1</v>
      </c>
      <c r="J118" s="3">
        <v>1</v>
      </c>
      <c r="K118" s="18">
        <v>0</v>
      </c>
      <c r="L118" s="18">
        <v>1</v>
      </c>
      <c r="M118" s="18">
        <v>1</v>
      </c>
      <c r="N118" s="18">
        <v>1</v>
      </c>
      <c r="O118" s="18">
        <v>1</v>
      </c>
      <c r="P118" s="4">
        <v>0.8</v>
      </c>
      <c r="Q118" s="3">
        <v>68</v>
      </c>
      <c r="R118" s="3">
        <v>114</v>
      </c>
      <c r="S118" s="3">
        <v>96</v>
      </c>
      <c r="T118" s="3">
        <v>103</v>
      </c>
      <c r="U118" s="3">
        <v>124</v>
      </c>
      <c r="V118" s="3">
        <v>118</v>
      </c>
      <c r="W118" s="3">
        <v>75</v>
      </c>
      <c r="X118" s="3">
        <v>96</v>
      </c>
      <c r="Y118" s="3">
        <v>103</v>
      </c>
      <c r="Z118" s="3">
        <v>265</v>
      </c>
      <c r="AA118" s="3">
        <v>376</v>
      </c>
      <c r="AB118" s="3">
        <v>404</v>
      </c>
      <c r="AC118" s="3">
        <v>400</v>
      </c>
      <c r="AD118" s="3">
        <v>427</v>
      </c>
      <c r="AE118" s="3">
        <v>412</v>
      </c>
      <c r="AF118" s="3">
        <v>366</v>
      </c>
      <c r="AG118" s="3">
        <v>348</v>
      </c>
      <c r="AH118" s="3">
        <v>340</v>
      </c>
      <c r="AI118" s="4">
        <v>348.33</v>
      </c>
      <c r="AJ118" s="4">
        <v>413</v>
      </c>
      <c r="AK118" s="4">
        <v>351.33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9">
        <v>0</v>
      </c>
      <c r="AT118" s="19">
        <v>0</v>
      </c>
      <c r="AU118" s="19">
        <v>0</v>
      </c>
      <c r="AV118" s="19">
        <v>0</v>
      </c>
      <c r="AW118" s="19">
        <v>0</v>
      </c>
      <c r="AX118" s="19">
        <f t="shared" ref="AX118:BC118" si="58">AL118+AL119+AL120+AL121</f>
        <v>0</v>
      </c>
      <c r="AY118" s="19">
        <f t="shared" si="58"/>
        <v>0</v>
      </c>
      <c r="AZ118" s="19">
        <f t="shared" si="58"/>
        <v>0</v>
      </c>
      <c r="BA118" s="19">
        <f t="shared" si="58"/>
        <v>0</v>
      </c>
      <c r="BB118" s="19">
        <f t="shared" si="58"/>
        <v>0</v>
      </c>
      <c r="BC118" s="19">
        <f t="shared" si="58"/>
        <v>0</v>
      </c>
      <c r="BD118" s="1">
        <f>AX118*3</f>
        <v>0</v>
      </c>
      <c r="BE118" s="1">
        <f t="shared" ref="BE118:BI118" si="59">AY118*3</f>
        <v>0</v>
      </c>
      <c r="BF118" s="1">
        <f t="shared" si="59"/>
        <v>0</v>
      </c>
      <c r="BG118" s="1">
        <f t="shared" si="59"/>
        <v>0</v>
      </c>
      <c r="BH118" s="1">
        <f t="shared" si="59"/>
        <v>0</v>
      </c>
      <c r="BI118" s="1">
        <f t="shared" si="59"/>
        <v>0</v>
      </c>
      <c r="BJ118" s="1">
        <f>AX118+AY118+AZ118</f>
        <v>0</v>
      </c>
      <c r="BK118" s="1">
        <f>BA118+BB118+BC118</f>
        <v>0</v>
      </c>
      <c r="BL118" s="1">
        <f>BJ118*3</f>
        <v>0</v>
      </c>
      <c r="BM118" s="1">
        <f>BK118*3</f>
        <v>0</v>
      </c>
      <c r="BN118" s="1">
        <f>BL118/3</f>
        <v>0</v>
      </c>
      <c r="BO118" s="1">
        <f>BM118/3</f>
        <v>0</v>
      </c>
      <c r="BP118" s="4">
        <v>348.33333333333331</v>
      </c>
      <c r="BQ118" s="4">
        <v>413</v>
      </c>
      <c r="BR118" s="4">
        <v>351.33333333333331</v>
      </c>
      <c r="BS118" s="4">
        <v>348.33</v>
      </c>
      <c r="BT118" s="4">
        <v>413</v>
      </c>
      <c r="BU118" s="4">
        <v>3.5</v>
      </c>
      <c r="BV118" s="3">
        <v>0</v>
      </c>
      <c r="BW118" s="3">
        <v>4</v>
      </c>
      <c r="BX118" s="3">
        <v>4</v>
      </c>
      <c r="BY118" s="3">
        <v>4</v>
      </c>
      <c r="BZ118" s="3">
        <v>1</v>
      </c>
      <c r="CA118" s="3">
        <v>1</v>
      </c>
      <c r="CB118" s="3">
        <v>1</v>
      </c>
      <c r="CC118" s="3">
        <v>1</v>
      </c>
      <c r="CD118" s="3">
        <v>1</v>
      </c>
      <c r="CE118" s="3">
        <v>1</v>
      </c>
      <c r="CF118" s="3">
        <v>1</v>
      </c>
      <c r="CG118" s="3">
        <v>1</v>
      </c>
      <c r="CH118" s="3">
        <v>0</v>
      </c>
      <c r="CI118" s="1">
        <v>6</v>
      </c>
      <c r="CJ118" s="1">
        <v>6</v>
      </c>
      <c r="CK118" s="1">
        <v>6</v>
      </c>
      <c r="CL118" s="1">
        <v>6</v>
      </c>
      <c r="CM118" s="1">
        <v>6</v>
      </c>
      <c r="CN118" s="1">
        <v>6</v>
      </c>
      <c r="CO118" s="1">
        <v>6</v>
      </c>
      <c r="CP118" s="1">
        <v>2</v>
      </c>
      <c r="CQ118" s="1">
        <v>6</v>
      </c>
      <c r="CR118" s="1">
        <v>6</v>
      </c>
      <c r="CS118" s="1">
        <v>6</v>
      </c>
      <c r="CT118" s="1">
        <v>6</v>
      </c>
      <c r="CU118" s="1">
        <v>6</v>
      </c>
      <c r="CV118" s="1">
        <v>6</v>
      </c>
      <c r="CW118" s="1">
        <v>6</v>
      </c>
      <c r="CX118" s="1">
        <v>6</v>
      </c>
      <c r="CY118" s="1">
        <v>6</v>
      </c>
      <c r="CZ118" s="1">
        <v>6</v>
      </c>
      <c r="DA118" s="1">
        <v>6</v>
      </c>
      <c r="DB118" s="1">
        <v>6</v>
      </c>
      <c r="DC118" s="1">
        <v>6</v>
      </c>
      <c r="DD118" s="1">
        <v>6</v>
      </c>
      <c r="DE118" s="1">
        <v>6</v>
      </c>
      <c r="DF118" s="1">
        <v>5</v>
      </c>
      <c r="DG118" s="1">
        <v>2</v>
      </c>
      <c r="DH118" s="1">
        <v>6</v>
      </c>
      <c r="DI118" s="1">
        <v>6</v>
      </c>
      <c r="DJ118" s="1">
        <v>6</v>
      </c>
      <c r="DK118" s="1">
        <v>6</v>
      </c>
      <c r="DL118" s="1">
        <v>6</v>
      </c>
      <c r="DM118" s="19">
        <v>6</v>
      </c>
      <c r="DN118" s="19">
        <v>5</v>
      </c>
      <c r="DO118" s="1">
        <v>6</v>
      </c>
      <c r="DP118" s="1">
        <v>6</v>
      </c>
      <c r="DQ118" s="1">
        <v>6</v>
      </c>
      <c r="DR118" s="1">
        <v>6</v>
      </c>
      <c r="DS118" s="1">
        <v>6</v>
      </c>
      <c r="DT118" s="1">
        <v>6</v>
      </c>
      <c r="DU118" s="27">
        <v>4</v>
      </c>
      <c r="DV118" s="27">
        <v>7</v>
      </c>
      <c r="DW118" s="27">
        <v>4</v>
      </c>
      <c r="DX118" s="27">
        <v>4</v>
      </c>
      <c r="DY118" s="27">
        <v>4</v>
      </c>
      <c r="DZ118" s="27">
        <v>4</v>
      </c>
      <c r="EA118" s="27">
        <v>4</v>
      </c>
      <c r="EB118" s="27">
        <v>4</v>
      </c>
      <c r="EC118" s="27">
        <v>4</v>
      </c>
      <c r="ED118" s="27">
        <v>4</v>
      </c>
      <c r="EE118" s="27">
        <v>6</v>
      </c>
      <c r="EF118" s="27">
        <v>4</v>
      </c>
      <c r="EG118" s="27">
        <v>4</v>
      </c>
      <c r="EH118" s="27">
        <v>4</v>
      </c>
      <c r="EI118" s="27">
        <v>4</v>
      </c>
      <c r="EJ118" s="27">
        <v>4</v>
      </c>
      <c r="EK118" s="27">
        <v>4</v>
      </c>
      <c r="EL118" s="27">
        <v>4</v>
      </c>
      <c r="EM118" s="27">
        <v>4</v>
      </c>
      <c r="EN118" s="27">
        <v>4</v>
      </c>
      <c r="EO118" s="27">
        <v>6</v>
      </c>
      <c r="EP118" s="27">
        <v>4</v>
      </c>
      <c r="EQ118" s="27">
        <v>4</v>
      </c>
      <c r="ER118" s="27">
        <v>4</v>
      </c>
      <c r="ES118" s="27">
        <v>4</v>
      </c>
      <c r="ET118" s="27">
        <v>4</v>
      </c>
      <c r="EU118" s="27">
        <v>4</v>
      </c>
      <c r="EV118" s="1">
        <v>25</v>
      </c>
      <c r="EW118" s="1">
        <v>1</v>
      </c>
      <c r="EY118" s="1">
        <v>1</v>
      </c>
      <c r="EZ118" s="9"/>
      <c r="FA118" s="1">
        <v>1</v>
      </c>
      <c r="FB118" s="9" t="s">
        <v>856</v>
      </c>
      <c r="FC118" s="1">
        <v>0</v>
      </c>
      <c r="FD118" s="1">
        <v>6</v>
      </c>
      <c r="FE118" s="4">
        <v>6.25</v>
      </c>
      <c r="FF118" s="4">
        <v>6</v>
      </c>
      <c r="FG118" s="4">
        <v>7.31</v>
      </c>
      <c r="FH118" s="4">
        <v>6.5</v>
      </c>
      <c r="FI118" s="4">
        <v>6</v>
      </c>
      <c r="FJ118" s="23">
        <v>6.25</v>
      </c>
      <c r="FK118" s="4">
        <v>5</v>
      </c>
      <c r="FL118" s="4">
        <v>6.38</v>
      </c>
      <c r="FM118" s="4">
        <v>5.63</v>
      </c>
      <c r="FN118" s="4">
        <v>5.25</v>
      </c>
      <c r="FO118" s="4">
        <v>5.58</v>
      </c>
      <c r="FP118" s="4">
        <v>5.92</v>
      </c>
      <c r="FQ118" s="4">
        <v>4.25</v>
      </c>
      <c r="FR118" s="4">
        <v>2.75</v>
      </c>
      <c r="FS118" s="4">
        <v>3.5</v>
      </c>
      <c r="FT118" s="4">
        <v>6</v>
      </c>
      <c r="FU118" s="4">
        <v>4.25</v>
      </c>
      <c r="FV118" s="4">
        <v>4.5</v>
      </c>
      <c r="FW118" s="4">
        <v>5</v>
      </c>
      <c r="FX118" s="4">
        <v>5.75</v>
      </c>
      <c r="FY118" s="4">
        <v>5.75</v>
      </c>
      <c r="FZ118" s="4">
        <v>4.42</v>
      </c>
      <c r="GA118" s="4">
        <v>2.5</v>
      </c>
      <c r="GB118" s="4">
        <v>6.33</v>
      </c>
      <c r="GC118" s="4">
        <v>4</v>
      </c>
      <c r="GD118" s="4">
        <v>4.25</v>
      </c>
      <c r="GE118" s="26"/>
      <c r="GF118" s="26"/>
      <c r="GG118" s="4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S118" s="3"/>
      <c r="HU118" s="3"/>
      <c r="HX118" s="3"/>
      <c r="IA118" s="3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3"/>
      <c r="JP118" s="3"/>
      <c r="JQ118" s="4"/>
      <c r="JR118" s="5"/>
      <c r="JS118" s="5"/>
      <c r="JT118" s="8"/>
      <c r="JU118" s="8"/>
      <c r="JV118" s="8"/>
      <c r="JW118" s="8"/>
      <c r="JX118" s="8"/>
      <c r="JY118" s="8"/>
      <c r="JZ118" s="8"/>
      <c r="KA118" s="8"/>
      <c r="KB118" s="8"/>
      <c r="KC118" s="4"/>
      <c r="KD118" s="4"/>
      <c r="KE118" s="4"/>
      <c r="KF118" s="4"/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U118" s="4"/>
      <c r="KV118" s="4"/>
      <c r="KW118" s="4"/>
      <c r="KX118" s="4"/>
      <c r="KY118" s="4"/>
      <c r="KZ118" s="4"/>
      <c r="LA118" s="4"/>
      <c r="LB118" s="4"/>
      <c r="LC118" s="4"/>
      <c r="LD118" s="4"/>
      <c r="LE118" s="4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4"/>
      <c r="MI118" s="4"/>
      <c r="MJ118" s="4"/>
      <c r="MK118" s="4"/>
      <c r="ML118" s="4"/>
      <c r="MM118" s="4"/>
      <c r="MN118" s="4"/>
      <c r="MO118" s="4"/>
      <c r="MP118" s="4"/>
      <c r="MQ118" s="4"/>
      <c r="MR118" s="4"/>
      <c r="MS118" s="4"/>
      <c r="MT118" s="4"/>
      <c r="MU118" s="4"/>
      <c r="MV118" s="4"/>
      <c r="MW118" s="4"/>
      <c r="MX118" s="4"/>
      <c r="MY118" s="4"/>
      <c r="MZ118" s="4"/>
      <c r="NA118" s="4"/>
      <c r="NB118" s="4"/>
      <c r="NC118" s="4"/>
      <c r="ND118" s="4"/>
      <c r="NE118" s="4"/>
      <c r="NF118" s="4"/>
      <c r="NG118" s="4"/>
      <c r="NH118" s="4"/>
      <c r="NI118" s="4"/>
      <c r="NJ118" s="4"/>
    </row>
    <row r="119" spans="1:374" s="1" customFormat="1" x14ac:dyDescent="0.35">
      <c r="A119" s="2">
        <v>43355</v>
      </c>
      <c r="B119" s="15" t="s">
        <v>118</v>
      </c>
      <c r="C119" s="15" t="s">
        <v>280</v>
      </c>
      <c r="D119" s="1">
        <v>118</v>
      </c>
      <c r="E119" s="3">
        <v>3</v>
      </c>
      <c r="F119" s="3">
        <v>1</v>
      </c>
      <c r="G119" s="3"/>
      <c r="H119" s="3">
        <v>30</v>
      </c>
      <c r="I119" s="3">
        <v>2</v>
      </c>
      <c r="J119" s="3"/>
      <c r="K119" s="18">
        <v>0</v>
      </c>
      <c r="L119" s="18">
        <v>1</v>
      </c>
      <c r="M119" s="18">
        <v>1</v>
      </c>
      <c r="N119" s="18">
        <v>1</v>
      </c>
      <c r="O119" s="18">
        <v>0</v>
      </c>
      <c r="P119" s="4">
        <v>0.6</v>
      </c>
      <c r="Q119" s="3">
        <v>44</v>
      </c>
      <c r="R119" s="3">
        <v>80</v>
      </c>
      <c r="S119" s="3">
        <v>103</v>
      </c>
      <c r="T119" s="3">
        <v>94</v>
      </c>
      <c r="U119" s="3">
        <v>105</v>
      </c>
      <c r="V119" s="3">
        <v>107</v>
      </c>
      <c r="W119" s="3">
        <v>87</v>
      </c>
      <c r="X119" s="3">
        <v>86</v>
      </c>
      <c r="Y119" s="3">
        <v>71</v>
      </c>
      <c r="Z119" s="3"/>
      <c r="AA119" s="3"/>
      <c r="AB119" s="3"/>
      <c r="AC119" s="3"/>
      <c r="AD119" s="3"/>
      <c r="AE119" s="3"/>
      <c r="AF119" s="3"/>
      <c r="AG119" s="3"/>
      <c r="AH119" s="3"/>
      <c r="AI119" s="4"/>
      <c r="AJ119" s="4"/>
      <c r="AK119" s="4"/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9">
        <v>0</v>
      </c>
      <c r="AT119" s="19">
        <v>0</v>
      </c>
      <c r="AU119" s="19">
        <v>0</v>
      </c>
      <c r="AV119" s="19">
        <v>0</v>
      </c>
      <c r="AW119" s="19">
        <v>0</v>
      </c>
      <c r="AX119" s="19"/>
      <c r="AY119"/>
      <c r="AZ119"/>
      <c r="BA119"/>
      <c r="BB119"/>
      <c r="BC119"/>
      <c r="BP119" s="4"/>
      <c r="BQ119" s="4"/>
      <c r="BR119" s="4"/>
      <c r="BS119" s="4"/>
      <c r="BT119" s="4"/>
      <c r="BU119" s="4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1">
        <v>6</v>
      </c>
      <c r="CJ119" s="1">
        <v>7</v>
      </c>
      <c r="CK119" s="1">
        <v>7</v>
      </c>
      <c r="CL119" s="1">
        <v>6</v>
      </c>
      <c r="CM119" s="1">
        <v>7</v>
      </c>
      <c r="CN119" s="1">
        <v>6</v>
      </c>
      <c r="CO119" s="1">
        <v>6</v>
      </c>
      <c r="CP119" s="1">
        <v>2</v>
      </c>
      <c r="CQ119" s="1">
        <v>7</v>
      </c>
      <c r="CR119" s="1">
        <v>7</v>
      </c>
      <c r="CS119" s="1">
        <v>7</v>
      </c>
      <c r="CT119" s="1">
        <v>6</v>
      </c>
      <c r="CU119" s="1">
        <v>6</v>
      </c>
      <c r="CV119" s="1">
        <v>7</v>
      </c>
      <c r="CW119" s="1">
        <v>6</v>
      </c>
      <c r="CX119" s="1">
        <v>7</v>
      </c>
      <c r="CY119" s="1">
        <v>6</v>
      </c>
      <c r="CZ119" s="1">
        <v>7</v>
      </c>
      <c r="DA119" s="1">
        <v>7</v>
      </c>
      <c r="DB119" s="1">
        <v>7</v>
      </c>
      <c r="DC119" s="1">
        <v>5</v>
      </c>
      <c r="DD119" s="1">
        <v>6</v>
      </c>
      <c r="DE119" s="1">
        <v>7</v>
      </c>
      <c r="DF119" s="1">
        <v>4</v>
      </c>
      <c r="DG119" s="1">
        <v>5</v>
      </c>
      <c r="DH119" s="1">
        <v>5</v>
      </c>
      <c r="DI119" s="1">
        <v>7</v>
      </c>
      <c r="DJ119" s="1">
        <v>4</v>
      </c>
      <c r="DK119" s="1">
        <v>6</v>
      </c>
      <c r="DL119" s="1">
        <v>6</v>
      </c>
      <c r="DM119" s="19">
        <v>5</v>
      </c>
      <c r="DN119" s="19">
        <v>5</v>
      </c>
      <c r="DO119" s="1">
        <v>4</v>
      </c>
      <c r="DP119" s="1">
        <v>4</v>
      </c>
      <c r="DQ119" s="1">
        <v>7</v>
      </c>
      <c r="DR119" s="1">
        <v>5</v>
      </c>
      <c r="DS119" s="1">
        <v>7</v>
      </c>
      <c r="DT119" s="1">
        <v>7</v>
      </c>
      <c r="DU119" s="27">
        <v>7</v>
      </c>
      <c r="DV119" s="27">
        <v>7</v>
      </c>
      <c r="DW119" s="27">
        <v>5</v>
      </c>
      <c r="DX119" s="27">
        <v>6</v>
      </c>
      <c r="DY119" s="27">
        <v>4</v>
      </c>
      <c r="DZ119" s="27">
        <v>4</v>
      </c>
      <c r="EA119" s="27">
        <v>4</v>
      </c>
      <c r="EB119" s="27">
        <v>3</v>
      </c>
      <c r="EC119" s="27">
        <v>6</v>
      </c>
      <c r="ED119" s="27">
        <v>4</v>
      </c>
      <c r="EE119" s="27">
        <v>4</v>
      </c>
      <c r="EF119" s="27">
        <v>7</v>
      </c>
      <c r="EG119" s="27">
        <v>6</v>
      </c>
      <c r="EH119" s="27">
        <v>4</v>
      </c>
      <c r="EI119" s="27">
        <v>6</v>
      </c>
      <c r="EJ119" s="27">
        <v>4</v>
      </c>
      <c r="EK119" s="27">
        <v>4</v>
      </c>
      <c r="EL119" s="27">
        <v>4</v>
      </c>
      <c r="EM119" s="27">
        <v>4</v>
      </c>
      <c r="EN119" s="27">
        <v>2</v>
      </c>
      <c r="EO119" s="27">
        <v>7</v>
      </c>
      <c r="EP119" s="27">
        <v>7</v>
      </c>
      <c r="EQ119" s="27">
        <v>7</v>
      </c>
      <c r="ER119" s="27">
        <v>4</v>
      </c>
      <c r="ES119" s="27">
        <v>4</v>
      </c>
      <c r="ET119" s="27">
        <v>5</v>
      </c>
      <c r="EU119" s="27">
        <v>5</v>
      </c>
      <c r="EV119" s="1">
        <v>18</v>
      </c>
      <c r="EW119" s="1">
        <v>2</v>
      </c>
      <c r="EY119" s="1">
        <v>2</v>
      </c>
      <c r="EZ119" s="9"/>
      <c r="FA119" s="1">
        <v>1</v>
      </c>
      <c r="FB119" s="9" t="s">
        <v>800</v>
      </c>
      <c r="FC119" s="1">
        <v>1</v>
      </c>
      <c r="FD119" s="1">
        <v>4</v>
      </c>
      <c r="FE119" s="4"/>
      <c r="FF119" s="4"/>
      <c r="FG119" s="4"/>
      <c r="FH119" s="4"/>
      <c r="FI119" s="4"/>
      <c r="FJ119" s="23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26"/>
      <c r="GF119" s="26"/>
      <c r="GG119" s="4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S119" s="3"/>
      <c r="HU119" s="3"/>
      <c r="HX119" s="3"/>
      <c r="IA119" s="3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6"/>
      <c r="JP119" s="6"/>
      <c r="JQ119" s="6"/>
      <c r="JR119" s="6"/>
      <c r="JS119" s="6"/>
      <c r="JT119" s="8"/>
      <c r="JU119" s="8"/>
      <c r="JV119" s="8"/>
      <c r="JW119" s="8"/>
      <c r="JX119" s="8"/>
      <c r="JY119" s="8"/>
      <c r="JZ119" s="8"/>
      <c r="KA119" s="8"/>
      <c r="KB119" s="8"/>
      <c r="KC119" s="6"/>
      <c r="KD119" s="6"/>
      <c r="KE119" s="6"/>
      <c r="KF119" s="6"/>
      <c r="KG119" s="6"/>
      <c r="KH119" s="6"/>
      <c r="KI119" s="6"/>
      <c r="KJ119" s="6"/>
      <c r="KK119" s="6"/>
      <c r="KL119" s="4"/>
      <c r="KM119" s="4"/>
      <c r="KN119" s="6"/>
      <c r="KO119" s="4"/>
      <c r="KP119" s="4"/>
      <c r="KQ119" s="6"/>
      <c r="KR119" s="6"/>
      <c r="KS119" s="4"/>
      <c r="KU119" s="4"/>
      <c r="KV119" s="4"/>
      <c r="KW119" s="4"/>
      <c r="KX119" s="6"/>
      <c r="KY119" s="6"/>
      <c r="KZ119" s="6"/>
      <c r="LA119" s="4"/>
      <c r="LB119" s="6"/>
      <c r="LC119" s="6"/>
      <c r="LD119" s="4"/>
      <c r="LE119" s="4"/>
      <c r="LF119" s="6"/>
      <c r="LG119" s="6"/>
      <c r="LH119" s="6"/>
      <c r="LI119" s="6"/>
      <c r="LJ119" s="6"/>
      <c r="LK119" s="6"/>
      <c r="LL119" s="6"/>
      <c r="LM119" s="6"/>
      <c r="LN119" s="6"/>
      <c r="LO119" s="6"/>
      <c r="LP119" s="6"/>
      <c r="LQ119" s="6"/>
      <c r="LR119" s="6"/>
      <c r="LS119" s="6"/>
      <c r="LT119" s="6"/>
      <c r="LU119" s="6"/>
      <c r="LV119" s="6"/>
      <c r="LW119" s="6"/>
      <c r="LX119" s="6"/>
      <c r="LY119" s="6"/>
      <c r="LZ119" s="6"/>
      <c r="MA119" s="6"/>
      <c r="MB119" s="6"/>
      <c r="MC119" s="6"/>
      <c r="MD119" s="6"/>
      <c r="ME119" s="6"/>
      <c r="MF119" s="6"/>
      <c r="MG119" s="6"/>
      <c r="MH119" s="6"/>
      <c r="MI119" s="6"/>
      <c r="MJ119" s="6"/>
      <c r="MK119" s="6"/>
      <c r="ML119" s="6"/>
      <c r="MM119" s="6"/>
      <c r="MN119" s="6"/>
      <c r="MO119" s="6"/>
      <c r="MP119" s="6"/>
      <c r="MQ119" s="6"/>
      <c r="MR119" s="6"/>
      <c r="MS119" s="6"/>
      <c r="MT119" s="6"/>
      <c r="MU119" s="6"/>
      <c r="MV119" s="6"/>
      <c r="MW119" s="6"/>
      <c r="MX119" s="6"/>
      <c r="MY119" s="6"/>
      <c r="MZ119" s="6"/>
      <c r="NA119" s="6"/>
      <c r="NB119" s="6"/>
      <c r="NC119" s="6"/>
      <c r="ND119" s="6"/>
      <c r="NE119" s="6"/>
      <c r="NF119" s="6"/>
      <c r="NG119" s="6"/>
      <c r="NH119" s="6"/>
      <c r="NI119" s="6"/>
      <c r="NJ119" s="4"/>
    </row>
    <row r="120" spans="1:374" s="1" customFormat="1" x14ac:dyDescent="0.35">
      <c r="A120" s="2">
        <v>43355</v>
      </c>
      <c r="B120" s="15" t="s">
        <v>118</v>
      </c>
      <c r="C120" s="15" t="s">
        <v>281</v>
      </c>
      <c r="D120" s="1">
        <v>119</v>
      </c>
      <c r="E120" s="3">
        <v>3</v>
      </c>
      <c r="F120" s="3">
        <v>1</v>
      </c>
      <c r="G120" s="3"/>
      <c r="H120" s="3">
        <v>30</v>
      </c>
      <c r="I120" s="3">
        <v>3</v>
      </c>
      <c r="J120" s="3"/>
      <c r="K120" s="18">
        <v>0</v>
      </c>
      <c r="L120" s="18">
        <v>1</v>
      </c>
      <c r="M120" s="18">
        <v>1</v>
      </c>
      <c r="N120" s="18">
        <v>1</v>
      </c>
      <c r="O120" s="18">
        <v>0</v>
      </c>
      <c r="P120" s="4">
        <v>0.6</v>
      </c>
      <c r="Q120" s="3">
        <v>109</v>
      </c>
      <c r="R120" s="3">
        <v>72</v>
      </c>
      <c r="S120" s="3">
        <v>91</v>
      </c>
      <c r="T120" s="3">
        <v>99</v>
      </c>
      <c r="U120" s="3">
        <v>93</v>
      </c>
      <c r="V120" s="3">
        <v>95</v>
      </c>
      <c r="W120" s="3">
        <v>100</v>
      </c>
      <c r="X120" s="3">
        <v>82</v>
      </c>
      <c r="Y120" s="3">
        <v>105</v>
      </c>
      <c r="Z120" s="3"/>
      <c r="AA120" s="3"/>
      <c r="AB120" s="3"/>
      <c r="AC120" s="3"/>
      <c r="AD120" s="3"/>
      <c r="AE120" s="3"/>
      <c r="AF120" s="3"/>
      <c r="AG120" s="3"/>
      <c r="AH120" s="3"/>
      <c r="AI120" s="4"/>
      <c r="AJ120" s="4"/>
      <c r="AK120" s="4"/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9">
        <v>0</v>
      </c>
      <c r="AT120" s="19">
        <v>0</v>
      </c>
      <c r="AU120" s="19">
        <v>0</v>
      </c>
      <c r="AV120" s="19">
        <v>0</v>
      </c>
      <c r="AW120" s="19">
        <v>0</v>
      </c>
      <c r="AX120" s="19"/>
      <c r="AY120"/>
      <c r="AZ120"/>
      <c r="BA120"/>
      <c r="BB120"/>
      <c r="BC120"/>
      <c r="BP120" s="4"/>
      <c r="BQ120" s="4"/>
      <c r="BR120" s="4"/>
      <c r="BS120" s="4"/>
      <c r="BT120" s="4"/>
      <c r="BU120" s="4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1">
        <v>7</v>
      </c>
      <c r="CJ120" s="1">
        <v>7</v>
      </c>
      <c r="CK120" s="1">
        <v>7</v>
      </c>
      <c r="CL120" s="1">
        <v>7</v>
      </c>
      <c r="CM120" s="1">
        <v>7</v>
      </c>
      <c r="CN120" s="1">
        <v>7</v>
      </c>
      <c r="CO120" s="1">
        <v>7</v>
      </c>
      <c r="CP120" s="1">
        <v>2</v>
      </c>
      <c r="CQ120" s="1">
        <v>6</v>
      </c>
      <c r="CR120" s="1">
        <v>6</v>
      </c>
      <c r="CS120" s="1">
        <v>6</v>
      </c>
      <c r="CT120" s="1">
        <v>6</v>
      </c>
      <c r="CU120" s="1">
        <v>5</v>
      </c>
      <c r="CV120" s="1">
        <v>6</v>
      </c>
      <c r="CW120" s="1">
        <v>6</v>
      </c>
      <c r="CX120" s="1">
        <v>5</v>
      </c>
      <c r="CY120" s="1">
        <v>4</v>
      </c>
      <c r="CZ120" s="1">
        <v>7</v>
      </c>
      <c r="DA120" s="1">
        <v>7</v>
      </c>
      <c r="DB120" s="1">
        <v>7</v>
      </c>
      <c r="DC120" s="1">
        <v>7</v>
      </c>
      <c r="DD120" s="1">
        <v>6</v>
      </c>
      <c r="DE120" s="1">
        <v>6</v>
      </c>
      <c r="DF120" s="1">
        <v>7</v>
      </c>
      <c r="DG120" s="1">
        <v>7</v>
      </c>
      <c r="DH120" s="1">
        <v>7</v>
      </c>
      <c r="DI120" s="1">
        <v>7</v>
      </c>
      <c r="DJ120" s="1">
        <v>7</v>
      </c>
      <c r="DK120" s="1">
        <v>7</v>
      </c>
      <c r="DL120" s="1">
        <v>7</v>
      </c>
      <c r="DM120" s="19">
        <v>7</v>
      </c>
      <c r="DN120" s="19">
        <v>7</v>
      </c>
      <c r="DO120" s="1">
        <v>7</v>
      </c>
      <c r="DP120" s="1">
        <v>6</v>
      </c>
      <c r="DQ120" s="1">
        <v>7</v>
      </c>
      <c r="DR120" s="1">
        <v>3</v>
      </c>
      <c r="DS120" s="1">
        <v>7</v>
      </c>
      <c r="DT120" s="1">
        <v>6</v>
      </c>
      <c r="DU120" s="27">
        <v>7</v>
      </c>
      <c r="DV120" s="27">
        <v>7</v>
      </c>
      <c r="DW120" s="27">
        <v>7</v>
      </c>
      <c r="DX120" s="27">
        <v>7</v>
      </c>
      <c r="DY120" s="27">
        <v>1</v>
      </c>
      <c r="DZ120" s="27">
        <v>1</v>
      </c>
      <c r="EA120" s="27">
        <v>1</v>
      </c>
      <c r="EB120" s="27">
        <v>1</v>
      </c>
      <c r="EC120" s="27">
        <v>7</v>
      </c>
      <c r="ED120" s="27">
        <v>7</v>
      </c>
      <c r="EE120" s="27">
        <v>1</v>
      </c>
      <c r="EF120" s="27">
        <v>7</v>
      </c>
      <c r="EG120" s="27">
        <v>7</v>
      </c>
      <c r="EH120" s="27">
        <v>7</v>
      </c>
      <c r="EI120" s="27">
        <v>7</v>
      </c>
      <c r="EJ120" s="27">
        <v>1</v>
      </c>
      <c r="EK120" s="27">
        <v>1</v>
      </c>
      <c r="EL120" s="27">
        <v>6</v>
      </c>
      <c r="EM120" s="27">
        <v>1</v>
      </c>
      <c r="EN120" s="27">
        <v>1</v>
      </c>
      <c r="EO120" s="27">
        <v>6</v>
      </c>
      <c r="EP120" s="27">
        <v>7</v>
      </c>
      <c r="EQ120" s="27">
        <v>7</v>
      </c>
      <c r="ER120" s="27">
        <v>1</v>
      </c>
      <c r="ES120" s="27">
        <v>1</v>
      </c>
      <c r="ET120" s="27">
        <v>4</v>
      </c>
      <c r="EU120" s="27">
        <v>4</v>
      </c>
      <c r="EV120" s="1">
        <v>18</v>
      </c>
      <c r="EW120" s="1">
        <v>2</v>
      </c>
      <c r="EY120" s="1">
        <v>2</v>
      </c>
      <c r="EZ120" s="9"/>
      <c r="FA120" s="1">
        <v>1</v>
      </c>
      <c r="FB120" s="9" t="s">
        <v>784</v>
      </c>
      <c r="FC120" s="1">
        <v>1</v>
      </c>
      <c r="FD120" s="1">
        <v>4</v>
      </c>
      <c r="FE120" s="4"/>
      <c r="FF120" s="4"/>
      <c r="FG120" s="4"/>
      <c r="FH120" s="4"/>
      <c r="FI120" s="4"/>
      <c r="FJ120" s="23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26"/>
      <c r="GF120" s="26"/>
      <c r="GG120" s="4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S120" s="3"/>
      <c r="HU120" s="3"/>
      <c r="HX120" s="3"/>
      <c r="IA120" s="3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6"/>
      <c r="JP120" s="6"/>
      <c r="JQ120" s="6"/>
      <c r="JR120" s="6"/>
      <c r="JS120" s="6"/>
      <c r="JT120" s="8"/>
      <c r="JU120" s="8"/>
      <c r="JV120" s="8"/>
      <c r="JW120" s="8"/>
      <c r="JX120" s="8"/>
      <c r="JY120" s="8"/>
      <c r="JZ120" s="8"/>
      <c r="KA120" s="8"/>
      <c r="KB120" s="8"/>
      <c r="KC120" s="6"/>
      <c r="KD120" s="6"/>
      <c r="KE120" s="6"/>
      <c r="KF120" s="6"/>
      <c r="KG120" s="6"/>
      <c r="KH120" s="6"/>
      <c r="KI120" s="6"/>
      <c r="KJ120" s="6"/>
      <c r="KK120" s="6"/>
      <c r="KL120" s="4"/>
      <c r="KM120" s="4"/>
      <c r="KN120" s="6"/>
      <c r="KO120" s="4"/>
      <c r="KP120" s="4"/>
      <c r="KQ120" s="6"/>
      <c r="KR120" s="6"/>
      <c r="KS120" s="4"/>
      <c r="KU120" s="4"/>
      <c r="KV120" s="4"/>
      <c r="KW120" s="4"/>
      <c r="KX120" s="6"/>
      <c r="KY120" s="6"/>
      <c r="KZ120" s="6"/>
      <c r="LA120" s="4"/>
      <c r="LB120" s="6"/>
      <c r="LC120" s="6"/>
      <c r="LD120" s="4"/>
      <c r="LE120" s="4"/>
      <c r="LF120" s="6"/>
      <c r="LG120" s="6"/>
      <c r="LH120" s="6"/>
      <c r="LI120" s="6"/>
      <c r="LJ120" s="6"/>
      <c r="LK120" s="6"/>
      <c r="LL120" s="6"/>
      <c r="LM120" s="6"/>
      <c r="LN120" s="6"/>
      <c r="LO120" s="6"/>
      <c r="LP120" s="6"/>
      <c r="LQ120" s="6"/>
      <c r="LR120" s="6"/>
      <c r="LS120" s="6"/>
      <c r="LT120" s="6"/>
      <c r="LU120" s="6"/>
      <c r="LV120" s="6"/>
      <c r="LW120" s="6"/>
      <c r="LX120" s="6"/>
      <c r="LY120" s="6"/>
      <c r="LZ120" s="6"/>
      <c r="MA120" s="6"/>
      <c r="MB120" s="6"/>
      <c r="MC120" s="6"/>
      <c r="MD120" s="6"/>
      <c r="ME120" s="6"/>
      <c r="MF120" s="6"/>
      <c r="MG120" s="6"/>
      <c r="MH120" s="6"/>
      <c r="MI120" s="6"/>
      <c r="MJ120" s="6"/>
      <c r="MK120" s="6"/>
      <c r="ML120" s="6"/>
      <c r="MM120" s="6"/>
      <c r="MN120" s="6"/>
      <c r="MO120" s="6"/>
      <c r="MP120" s="6"/>
      <c r="MQ120" s="6"/>
      <c r="MR120" s="6"/>
      <c r="MS120" s="6"/>
      <c r="MT120" s="6"/>
      <c r="MU120" s="6"/>
      <c r="MV120" s="6"/>
      <c r="MW120" s="6"/>
      <c r="MX120" s="6"/>
      <c r="MY120" s="6"/>
      <c r="MZ120" s="6"/>
      <c r="NA120" s="6"/>
      <c r="NB120" s="6"/>
      <c r="NC120" s="6"/>
      <c r="ND120" s="6"/>
      <c r="NE120" s="6"/>
      <c r="NF120" s="6"/>
      <c r="NG120" s="6"/>
      <c r="NH120" s="6"/>
      <c r="NI120" s="6"/>
      <c r="NJ120" s="4"/>
    </row>
    <row r="121" spans="1:374" s="1" customFormat="1" x14ac:dyDescent="0.35">
      <c r="A121" s="2">
        <v>43355</v>
      </c>
      <c r="B121" s="15" t="s">
        <v>118</v>
      </c>
      <c r="C121" s="15" t="s">
        <v>282</v>
      </c>
      <c r="D121" s="1">
        <v>120</v>
      </c>
      <c r="E121" s="3">
        <v>3</v>
      </c>
      <c r="F121" s="3">
        <v>1</v>
      </c>
      <c r="G121" s="3"/>
      <c r="H121" s="3">
        <v>30</v>
      </c>
      <c r="I121" s="3">
        <v>4</v>
      </c>
      <c r="J121" s="3"/>
      <c r="K121" s="18">
        <v>1</v>
      </c>
      <c r="L121" s="18">
        <v>1</v>
      </c>
      <c r="M121" s="18">
        <v>1</v>
      </c>
      <c r="N121" s="18">
        <v>1</v>
      </c>
      <c r="O121" s="18">
        <v>1</v>
      </c>
      <c r="P121" s="4">
        <v>1</v>
      </c>
      <c r="Q121" s="3">
        <v>44</v>
      </c>
      <c r="R121" s="3">
        <v>110</v>
      </c>
      <c r="S121" s="3">
        <v>114</v>
      </c>
      <c r="T121" s="3">
        <v>104</v>
      </c>
      <c r="U121" s="3">
        <v>105</v>
      </c>
      <c r="V121" s="3">
        <v>92</v>
      </c>
      <c r="W121" s="3">
        <v>104</v>
      </c>
      <c r="X121" s="3">
        <v>84</v>
      </c>
      <c r="Y121" s="3">
        <v>61</v>
      </c>
      <c r="Z121" s="3"/>
      <c r="AA121" s="3"/>
      <c r="AB121" s="3"/>
      <c r="AC121" s="3"/>
      <c r="AD121" s="3"/>
      <c r="AE121" s="3"/>
      <c r="AF121" s="3"/>
      <c r="AG121" s="3"/>
      <c r="AH121" s="3"/>
      <c r="AI121" s="4"/>
      <c r="AJ121" s="4"/>
      <c r="AK121" s="4"/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9">
        <v>0</v>
      </c>
      <c r="AT121" s="19">
        <v>0</v>
      </c>
      <c r="AU121" s="19">
        <v>0</v>
      </c>
      <c r="AV121" s="19">
        <v>0</v>
      </c>
      <c r="AW121" s="19">
        <v>0</v>
      </c>
      <c r="AX121" s="19"/>
      <c r="AY121"/>
      <c r="AZ121"/>
      <c r="BA121"/>
      <c r="BB121"/>
      <c r="BC121"/>
      <c r="BP121" s="4"/>
      <c r="BQ121" s="4"/>
      <c r="BR121" s="4"/>
      <c r="BS121" s="4"/>
      <c r="BT121" s="4"/>
      <c r="BU121" s="4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1">
        <v>6</v>
      </c>
      <c r="CJ121" s="1">
        <v>7</v>
      </c>
      <c r="CK121" s="1">
        <v>7</v>
      </c>
      <c r="CL121" s="1">
        <v>6</v>
      </c>
      <c r="CM121" s="1">
        <v>5</v>
      </c>
      <c r="CN121" s="1">
        <v>5</v>
      </c>
      <c r="CO121" s="1">
        <v>3</v>
      </c>
      <c r="CP121" s="1">
        <v>5</v>
      </c>
      <c r="CQ121" s="1">
        <v>6</v>
      </c>
      <c r="CR121" s="1">
        <v>6</v>
      </c>
      <c r="CS121" s="1">
        <v>6</v>
      </c>
      <c r="CT121" s="1">
        <v>3</v>
      </c>
      <c r="CU121" s="1">
        <v>5</v>
      </c>
      <c r="CV121" s="1">
        <v>6</v>
      </c>
      <c r="CW121" s="1">
        <v>6</v>
      </c>
      <c r="CX121" s="1">
        <v>6</v>
      </c>
      <c r="CY121" s="1">
        <v>6</v>
      </c>
      <c r="CZ121" s="1">
        <v>6</v>
      </c>
      <c r="DA121" s="1">
        <v>6</v>
      </c>
      <c r="DB121" s="1">
        <v>6</v>
      </c>
      <c r="DC121" s="1">
        <v>6</v>
      </c>
      <c r="DD121" s="1">
        <v>6</v>
      </c>
      <c r="DE121" s="1">
        <v>6</v>
      </c>
      <c r="DF121" s="1">
        <v>2</v>
      </c>
      <c r="DG121" s="1">
        <v>3</v>
      </c>
      <c r="DH121" s="1">
        <v>5</v>
      </c>
      <c r="DI121" s="1">
        <v>2</v>
      </c>
      <c r="DJ121" s="1">
        <v>2</v>
      </c>
      <c r="DK121" s="1">
        <v>2</v>
      </c>
      <c r="DL121" s="1">
        <v>7</v>
      </c>
      <c r="DM121" s="19">
        <v>7</v>
      </c>
      <c r="DN121" s="19">
        <v>6</v>
      </c>
      <c r="DO121" s="1">
        <v>5</v>
      </c>
      <c r="DP121" s="1">
        <v>4</v>
      </c>
      <c r="DQ121" s="1">
        <v>2</v>
      </c>
      <c r="DR121" s="1">
        <v>3</v>
      </c>
      <c r="DS121" s="1">
        <v>6</v>
      </c>
      <c r="DT121" s="1">
        <v>5</v>
      </c>
      <c r="DU121" s="27">
        <v>7</v>
      </c>
      <c r="DV121" s="27">
        <v>7</v>
      </c>
      <c r="DW121" s="27">
        <v>2</v>
      </c>
      <c r="DX121" s="27">
        <v>3</v>
      </c>
      <c r="DY121" s="27">
        <v>5</v>
      </c>
      <c r="DZ121" s="27">
        <v>2</v>
      </c>
      <c r="EA121" s="27">
        <v>2</v>
      </c>
      <c r="EB121" s="27">
        <v>6</v>
      </c>
      <c r="EC121" s="27">
        <v>7</v>
      </c>
      <c r="ED121" s="27">
        <v>2</v>
      </c>
      <c r="EE121" s="27">
        <v>7</v>
      </c>
      <c r="EF121" s="27">
        <v>2</v>
      </c>
      <c r="EG121" s="27">
        <v>6</v>
      </c>
      <c r="EH121" s="27">
        <v>7</v>
      </c>
      <c r="EI121" s="27">
        <v>7</v>
      </c>
      <c r="EJ121" s="27">
        <v>7</v>
      </c>
      <c r="EK121" s="27">
        <v>7</v>
      </c>
      <c r="EL121" s="27">
        <v>7</v>
      </c>
      <c r="EM121" s="27">
        <v>2</v>
      </c>
      <c r="EN121" s="27">
        <v>2</v>
      </c>
      <c r="EO121" s="27">
        <v>7</v>
      </c>
      <c r="EP121" s="27">
        <v>7</v>
      </c>
      <c r="EQ121" s="27">
        <v>7</v>
      </c>
      <c r="ER121" s="27">
        <v>7</v>
      </c>
      <c r="ES121" s="27">
        <v>7</v>
      </c>
      <c r="ET121" s="27">
        <v>4</v>
      </c>
      <c r="EU121" s="27">
        <v>4</v>
      </c>
      <c r="EV121" s="1">
        <v>19</v>
      </c>
      <c r="EW121" s="1">
        <v>2</v>
      </c>
      <c r="EY121" s="1">
        <v>1</v>
      </c>
      <c r="EZ121" s="9"/>
      <c r="FA121" s="1">
        <v>2</v>
      </c>
      <c r="FB121" s="9" t="s">
        <v>857</v>
      </c>
      <c r="FC121" s="1">
        <v>1</v>
      </c>
      <c r="FD121" s="1">
        <v>6</v>
      </c>
      <c r="FE121" s="4"/>
      <c r="FF121" s="4"/>
      <c r="FG121" s="4"/>
      <c r="FH121" s="4"/>
      <c r="FI121" s="4"/>
      <c r="FJ121" s="23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26"/>
      <c r="GF121" s="26"/>
      <c r="GG121" s="4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S121" s="3"/>
      <c r="HU121" s="3"/>
      <c r="HX121" s="3"/>
      <c r="IA121" s="3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6"/>
      <c r="JP121" s="6"/>
      <c r="JQ121" s="6"/>
      <c r="JR121" s="6"/>
      <c r="JS121" s="6"/>
      <c r="JT121" s="8"/>
      <c r="JU121" s="8"/>
      <c r="JV121" s="8"/>
      <c r="JW121" s="8"/>
      <c r="JX121" s="8"/>
      <c r="JY121" s="8"/>
      <c r="JZ121" s="8"/>
      <c r="KA121" s="8"/>
      <c r="KB121" s="8"/>
      <c r="KC121" s="6"/>
      <c r="KD121" s="6"/>
      <c r="KE121" s="6"/>
      <c r="KF121" s="6"/>
      <c r="KG121" s="6"/>
      <c r="KH121" s="6"/>
      <c r="KI121" s="6"/>
      <c r="KJ121" s="6"/>
      <c r="KK121" s="6"/>
      <c r="KL121" s="4"/>
      <c r="KM121" s="4"/>
      <c r="KN121" s="6"/>
      <c r="KO121" s="4"/>
      <c r="KP121" s="4"/>
      <c r="KQ121" s="6"/>
      <c r="KR121" s="6"/>
      <c r="KS121" s="4"/>
      <c r="KU121" s="4"/>
      <c r="KV121" s="4"/>
      <c r="KW121" s="4"/>
      <c r="KX121" s="6"/>
      <c r="KY121" s="6"/>
      <c r="KZ121" s="6"/>
      <c r="LA121" s="4"/>
      <c r="LB121" s="6"/>
      <c r="LC121" s="6"/>
      <c r="LD121" s="4"/>
      <c r="LE121" s="4"/>
      <c r="LF121" s="6"/>
      <c r="LG121" s="6"/>
      <c r="LH121" s="6"/>
      <c r="LI121" s="6"/>
      <c r="LJ121" s="6"/>
      <c r="LK121" s="6"/>
      <c r="LL121" s="6"/>
      <c r="LM121" s="6"/>
      <c r="LN121" s="6"/>
      <c r="LO121" s="6"/>
      <c r="LP121" s="6"/>
      <c r="LQ121" s="6"/>
      <c r="LR121" s="6"/>
      <c r="LS121" s="6"/>
      <c r="LT121" s="6"/>
      <c r="LU121" s="6"/>
      <c r="LV121" s="6"/>
      <c r="LW121" s="6"/>
      <c r="LX121" s="6"/>
      <c r="LY121" s="6"/>
      <c r="LZ121" s="6"/>
      <c r="MA121" s="6"/>
      <c r="MB121" s="6"/>
      <c r="MC121" s="6"/>
      <c r="MD121" s="6"/>
      <c r="ME121" s="6"/>
      <c r="MF121" s="6"/>
      <c r="MG121" s="6"/>
      <c r="MH121" s="6"/>
      <c r="MI121" s="6"/>
      <c r="MJ121" s="6"/>
      <c r="MK121" s="6"/>
      <c r="ML121" s="6"/>
      <c r="MM121" s="6"/>
      <c r="MN121" s="6"/>
      <c r="MO121" s="6"/>
      <c r="MP121" s="6"/>
      <c r="MQ121" s="6"/>
      <c r="MR121" s="6"/>
      <c r="MS121" s="6"/>
      <c r="MT121" s="6"/>
      <c r="MU121" s="6"/>
      <c r="MV121" s="6"/>
      <c r="MW121" s="6"/>
      <c r="MX121" s="6"/>
      <c r="MY121" s="6"/>
      <c r="MZ121" s="6"/>
      <c r="NA121" s="6"/>
      <c r="NB121" s="6"/>
      <c r="NC121" s="6"/>
      <c r="ND121" s="6"/>
      <c r="NE121" s="6"/>
      <c r="NF121" s="6"/>
      <c r="NG121" s="6"/>
      <c r="NH121" s="6"/>
      <c r="NI121" s="6"/>
      <c r="NJ121" s="4"/>
    </row>
    <row r="122" spans="1:374" s="1" customFormat="1" x14ac:dyDescent="0.35">
      <c r="A122" s="2">
        <v>43355</v>
      </c>
      <c r="B122" s="15" t="s">
        <v>119</v>
      </c>
      <c r="C122" s="15" t="s">
        <v>283</v>
      </c>
      <c r="D122" s="1">
        <v>121</v>
      </c>
      <c r="E122" s="3">
        <v>3</v>
      </c>
      <c r="F122" s="3">
        <v>1</v>
      </c>
      <c r="G122" s="3">
        <v>0</v>
      </c>
      <c r="H122" s="3">
        <v>31</v>
      </c>
      <c r="I122" s="3">
        <v>1</v>
      </c>
      <c r="J122" s="3">
        <v>1</v>
      </c>
      <c r="K122" s="18">
        <v>0</v>
      </c>
      <c r="L122" s="18">
        <v>0</v>
      </c>
      <c r="M122" s="18">
        <v>1</v>
      </c>
      <c r="N122" s="18">
        <v>1</v>
      </c>
      <c r="O122" s="18">
        <v>0</v>
      </c>
      <c r="P122" s="4">
        <v>0.4</v>
      </c>
      <c r="Q122" s="3">
        <v>51</v>
      </c>
      <c r="R122" s="3">
        <v>45</v>
      </c>
      <c r="S122" s="3">
        <v>60</v>
      </c>
      <c r="T122" s="3">
        <v>34</v>
      </c>
      <c r="U122" s="3">
        <v>48</v>
      </c>
      <c r="V122" s="3">
        <v>38</v>
      </c>
      <c r="W122" s="3">
        <v>48</v>
      </c>
      <c r="X122" s="3">
        <v>47</v>
      </c>
      <c r="Y122" s="3">
        <v>43</v>
      </c>
      <c r="Z122" s="3">
        <v>313</v>
      </c>
      <c r="AA122" s="3">
        <v>303</v>
      </c>
      <c r="AB122" s="3">
        <v>313</v>
      </c>
      <c r="AC122" s="3">
        <v>212</v>
      </c>
      <c r="AD122" s="3">
        <v>202</v>
      </c>
      <c r="AE122" s="3">
        <v>199</v>
      </c>
      <c r="AF122" s="3">
        <v>216</v>
      </c>
      <c r="AG122" s="3">
        <v>212</v>
      </c>
      <c r="AH122" s="3">
        <v>202</v>
      </c>
      <c r="AI122" s="4">
        <v>309.67</v>
      </c>
      <c r="AJ122" s="4">
        <v>204.33</v>
      </c>
      <c r="AK122" s="4">
        <v>210</v>
      </c>
      <c r="AL122" s="1">
        <v>0</v>
      </c>
      <c r="AM122" s="1">
        <v>0</v>
      </c>
      <c r="AN122" s="1">
        <v>1</v>
      </c>
      <c r="AO122" s="1">
        <v>0</v>
      </c>
      <c r="AP122" s="1">
        <v>0</v>
      </c>
      <c r="AQ122" s="1">
        <v>0</v>
      </c>
      <c r="AR122" s="1">
        <v>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  <c r="AX122" s="19">
        <f t="shared" ref="AX122:BC122" si="60">AL122+AL123+AL124+AL125</f>
        <v>0</v>
      </c>
      <c r="AY122" s="19">
        <f t="shared" si="60"/>
        <v>0</v>
      </c>
      <c r="AZ122" s="19">
        <f t="shared" si="60"/>
        <v>1</v>
      </c>
      <c r="BA122" s="19">
        <f t="shared" si="60"/>
        <v>0</v>
      </c>
      <c r="BB122" s="19">
        <f t="shared" si="60"/>
        <v>0</v>
      </c>
      <c r="BC122" s="19">
        <f t="shared" si="60"/>
        <v>0</v>
      </c>
      <c r="BD122" s="1">
        <f>AX122*3</f>
        <v>0</v>
      </c>
      <c r="BE122" s="1">
        <f t="shared" ref="BE122:BI122" si="61">AY122*3</f>
        <v>0</v>
      </c>
      <c r="BF122" s="1">
        <f t="shared" si="61"/>
        <v>3</v>
      </c>
      <c r="BG122" s="1">
        <f t="shared" si="61"/>
        <v>0</v>
      </c>
      <c r="BH122" s="1">
        <f t="shared" si="61"/>
        <v>0</v>
      </c>
      <c r="BI122" s="1">
        <f t="shared" si="61"/>
        <v>0</v>
      </c>
      <c r="BJ122" s="1">
        <f>AX122+AY122+AZ122</f>
        <v>1</v>
      </c>
      <c r="BK122" s="1">
        <f>BA122+BB122+BC122</f>
        <v>0</v>
      </c>
      <c r="BL122" s="1">
        <f>BJ122*3</f>
        <v>3</v>
      </c>
      <c r="BM122" s="1">
        <f>BK122*3</f>
        <v>0</v>
      </c>
      <c r="BN122" s="1">
        <f>BL122/3</f>
        <v>1</v>
      </c>
      <c r="BO122" s="1">
        <f>BM122/3</f>
        <v>0</v>
      </c>
      <c r="BP122" s="4">
        <v>308.66666666666669</v>
      </c>
      <c r="BQ122" s="4">
        <v>204.33333333333334</v>
      </c>
      <c r="BR122" s="4">
        <v>210</v>
      </c>
      <c r="BS122" s="4">
        <v>308.67</v>
      </c>
      <c r="BT122" s="4">
        <v>204.33</v>
      </c>
      <c r="BU122" s="4">
        <v>3.25</v>
      </c>
      <c r="BV122" s="3">
        <v>4</v>
      </c>
      <c r="BW122" s="3">
        <v>4</v>
      </c>
      <c r="BX122" s="3">
        <v>4</v>
      </c>
      <c r="BY122" s="3">
        <v>4</v>
      </c>
      <c r="BZ122" s="3">
        <v>0</v>
      </c>
      <c r="CA122" s="3">
        <v>0</v>
      </c>
      <c r="CB122" s="3">
        <v>0</v>
      </c>
      <c r="CC122" s="3">
        <v>0</v>
      </c>
      <c r="CD122" s="3">
        <v>1</v>
      </c>
      <c r="CE122" s="3">
        <v>1</v>
      </c>
      <c r="CF122" s="3">
        <v>1</v>
      </c>
      <c r="CG122" s="3">
        <v>1</v>
      </c>
      <c r="CH122" s="3">
        <v>0</v>
      </c>
      <c r="CI122" s="1">
        <v>6</v>
      </c>
      <c r="CJ122" s="1">
        <v>7</v>
      </c>
      <c r="CK122" s="1">
        <v>6</v>
      </c>
      <c r="CL122" s="1">
        <v>7</v>
      </c>
      <c r="CM122" s="1">
        <v>6</v>
      </c>
      <c r="CN122" s="1">
        <v>6</v>
      </c>
      <c r="CO122" s="1">
        <v>6</v>
      </c>
      <c r="CP122" s="1">
        <v>4</v>
      </c>
      <c r="CQ122" s="1">
        <v>4</v>
      </c>
      <c r="CR122" s="1">
        <v>4</v>
      </c>
      <c r="CS122" s="1">
        <v>4</v>
      </c>
      <c r="CT122" s="1">
        <v>4</v>
      </c>
      <c r="CU122" s="1">
        <v>4</v>
      </c>
      <c r="CV122" s="1">
        <v>4</v>
      </c>
      <c r="CW122" s="1">
        <v>4</v>
      </c>
      <c r="CX122" s="1">
        <v>4</v>
      </c>
      <c r="CY122" s="1">
        <v>4</v>
      </c>
      <c r="CZ122" s="1">
        <v>5</v>
      </c>
      <c r="DA122" s="1">
        <v>6</v>
      </c>
      <c r="DB122" s="1">
        <v>6</v>
      </c>
      <c r="DC122" s="1">
        <v>5</v>
      </c>
      <c r="DD122" s="1">
        <v>5</v>
      </c>
      <c r="DE122" s="1">
        <v>3</v>
      </c>
      <c r="DF122" s="1">
        <v>1</v>
      </c>
      <c r="DG122" s="1">
        <v>2</v>
      </c>
      <c r="DH122" s="1">
        <v>6</v>
      </c>
      <c r="DI122" s="1">
        <v>5</v>
      </c>
      <c r="DJ122" s="1">
        <v>2</v>
      </c>
      <c r="DK122" s="1">
        <v>1</v>
      </c>
      <c r="DL122" s="1">
        <v>6</v>
      </c>
      <c r="DM122" s="19">
        <v>4</v>
      </c>
      <c r="DN122" s="19">
        <v>2</v>
      </c>
      <c r="DO122" s="1">
        <v>2</v>
      </c>
      <c r="DP122" s="1">
        <v>5</v>
      </c>
      <c r="DQ122" s="1">
        <v>6</v>
      </c>
      <c r="DR122" s="1">
        <v>4</v>
      </c>
      <c r="DS122" s="1">
        <v>4</v>
      </c>
      <c r="DT122" s="1">
        <v>4</v>
      </c>
      <c r="DU122" s="27">
        <v>4</v>
      </c>
      <c r="DV122" s="27">
        <v>4</v>
      </c>
      <c r="DW122" s="27">
        <v>4</v>
      </c>
      <c r="DX122" s="27">
        <v>4</v>
      </c>
      <c r="DY122" s="27">
        <v>4</v>
      </c>
      <c r="DZ122" s="27">
        <v>4</v>
      </c>
      <c r="EA122" s="27">
        <v>2</v>
      </c>
      <c r="EB122" s="27">
        <v>4</v>
      </c>
      <c r="EC122" s="27">
        <v>6</v>
      </c>
      <c r="ED122" s="27">
        <v>4</v>
      </c>
      <c r="EE122" s="27">
        <v>4</v>
      </c>
      <c r="EF122" s="27">
        <v>4</v>
      </c>
      <c r="EG122" s="27">
        <v>6</v>
      </c>
      <c r="EH122" s="27">
        <v>7</v>
      </c>
      <c r="EI122" s="27">
        <v>6</v>
      </c>
      <c r="EJ122" s="27">
        <v>6</v>
      </c>
      <c r="EK122" s="27">
        <v>6</v>
      </c>
      <c r="EL122" s="27">
        <v>6</v>
      </c>
      <c r="EM122" s="27">
        <v>2</v>
      </c>
      <c r="EN122" s="27">
        <v>2</v>
      </c>
      <c r="EO122" s="27">
        <v>4</v>
      </c>
      <c r="EP122" s="27">
        <v>4</v>
      </c>
      <c r="EQ122" s="27">
        <v>4</v>
      </c>
      <c r="ER122" s="27">
        <v>6</v>
      </c>
      <c r="ES122" s="27">
        <v>6</v>
      </c>
      <c r="ET122" s="27">
        <v>4</v>
      </c>
      <c r="EU122" s="27">
        <v>4</v>
      </c>
      <c r="EV122" s="1">
        <v>20</v>
      </c>
      <c r="EW122" s="1">
        <v>1</v>
      </c>
      <c r="EY122" s="1">
        <v>2</v>
      </c>
      <c r="EZ122" s="9"/>
      <c r="FA122" s="1">
        <v>3</v>
      </c>
      <c r="FB122" s="9" t="s">
        <v>817</v>
      </c>
      <c r="FC122" s="1">
        <v>1</v>
      </c>
      <c r="FD122" s="1">
        <v>3</v>
      </c>
      <c r="FE122" s="4">
        <v>5.86</v>
      </c>
      <c r="FF122" s="4">
        <v>5.69</v>
      </c>
      <c r="FG122" s="4">
        <v>7.19</v>
      </c>
      <c r="FH122" s="4">
        <v>5.33</v>
      </c>
      <c r="FI122" s="4">
        <v>5.63</v>
      </c>
      <c r="FJ122" s="23">
        <v>5.25</v>
      </c>
      <c r="FK122" s="4">
        <v>4.13</v>
      </c>
      <c r="FL122" s="4">
        <v>5.5</v>
      </c>
      <c r="FM122" s="4">
        <v>3.63</v>
      </c>
      <c r="FN122" s="4">
        <v>5.13</v>
      </c>
      <c r="FO122" s="4">
        <v>5.25</v>
      </c>
      <c r="FP122" s="4">
        <v>5.75</v>
      </c>
      <c r="FQ122" s="4">
        <v>3.13</v>
      </c>
      <c r="FR122" s="4">
        <v>1.25</v>
      </c>
      <c r="FS122" s="4">
        <v>3</v>
      </c>
      <c r="FT122" s="4">
        <v>6.5</v>
      </c>
      <c r="FU122" s="4">
        <v>4</v>
      </c>
      <c r="FV122" s="4">
        <v>4.5</v>
      </c>
      <c r="FW122" s="4">
        <v>4.25</v>
      </c>
      <c r="FX122" s="4">
        <v>4.5</v>
      </c>
      <c r="FY122" s="4">
        <v>6.88</v>
      </c>
      <c r="FZ122" s="4">
        <v>6</v>
      </c>
      <c r="GA122" s="4">
        <v>2</v>
      </c>
      <c r="GB122" s="4">
        <v>5.75</v>
      </c>
      <c r="GC122" s="4">
        <v>5.25</v>
      </c>
      <c r="GD122" s="4">
        <v>3.25</v>
      </c>
      <c r="GE122" s="26"/>
      <c r="GF122" s="26"/>
      <c r="GG122" s="4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S122" s="3"/>
      <c r="HU122" s="3"/>
      <c r="HX122" s="3"/>
      <c r="IA122" s="3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3"/>
      <c r="JP122" s="3"/>
      <c r="JQ122" s="4"/>
      <c r="JR122" s="5"/>
      <c r="JS122" s="5"/>
      <c r="JT122" s="8"/>
      <c r="JU122" s="8"/>
      <c r="JV122" s="8"/>
      <c r="JW122" s="8"/>
      <c r="JX122" s="8"/>
      <c r="JY122" s="8"/>
      <c r="JZ122" s="8"/>
      <c r="KA122" s="8"/>
      <c r="KB122" s="8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</row>
    <row r="123" spans="1:374" s="1" customFormat="1" x14ac:dyDescent="0.35">
      <c r="A123" s="2">
        <v>43355</v>
      </c>
      <c r="B123" s="15" t="s">
        <v>119</v>
      </c>
      <c r="C123" s="15" t="s">
        <v>284</v>
      </c>
      <c r="D123" s="1">
        <v>122</v>
      </c>
      <c r="E123" s="3">
        <v>3</v>
      </c>
      <c r="F123" s="3">
        <v>1</v>
      </c>
      <c r="G123" s="3"/>
      <c r="H123" s="3">
        <v>31</v>
      </c>
      <c r="I123" s="3">
        <v>2</v>
      </c>
      <c r="J123" s="3"/>
      <c r="K123" s="18">
        <v>0</v>
      </c>
      <c r="L123" s="18">
        <v>1</v>
      </c>
      <c r="M123" s="18">
        <v>0</v>
      </c>
      <c r="N123" s="18">
        <v>1</v>
      </c>
      <c r="O123" s="18">
        <v>0</v>
      </c>
      <c r="P123" s="4">
        <v>0.4</v>
      </c>
      <c r="Q123" s="3">
        <v>47</v>
      </c>
      <c r="R123" s="3">
        <v>80</v>
      </c>
      <c r="S123" s="3">
        <v>114</v>
      </c>
      <c r="T123" s="3">
        <v>62</v>
      </c>
      <c r="U123" s="3">
        <v>58</v>
      </c>
      <c r="V123" s="3">
        <v>63</v>
      </c>
      <c r="W123" s="3">
        <v>75</v>
      </c>
      <c r="X123" s="3">
        <v>66</v>
      </c>
      <c r="Y123" s="3">
        <v>64</v>
      </c>
      <c r="Z123" s="3"/>
      <c r="AA123" s="3"/>
      <c r="AB123" s="3"/>
      <c r="AC123" s="3"/>
      <c r="AD123" s="3"/>
      <c r="AE123" s="3"/>
      <c r="AF123" s="3"/>
      <c r="AG123" s="3"/>
      <c r="AH123" s="3"/>
      <c r="AI123" s="4"/>
      <c r="AJ123" s="4"/>
      <c r="AK123" s="4"/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  <c r="AX123" s="19"/>
      <c r="AY123"/>
      <c r="AZ123"/>
      <c r="BA123"/>
      <c r="BB123"/>
      <c r="BC123"/>
      <c r="BP123" s="4"/>
      <c r="BQ123" s="4"/>
      <c r="BR123" s="4"/>
      <c r="BS123" s="4"/>
      <c r="BT123" s="4"/>
      <c r="BU123" s="4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1">
        <v>6</v>
      </c>
      <c r="CJ123" s="1">
        <v>7</v>
      </c>
      <c r="CK123" s="1">
        <v>6</v>
      </c>
      <c r="CL123" s="1">
        <v>6</v>
      </c>
      <c r="CM123" s="1">
        <v>4</v>
      </c>
      <c r="CN123" s="1">
        <v>5</v>
      </c>
      <c r="CO123" s="1">
        <v>4</v>
      </c>
      <c r="CP123" s="1">
        <v>2</v>
      </c>
      <c r="CQ123" s="1">
        <v>6</v>
      </c>
      <c r="CR123" s="1">
        <v>7</v>
      </c>
      <c r="CS123" s="1">
        <v>7</v>
      </c>
      <c r="CT123" s="1">
        <v>6</v>
      </c>
      <c r="CU123" s="1">
        <v>5</v>
      </c>
      <c r="CV123" s="1">
        <v>5</v>
      </c>
      <c r="CW123" s="1">
        <v>7</v>
      </c>
      <c r="CX123" s="1">
        <v>6</v>
      </c>
      <c r="CY123" s="1">
        <v>7</v>
      </c>
      <c r="CZ123" s="1">
        <v>6</v>
      </c>
      <c r="DA123" s="1">
        <v>6</v>
      </c>
      <c r="DB123" s="1">
        <v>6</v>
      </c>
      <c r="DC123" s="1">
        <v>7</v>
      </c>
      <c r="DD123" s="1">
        <v>6</v>
      </c>
      <c r="DE123" s="1">
        <v>6</v>
      </c>
      <c r="DF123" s="1">
        <v>6</v>
      </c>
      <c r="DG123" s="1">
        <v>5</v>
      </c>
      <c r="DH123" s="1">
        <v>2</v>
      </c>
      <c r="DI123" s="1">
        <v>7</v>
      </c>
      <c r="DJ123" s="1">
        <v>6</v>
      </c>
      <c r="DK123" s="1">
        <v>6</v>
      </c>
      <c r="DL123" s="1">
        <v>7</v>
      </c>
      <c r="DM123" s="19">
        <v>6</v>
      </c>
      <c r="DN123" s="19">
        <v>7</v>
      </c>
      <c r="DO123" s="1">
        <v>4</v>
      </c>
      <c r="DP123" s="1">
        <v>6</v>
      </c>
      <c r="DQ123" s="1">
        <v>6</v>
      </c>
      <c r="DR123" s="1">
        <v>6</v>
      </c>
      <c r="DS123" s="1">
        <v>6</v>
      </c>
      <c r="DT123" s="1">
        <v>7</v>
      </c>
      <c r="DU123" s="27">
        <v>7</v>
      </c>
      <c r="DV123" s="27">
        <v>6</v>
      </c>
      <c r="DW123" s="27">
        <v>7</v>
      </c>
      <c r="DX123" s="27">
        <v>5</v>
      </c>
      <c r="DY123" s="27">
        <v>4</v>
      </c>
      <c r="DZ123" s="27">
        <v>1</v>
      </c>
      <c r="EA123" s="27">
        <v>1</v>
      </c>
      <c r="EB123" s="27">
        <v>2</v>
      </c>
      <c r="EC123" s="27">
        <v>7</v>
      </c>
      <c r="ED123" s="27">
        <v>4</v>
      </c>
      <c r="EE123" s="27">
        <v>6</v>
      </c>
      <c r="EF123" s="27">
        <v>2</v>
      </c>
      <c r="EG123" s="27">
        <v>4</v>
      </c>
      <c r="EH123" s="27">
        <v>7</v>
      </c>
      <c r="EI123" s="27">
        <v>7</v>
      </c>
      <c r="EJ123" s="27">
        <v>7</v>
      </c>
      <c r="EK123" s="27">
        <v>7</v>
      </c>
      <c r="EL123" s="27">
        <v>7</v>
      </c>
      <c r="EM123" s="27">
        <v>1</v>
      </c>
      <c r="EN123" s="27">
        <v>1</v>
      </c>
      <c r="EO123" s="27">
        <v>7</v>
      </c>
      <c r="EP123" s="27">
        <v>7</v>
      </c>
      <c r="EQ123" s="27">
        <v>7</v>
      </c>
      <c r="ER123" s="27">
        <v>7</v>
      </c>
      <c r="ES123" s="27">
        <v>7</v>
      </c>
      <c r="ET123" s="27">
        <v>4</v>
      </c>
      <c r="EU123" s="27">
        <v>4</v>
      </c>
      <c r="EV123" s="1">
        <v>19</v>
      </c>
      <c r="EW123" s="1">
        <v>1</v>
      </c>
      <c r="EY123" s="1">
        <v>1</v>
      </c>
      <c r="EZ123" s="9"/>
      <c r="FA123" s="1">
        <v>1</v>
      </c>
      <c r="FB123" s="9" t="s">
        <v>858</v>
      </c>
      <c r="FC123" s="1">
        <v>0</v>
      </c>
      <c r="FD123" s="1">
        <v>3</v>
      </c>
      <c r="FE123" s="4"/>
      <c r="FF123" s="4"/>
      <c r="FG123" s="4"/>
      <c r="FH123" s="4"/>
      <c r="FI123" s="4"/>
      <c r="FJ123" s="23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26"/>
      <c r="GF123" s="26"/>
      <c r="GG123" s="4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S123" s="3"/>
      <c r="HU123" s="3"/>
      <c r="HX123" s="3"/>
      <c r="IA123" s="3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6"/>
      <c r="JP123" s="6"/>
      <c r="JQ123" s="6"/>
      <c r="JR123" s="6"/>
      <c r="JS123" s="6"/>
      <c r="JT123" s="8"/>
      <c r="JU123" s="8"/>
      <c r="JV123" s="8"/>
      <c r="JW123" s="8"/>
      <c r="JX123" s="8"/>
      <c r="JY123" s="8"/>
      <c r="JZ123" s="8"/>
      <c r="KA123" s="8"/>
      <c r="KB123" s="8"/>
      <c r="KC123" s="6"/>
      <c r="KD123" s="6"/>
      <c r="KE123" s="6"/>
      <c r="KF123" s="6"/>
      <c r="KG123" s="6"/>
      <c r="KH123" s="6"/>
      <c r="KI123" s="6"/>
      <c r="KJ123" s="6"/>
      <c r="KK123" s="6"/>
      <c r="KL123" s="4"/>
      <c r="KM123" s="4"/>
      <c r="KN123" s="6"/>
      <c r="KO123" s="4"/>
      <c r="KP123" s="4"/>
      <c r="KQ123" s="6"/>
      <c r="KR123" s="6"/>
      <c r="KS123" s="4"/>
      <c r="KU123" s="4"/>
      <c r="KV123" s="4"/>
      <c r="KW123" s="4"/>
      <c r="KX123" s="6"/>
      <c r="KY123" s="6"/>
      <c r="KZ123" s="6"/>
      <c r="LA123" s="4"/>
      <c r="LB123" s="6"/>
      <c r="LC123" s="6"/>
      <c r="LD123" s="4"/>
      <c r="LE123" s="4"/>
      <c r="LF123" s="6"/>
      <c r="LG123" s="6"/>
      <c r="LH123" s="6"/>
      <c r="LI123" s="6"/>
      <c r="LJ123" s="6"/>
      <c r="LK123" s="6"/>
      <c r="LL123" s="6"/>
      <c r="LM123" s="6"/>
      <c r="LN123" s="6"/>
      <c r="LO123" s="6"/>
      <c r="LP123" s="6"/>
      <c r="LQ123" s="6"/>
      <c r="LR123" s="6"/>
      <c r="LS123" s="6"/>
      <c r="LT123" s="6"/>
      <c r="LU123" s="6"/>
      <c r="LV123" s="6"/>
      <c r="LW123" s="6"/>
      <c r="LX123" s="6"/>
      <c r="LY123" s="6"/>
      <c r="LZ123" s="6"/>
      <c r="MA123" s="6"/>
      <c r="MB123" s="6"/>
      <c r="MC123" s="6"/>
      <c r="MD123" s="6"/>
      <c r="ME123" s="6"/>
      <c r="MF123" s="6"/>
      <c r="MG123" s="6"/>
      <c r="MH123" s="6"/>
      <c r="MI123" s="6"/>
      <c r="MJ123" s="6"/>
      <c r="MK123" s="6"/>
      <c r="ML123" s="6"/>
      <c r="MM123" s="6"/>
      <c r="MN123" s="6"/>
      <c r="MO123" s="6"/>
      <c r="MP123" s="6"/>
      <c r="MQ123" s="6"/>
      <c r="MR123" s="6"/>
      <c r="MS123" s="6"/>
      <c r="MT123" s="6"/>
      <c r="MU123" s="6"/>
      <c r="MV123" s="6"/>
      <c r="MW123" s="6"/>
      <c r="MX123" s="6"/>
      <c r="MY123" s="6"/>
      <c r="MZ123" s="6"/>
      <c r="NA123" s="6"/>
      <c r="NB123" s="6"/>
      <c r="NC123" s="6"/>
      <c r="ND123" s="6"/>
      <c r="NE123" s="6"/>
      <c r="NF123" s="6"/>
      <c r="NG123" s="6"/>
      <c r="NH123" s="6"/>
      <c r="NI123" s="6"/>
      <c r="NJ123" s="4"/>
    </row>
    <row r="124" spans="1:374" s="1" customFormat="1" x14ac:dyDescent="0.35">
      <c r="A124" s="2">
        <v>43355</v>
      </c>
      <c r="B124" s="15" t="s">
        <v>119</v>
      </c>
      <c r="C124" s="15" t="s">
        <v>285</v>
      </c>
      <c r="D124" s="1">
        <v>123</v>
      </c>
      <c r="E124" s="3">
        <v>3</v>
      </c>
      <c r="F124" s="3">
        <v>1</v>
      </c>
      <c r="G124" s="3"/>
      <c r="H124" s="3">
        <v>31</v>
      </c>
      <c r="I124" s="3">
        <v>3</v>
      </c>
      <c r="J124" s="3"/>
      <c r="K124" s="18">
        <v>1</v>
      </c>
      <c r="L124" s="18">
        <v>1</v>
      </c>
      <c r="M124" s="18">
        <v>1</v>
      </c>
      <c r="N124" s="18">
        <v>1</v>
      </c>
      <c r="O124" s="18">
        <v>0</v>
      </c>
      <c r="P124" s="4">
        <v>0.8</v>
      </c>
      <c r="Q124" s="3">
        <v>116</v>
      </c>
      <c r="R124" s="3">
        <v>110</v>
      </c>
      <c r="S124" s="3">
        <v>95</v>
      </c>
      <c r="T124" s="3">
        <v>84</v>
      </c>
      <c r="U124" s="3">
        <v>64</v>
      </c>
      <c r="V124" s="3">
        <v>55</v>
      </c>
      <c r="W124" s="3">
        <v>52</v>
      </c>
      <c r="X124" s="3">
        <v>51</v>
      </c>
      <c r="Y124" s="3">
        <v>53</v>
      </c>
      <c r="Z124" s="3"/>
      <c r="AA124" s="3"/>
      <c r="AB124" s="3"/>
      <c r="AC124" s="3"/>
      <c r="AD124" s="3"/>
      <c r="AE124" s="3"/>
      <c r="AF124" s="3"/>
      <c r="AG124" s="3"/>
      <c r="AH124" s="3"/>
      <c r="AI124" s="4"/>
      <c r="AJ124" s="4"/>
      <c r="AK124" s="4"/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9">
        <v>0</v>
      </c>
      <c r="AT124" s="19">
        <v>2</v>
      </c>
      <c r="AU124" s="19">
        <v>0</v>
      </c>
      <c r="AV124" s="19">
        <v>0</v>
      </c>
      <c r="AW124" s="19">
        <v>0</v>
      </c>
      <c r="AX124" s="19"/>
      <c r="AY124"/>
      <c r="AZ124"/>
      <c r="BA124"/>
      <c r="BB124"/>
      <c r="BC124"/>
      <c r="BP124" s="4"/>
      <c r="BQ124" s="4"/>
      <c r="BR124" s="4"/>
      <c r="BS124" s="4"/>
      <c r="BT124" s="4"/>
      <c r="BU124" s="4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1">
        <v>7</v>
      </c>
      <c r="CJ124" s="1">
        <v>6</v>
      </c>
      <c r="CK124" s="1">
        <v>6</v>
      </c>
      <c r="CL124" s="1">
        <v>6</v>
      </c>
      <c r="CM124" s="1">
        <v>6</v>
      </c>
      <c r="CN124" s="1">
        <v>6</v>
      </c>
      <c r="CO124" s="1">
        <v>6</v>
      </c>
      <c r="CP124" s="1">
        <v>1</v>
      </c>
      <c r="CQ124" s="1">
        <v>7</v>
      </c>
      <c r="CR124" s="1">
        <v>6</v>
      </c>
      <c r="CS124" s="1">
        <v>7</v>
      </c>
      <c r="CT124" s="1">
        <v>7</v>
      </c>
      <c r="CU124" s="1">
        <v>7</v>
      </c>
      <c r="CV124" s="1">
        <v>7</v>
      </c>
      <c r="CW124" s="1">
        <v>7</v>
      </c>
      <c r="CX124" s="1">
        <v>7</v>
      </c>
      <c r="CY124" s="1">
        <v>7</v>
      </c>
      <c r="CZ124" s="1">
        <v>6</v>
      </c>
      <c r="DA124" s="1">
        <v>6</v>
      </c>
      <c r="DB124" s="1">
        <v>6</v>
      </c>
      <c r="DC124" s="1">
        <v>6</v>
      </c>
      <c r="DD124" s="1">
        <v>6</v>
      </c>
      <c r="DE124" s="1">
        <v>7</v>
      </c>
      <c r="DF124" s="1">
        <v>6</v>
      </c>
      <c r="DG124" s="1">
        <v>2</v>
      </c>
      <c r="DH124" s="1">
        <v>6</v>
      </c>
      <c r="DI124" s="1">
        <v>6</v>
      </c>
      <c r="DJ124" s="1">
        <v>2</v>
      </c>
      <c r="DK124" s="1">
        <v>2</v>
      </c>
      <c r="DL124" s="1">
        <v>6</v>
      </c>
      <c r="DM124" s="19">
        <v>6</v>
      </c>
      <c r="DN124" s="19">
        <v>6</v>
      </c>
      <c r="DO124" s="1">
        <v>2</v>
      </c>
      <c r="DP124" s="1">
        <v>6</v>
      </c>
      <c r="DQ124" s="1">
        <v>2</v>
      </c>
      <c r="DR124" s="1">
        <v>4</v>
      </c>
      <c r="DS124" s="1">
        <v>7</v>
      </c>
      <c r="DT124" s="1">
        <v>5</v>
      </c>
      <c r="DU124" s="27">
        <v>7</v>
      </c>
      <c r="DV124" s="27">
        <v>7</v>
      </c>
      <c r="DW124" s="27">
        <v>7</v>
      </c>
      <c r="DX124" s="27">
        <v>1</v>
      </c>
      <c r="DY124" s="27">
        <v>1</v>
      </c>
      <c r="DZ124" s="27">
        <v>1</v>
      </c>
      <c r="EA124" s="27">
        <v>1</v>
      </c>
      <c r="EB124" s="27">
        <v>1</v>
      </c>
      <c r="EC124" s="27">
        <v>7</v>
      </c>
      <c r="ED124" s="27">
        <v>2</v>
      </c>
      <c r="EE124" s="27">
        <v>7</v>
      </c>
      <c r="EF124" s="27">
        <v>7</v>
      </c>
      <c r="EG124" s="27">
        <v>1</v>
      </c>
      <c r="EH124" s="27">
        <v>7</v>
      </c>
      <c r="EI124" s="27">
        <v>7</v>
      </c>
      <c r="EJ124" s="27">
        <v>7</v>
      </c>
      <c r="EK124" s="27">
        <v>7</v>
      </c>
      <c r="EL124" s="27">
        <v>7</v>
      </c>
      <c r="EM124" s="27">
        <v>1</v>
      </c>
      <c r="EN124" s="27">
        <v>1</v>
      </c>
      <c r="EO124" s="27">
        <v>1</v>
      </c>
      <c r="EP124" s="27">
        <v>7</v>
      </c>
      <c r="EQ124" s="27">
        <v>7</v>
      </c>
      <c r="ER124" s="27">
        <v>4</v>
      </c>
      <c r="ES124" s="27">
        <v>4</v>
      </c>
      <c r="ET124" s="27">
        <v>1</v>
      </c>
      <c r="EU124" s="27">
        <v>1</v>
      </c>
      <c r="EV124" s="1">
        <v>18</v>
      </c>
      <c r="EW124" s="1">
        <v>1</v>
      </c>
      <c r="EY124" s="1">
        <v>2</v>
      </c>
      <c r="EZ124" s="9"/>
      <c r="FA124" s="1">
        <v>1</v>
      </c>
      <c r="FB124" s="9" t="s">
        <v>843</v>
      </c>
      <c r="FC124" s="1">
        <v>1</v>
      </c>
      <c r="FD124" s="1">
        <v>1</v>
      </c>
      <c r="FE124" s="4"/>
      <c r="FF124" s="4"/>
      <c r="FG124" s="4"/>
      <c r="FH124" s="4"/>
      <c r="FI124" s="4"/>
      <c r="FJ124" s="23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26"/>
      <c r="GF124" s="26"/>
      <c r="GG124" s="4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S124" s="3"/>
      <c r="HU124" s="3"/>
      <c r="HX124" s="3"/>
      <c r="IA124" s="3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6"/>
      <c r="JP124" s="6"/>
      <c r="JQ124" s="6"/>
      <c r="JR124" s="6"/>
      <c r="JS124" s="6"/>
      <c r="JT124" s="8"/>
      <c r="JU124" s="8"/>
      <c r="JV124" s="8"/>
      <c r="JW124" s="8"/>
      <c r="JX124" s="8"/>
      <c r="JY124" s="8"/>
      <c r="JZ124" s="8"/>
      <c r="KA124" s="8"/>
      <c r="KB124" s="8"/>
      <c r="KC124" s="6"/>
      <c r="KD124" s="6"/>
      <c r="KE124" s="6"/>
      <c r="KF124" s="6"/>
      <c r="KG124" s="6"/>
      <c r="KH124" s="6"/>
      <c r="KI124" s="6"/>
      <c r="KJ124" s="6"/>
      <c r="KK124" s="6"/>
      <c r="KL124" s="4"/>
      <c r="KM124" s="4"/>
      <c r="KN124" s="6"/>
      <c r="KO124" s="4"/>
      <c r="KP124" s="4"/>
      <c r="KQ124" s="6"/>
      <c r="KR124" s="6"/>
      <c r="KS124" s="4"/>
      <c r="KU124" s="4"/>
      <c r="KV124" s="4"/>
      <c r="KW124" s="4"/>
      <c r="KX124" s="6"/>
      <c r="KY124" s="6"/>
      <c r="KZ124" s="6"/>
      <c r="LA124" s="4"/>
      <c r="LB124" s="6"/>
      <c r="LC124" s="6"/>
      <c r="LD124" s="4"/>
      <c r="LE124" s="4"/>
      <c r="LF124" s="6"/>
      <c r="LG124" s="6"/>
      <c r="LH124" s="6"/>
      <c r="LI124" s="6"/>
      <c r="LJ124" s="6"/>
      <c r="LK124" s="6"/>
      <c r="LL124" s="6"/>
      <c r="LM124" s="6"/>
      <c r="LN124" s="6"/>
      <c r="LO124" s="6"/>
      <c r="LP124" s="6"/>
      <c r="LQ124" s="6"/>
      <c r="LR124" s="6"/>
      <c r="LS124" s="6"/>
      <c r="LT124" s="6"/>
      <c r="LU124" s="6"/>
      <c r="LV124" s="6"/>
      <c r="LW124" s="6"/>
      <c r="LX124" s="6"/>
      <c r="LY124" s="6"/>
      <c r="LZ124" s="6"/>
      <c r="MA124" s="6"/>
      <c r="MB124" s="6"/>
      <c r="MC124" s="6"/>
      <c r="MD124" s="6"/>
      <c r="ME124" s="6"/>
      <c r="MF124" s="6"/>
      <c r="MG124" s="6"/>
      <c r="MH124" s="6"/>
      <c r="MI124" s="6"/>
      <c r="MJ124" s="6"/>
      <c r="MK124" s="6"/>
      <c r="ML124" s="6"/>
      <c r="MM124" s="6"/>
      <c r="MN124" s="6"/>
      <c r="MO124" s="6"/>
      <c r="MP124" s="6"/>
      <c r="MQ124" s="6"/>
      <c r="MR124" s="6"/>
      <c r="MS124" s="6"/>
      <c r="MT124" s="6"/>
      <c r="MU124" s="6"/>
      <c r="MV124" s="6"/>
      <c r="MW124" s="6"/>
      <c r="MX124" s="6"/>
      <c r="MY124" s="6"/>
      <c r="MZ124" s="6"/>
      <c r="NA124" s="6"/>
      <c r="NB124" s="6"/>
      <c r="NC124" s="6"/>
      <c r="ND124" s="6"/>
      <c r="NE124" s="6"/>
      <c r="NF124" s="6"/>
      <c r="NG124" s="6"/>
      <c r="NH124" s="6"/>
      <c r="NI124" s="6"/>
      <c r="NJ124" s="4"/>
    </row>
    <row r="125" spans="1:374" s="1" customFormat="1" x14ac:dyDescent="0.35">
      <c r="A125" s="2">
        <v>43355</v>
      </c>
      <c r="B125" s="15" t="s">
        <v>119</v>
      </c>
      <c r="C125" s="15" t="s">
        <v>286</v>
      </c>
      <c r="D125" s="1">
        <v>124</v>
      </c>
      <c r="E125" s="3">
        <v>3</v>
      </c>
      <c r="F125" s="3">
        <v>1</v>
      </c>
      <c r="G125" s="3"/>
      <c r="H125" s="3">
        <v>31</v>
      </c>
      <c r="I125" s="3">
        <v>4</v>
      </c>
      <c r="J125" s="3"/>
      <c r="K125" s="18">
        <v>1</v>
      </c>
      <c r="L125" s="18">
        <v>1</v>
      </c>
      <c r="M125" s="18">
        <v>1</v>
      </c>
      <c r="N125" s="18">
        <v>1</v>
      </c>
      <c r="O125" s="18">
        <v>1</v>
      </c>
      <c r="P125" s="4">
        <v>1</v>
      </c>
      <c r="Q125" s="3">
        <v>99</v>
      </c>
      <c r="R125" s="3">
        <v>68</v>
      </c>
      <c r="S125" s="3">
        <v>44</v>
      </c>
      <c r="T125" s="3">
        <v>32</v>
      </c>
      <c r="U125" s="3">
        <v>32</v>
      </c>
      <c r="V125" s="3">
        <v>43</v>
      </c>
      <c r="W125" s="3">
        <v>41</v>
      </c>
      <c r="X125" s="3">
        <v>48</v>
      </c>
      <c r="Y125" s="3">
        <v>42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4"/>
      <c r="AJ125" s="4"/>
      <c r="AK125" s="4"/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9">
        <v>0</v>
      </c>
      <c r="AT125" s="19">
        <v>0</v>
      </c>
      <c r="AU125" s="19">
        <v>0</v>
      </c>
      <c r="AV125" s="19">
        <v>0</v>
      </c>
      <c r="AW125" s="19">
        <v>0</v>
      </c>
      <c r="AX125" s="19"/>
      <c r="AY125"/>
      <c r="AZ125"/>
      <c r="BA125"/>
      <c r="BB125"/>
      <c r="BC125"/>
      <c r="BP125" s="4"/>
      <c r="BQ125" s="4"/>
      <c r="BR125" s="4"/>
      <c r="BS125" s="4"/>
      <c r="BT125" s="4"/>
      <c r="BU125" s="4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1">
        <v>6</v>
      </c>
      <c r="CJ125" s="1">
        <v>6</v>
      </c>
      <c r="CK125" s="1">
        <v>6</v>
      </c>
      <c r="CL125" s="1">
        <v>6</v>
      </c>
      <c r="CM125" s="1">
        <v>6</v>
      </c>
      <c r="CN125" s="1">
        <v>6</v>
      </c>
      <c r="CO125" s="1">
        <v>3</v>
      </c>
      <c r="CP125" s="1">
        <v>4</v>
      </c>
      <c r="CQ125" s="1">
        <v>6</v>
      </c>
      <c r="CR125" s="1">
        <v>6</v>
      </c>
      <c r="CS125" s="1">
        <v>6</v>
      </c>
      <c r="CT125" s="1">
        <v>4</v>
      </c>
      <c r="CU125" s="1">
        <v>6</v>
      </c>
      <c r="CV125" s="1">
        <v>6</v>
      </c>
      <c r="CW125" s="1">
        <v>6</v>
      </c>
      <c r="CX125" s="1">
        <v>6</v>
      </c>
      <c r="CY125" s="1">
        <v>6</v>
      </c>
      <c r="CZ125" s="1">
        <v>4</v>
      </c>
      <c r="DA125" s="1">
        <v>3</v>
      </c>
      <c r="DB125" s="1">
        <v>4</v>
      </c>
      <c r="DC125" s="1">
        <v>4</v>
      </c>
      <c r="DD125" s="1">
        <v>6</v>
      </c>
      <c r="DE125" s="1">
        <v>5</v>
      </c>
      <c r="DF125" s="1">
        <v>4</v>
      </c>
      <c r="DG125" s="1">
        <v>4</v>
      </c>
      <c r="DH125" s="1">
        <v>2</v>
      </c>
      <c r="DI125" s="1">
        <v>5</v>
      </c>
      <c r="DJ125" s="1">
        <v>6</v>
      </c>
      <c r="DK125" s="1">
        <v>5</v>
      </c>
      <c r="DL125" s="1">
        <v>4</v>
      </c>
      <c r="DM125" s="19">
        <v>5</v>
      </c>
      <c r="DN125" s="19">
        <v>4</v>
      </c>
      <c r="DO125" s="1">
        <v>2</v>
      </c>
      <c r="DP125" s="1">
        <v>5</v>
      </c>
      <c r="DQ125" s="1">
        <v>5</v>
      </c>
      <c r="DR125" s="1">
        <v>3</v>
      </c>
      <c r="DS125" s="1">
        <v>7</v>
      </c>
      <c r="DT125" s="1">
        <v>6</v>
      </c>
      <c r="DU125" s="27">
        <v>6</v>
      </c>
      <c r="DV125" s="27">
        <v>6</v>
      </c>
      <c r="DW125" s="27">
        <v>4</v>
      </c>
      <c r="DX125" s="27">
        <v>4</v>
      </c>
      <c r="DY125" s="27">
        <v>2</v>
      </c>
      <c r="DZ125" s="27">
        <v>2</v>
      </c>
      <c r="EA125" s="27">
        <v>1</v>
      </c>
      <c r="EB125" s="27">
        <v>5</v>
      </c>
      <c r="EC125" s="27">
        <v>6</v>
      </c>
      <c r="ED125" s="27">
        <v>6</v>
      </c>
      <c r="EE125" s="27">
        <v>1</v>
      </c>
      <c r="EF125" s="27">
        <v>4</v>
      </c>
      <c r="EG125" s="27">
        <v>7</v>
      </c>
      <c r="EH125" s="27">
        <v>7</v>
      </c>
      <c r="EI125" s="27">
        <v>7</v>
      </c>
      <c r="EJ125" s="27">
        <v>4</v>
      </c>
      <c r="EK125" s="27">
        <v>4</v>
      </c>
      <c r="EL125" s="27">
        <v>4</v>
      </c>
      <c r="EM125" s="27">
        <v>4</v>
      </c>
      <c r="EN125" s="27">
        <v>4</v>
      </c>
      <c r="EO125" s="27">
        <v>7</v>
      </c>
      <c r="EP125" s="27">
        <v>7</v>
      </c>
      <c r="EQ125" s="27">
        <v>7</v>
      </c>
      <c r="ER125" s="27">
        <v>4</v>
      </c>
      <c r="ES125" s="27">
        <v>4</v>
      </c>
      <c r="ET125" s="27">
        <v>4</v>
      </c>
      <c r="EU125" s="27">
        <v>4</v>
      </c>
      <c r="EV125" s="1">
        <v>18</v>
      </c>
      <c r="EW125" s="1">
        <v>2</v>
      </c>
      <c r="EY125" s="1">
        <v>1</v>
      </c>
      <c r="EZ125" s="9"/>
      <c r="FA125" s="1">
        <v>1</v>
      </c>
      <c r="FB125" s="9" t="s">
        <v>797</v>
      </c>
      <c r="FC125" s="1">
        <v>1</v>
      </c>
      <c r="FD125" s="1">
        <v>4</v>
      </c>
      <c r="FE125" s="4"/>
      <c r="FF125" s="4"/>
      <c r="FG125" s="4"/>
      <c r="FH125" s="4"/>
      <c r="FI125" s="4"/>
      <c r="FJ125" s="23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26"/>
      <c r="GF125" s="26"/>
      <c r="GG125" s="4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S125" s="3"/>
      <c r="HU125" s="3"/>
      <c r="HX125" s="3"/>
      <c r="IA125" s="3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6"/>
      <c r="JP125" s="6"/>
      <c r="JQ125" s="6"/>
      <c r="JR125" s="6"/>
      <c r="JS125" s="6"/>
      <c r="JT125" s="8"/>
      <c r="JU125" s="8"/>
      <c r="JV125" s="8"/>
      <c r="JW125" s="8"/>
      <c r="JX125" s="8"/>
      <c r="JY125" s="8"/>
      <c r="JZ125" s="8"/>
      <c r="KA125" s="8"/>
      <c r="KB125" s="8"/>
      <c r="KC125" s="6"/>
      <c r="KD125" s="6"/>
      <c r="KE125" s="6"/>
      <c r="KF125" s="6"/>
      <c r="KG125" s="6"/>
      <c r="KH125" s="6"/>
      <c r="KI125" s="6"/>
      <c r="KJ125" s="6"/>
      <c r="KK125" s="6"/>
      <c r="KL125" s="4"/>
      <c r="KM125" s="4"/>
      <c r="KN125" s="6"/>
      <c r="KO125" s="4"/>
      <c r="KP125" s="4"/>
      <c r="KQ125" s="6"/>
      <c r="KR125" s="6"/>
      <c r="KS125" s="4"/>
      <c r="KU125" s="4"/>
      <c r="KV125" s="4"/>
      <c r="KW125" s="4"/>
      <c r="KX125" s="6"/>
      <c r="KY125" s="6"/>
      <c r="KZ125" s="6"/>
      <c r="LA125" s="4"/>
      <c r="LB125" s="6"/>
      <c r="LC125" s="6"/>
      <c r="LD125" s="4"/>
      <c r="LE125" s="4"/>
      <c r="LF125" s="6"/>
      <c r="LG125" s="6"/>
      <c r="LH125" s="6"/>
      <c r="LI125" s="6"/>
      <c r="LJ125" s="6"/>
      <c r="LK125" s="6"/>
      <c r="LL125" s="6"/>
      <c r="LM125" s="6"/>
      <c r="LN125" s="6"/>
      <c r="LO125" s="6"/>
      <c r="LP125" s="6"/>
      <c r="LQ125" s="6"/>
      <c r="LR125" s="6"/>
      <c r="LS125" s="6"/>
      <c r="LT125" s="6"/>
      <c r="LU125" s="6"/>
      <c r="LV125" s="6"/>
      <c r="LW125" s="6"/>
      <c r="LX125" s="6"/>
      <c r="LY125" s="6"/>
      <c r="LZ125" s="6"/>
      <c r="MA125" s="6"/>
      <c r="MB125" s="6"/>
      <c r="MC125" s="6"/>
      <c r="MD125" s="6"/>
      <c r="ME125" s="6"/>
      <c r="MF125" s="6"/>
      <c r="MG125" s="6"/>
      <c r="MH125" s="6"/>
      <c r="MI125" s="6"/>
      <c r="MJ125" s="6"/>
      <c r="MK125" s="6"/>
      <c r="ML125" s="6"/>
      <c r="MM125" s="6"/>
      <c r="MN125" s="6"/>
      <c r="MO125" s="6"/>
      <c r="MP125" s="6"/>
      <c r="MQ125" s="6"/>
      <c r="MR125" s="6"/>
      <c r="MS125" s="6"/>
      <c r="MT125" s="6"/>
      <c r="MU125" s="6"/>
      <c r="MV125" s="6"/>
      <c r="MW125" s="6"/>
      <c r="MX125" s="6"/>
      <c r="MY125" s="6"/>
      <c r="MZ125" s="6"/>
      <c r="NA125" s="6"/>
      <c r="NB125" s="6"/>
      <c r="NC125" s="6"/>
      <c r="ND125" s="6"/>
      <c r="NE125" s="6"/>
      <c r="NF125" s="6"/>
      <c r="NG125" s="6"/>
      <c r="NH125" s="6"/>
      <c r="NI125" s="6"/>
      <c r="NJ125" s="4"/>
    </row>
    <row r="126" spans="1:374" s="1" customFormat="1" x14ac:dyDescent="0.35">
      <c r="A126" s="2">
        <v>43370</v>
      </c>
      <c r="B126" s="15" t="s">
        <v>120</v>
      </c>
      <c r="C126" s="15" t="s">
        <v>287</v>
      </c>
      <c r="D126" s="1">
        <v>125</v>
      </c>
      <c r="E126" s="3">
        <v>3</v>
      </c>
      <c r="F126" s="3">
        <v>1</v>
      </c>
      <c r="G126" s="3">
        <v>0</v>
      </c>
      <c r="H126" s="3">
        <v>32</v>
      </c>
      <c r="I126" s="3">
        <v>1</v>
      </c>
      <c r="J126" s="3">
        <v>1</v>
      </c>
      <c r="K126" s="18">
        <v>0</v>
      </c>
      <c r="L126" s="18">
        <v>1</v>
      </c>
      <c r="M126" s="18">
        <v>1</v>
      </c>
      <c r="N126" s="18">
        <v>1</v>
      </c>
      <c r="O126" s="18">
        <v>1</v>
      </c>
      <c r="P126" s="4">
        <v>0.8</v>
      </c>
      <c r="Q126" s="3">
        <v>94</v>
      </c>
      <c r="R126" s="3">
        <v>100</v>
      </c>
      <c r="S126" s="3">
        <v>92</v>
      </c>
      <c r="T126" s="3">
        <v>100</v>
      </c>
      <c r="U126" s="3">
        <v>96</v>
      </c>
      <c r="V126" s="3">
        <v>89</v>
      </c>
      <c r="W126" s="3">
        <v>93</v>
      </c>
      <c r="X126" s="3">
        <v>87</v>
      </c>
      <c r="Y126" s="3">
        <v>93</v>
      </c>
      <c r="Z126" s="3">
        <v>300</v>
      </c>
      <c r="AA126" s="3">
        <v>361</v>
      </c>
      <c r="AB126" s="3">
        <v>379</v>
      </c>
      <c r="AC126" s="3">
        <v>423</v>
      </c>
      <c r="AD126" s="3">
        <v>387</v>
      </c>
      <c r="AE126" s="3">
        <v>373</v>
      </c>
      <c r="AF126" s="3">
        <v>348</v>
      </c>
      <c r="AG126" s="3">
        <v>377</v>
      </c>
      <c r="AH126" s="3">
        <v>381</v>
      </c>
      <c r="AI126" s="4">
        <v>346.67</v>
      </c>
      <c r="AJ126" s="4">
        <v>394.33</v>
      </c>
      <c r="AK126" s="4">
        <v>368.67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9">
        <v>0</v>
      </c>
      <c r="AT126" s="19">
        <v>0</v>
      </c>
      <c r="AU126" s="19">
        <v>0</v>
      </c>
      <c r="AV126" s="19">
        <v>0</v>
      </c>
      <c r="AW126" s="19">
        <v>0</v>
      </c>
      <c r="AX126" s="19">
        <f t="shared" ref="AX126:BC126" si="62">AL126+AL127+AL128+AL129</f>
        <v>0</v>
      </c>
      <c r="AY126" s="19">
        <f t="shared" si="62"/>
        <v>0</v>
      </c>
      <c r="AZ126" s="19">
        <f t="shared" si="62"/>
        <v>0</v>
      </c>
      <c r="BA126" s="19">
        <f t="shared" si="62"/>
        <v>0</v>
      </c>
      <c r="BB126" s="19">
        <f t="shared" si="62"/>
        <v>0</v>
      </c>
      <c r="BC126" s="19">
        <f t="shared" si="62"/>
        <v>0</v>
      </c>
      <c r="BD126" s="1">
        <f>AX126*3</f>
        <v>0</v>
      </c>
      <c r="BE126" s="1">
        <f t="shared" ref="BE126:BI126" si="63">AY126*3</f>
        <v>0</v>
      </c>
      <c r="BF126" s="1">
        <f t="shared" si="63"/>
        <v>0</v>
      </c>
      <c r="BG126" s="1">
        <f t="shared" si="63"/>
        <v>0</v>
      </c>
      <c r="BH126" s="1">
        <f t="shared" si="63"/>
        <v>0</v>
      </c>
      <c r="BI126" s="1">
        <f t="shared" si="63"/>
        <v>0</v>
      </c>
      <c r="BJ126" s="1">
        <f>AX126+AY126+AZ126</f>
        <v>0</v>
      </c>
      <c r="BK126" s="1">
        <f>BA126+BB126+BC126</f>
        <v>0</v>
      </c>
      <c r="BL126" s="1">
        <f>BJ126*3</f>
        <v>0</v>
      </c>
      <c r="BM126" s="1">
        <f>BK126*3</f>
        <v>0</v>
      </c>
      <c r="BN126" s="1">
        <f>BL126/3</f>
        <v>0</v>
      </c>
      <c r="BO126" s="1">
        <f>BM126/3</f>
        <v>0</v>
      </c>
      <c r="BP126" s="4">
        <v>346.66666666666669</v>
      </c>
      <c r="BQ126" s="4">
        <v>394.33333333333331</v>
      </c>
      <c r="BR126" s="4">
        <v>368.66666666666669</v>
      </c>
      <c r="BS126" s="4">
        <v>346.67</v>
      </c>
      <c r="BT126" s="4">
        <v>394.33</v>
      </c>
      <c r="BU126" s="4">
        <v>2</v>
      </c>
      <c r="BV126" s="3">
        <v>4</v>
      </c>
      <c r="BW126" s="3">
        <v>4</v>
      </c>
      <c r="BX126" s="3">
        <v>4</v>
      </c>
      <c r="BY126" s="3">
        <v>4</v>
      </c>
      <c r="BZ126" s="3">
        <v>0</v>
      </c>
      <c r="CA126" s="3">
        <v>0</v>
      </c>
      <c r="CB126" s="3">
        <v>0</v>
      </c>
      <c r="CC126" s="3">
        <v>0</v>
      </c>
      <c r="CD126" s="3">
        <v>1</v>
      </c>
      <c r="CE126" s="3">
        <v>1</v>
      </c>
      <c r="CF126" s="3">
        <v>1</v>
      </c>
      <c r="CG126" s="3">
        <v>1</v>
      </c>
      <c r="CH126" s="3">
        <v>0</v>
      </c>
      <c r="CI126" s="1">
        <v>7</v>
      </c>
      <c r="CJ126" s="1">
        <v>7</v>
      </c>
      <c r="CK126" s="1">
        <v>7</v>
      </c>
      <c r="CL126" s="1">
        <v>7</v>
      </c>
      <c r="CM126" s="1">
        <v>7</v>
      </c>
      <c r="CN126" s="1">
        <v>7</v>
      </c>
      <c r="CO126" s="1">
        <v>7</v>
      </c>
      <c r="CP126" s="1">
        <v>1</v>
      </c>
      <c r="CQ126" s="1">
        <v>7</v>
      </c>
      <c r="CR126" s="1">
        <v>7</v>
      </c>
      <c r="CS126" s="1">
        <v>7</v>
      </c>
      <c r="CT126" s="1">
        <v>7</v>
      </c>
      <c r="CU126" s="1">
        <v>6</v>
      </c>
      <c r="CV126" s="1">
        <v>7</v>
      </c>
      <c r="CW126" s="1">
        <v>6</v>
      </c>
      <c r="CX126" s="1">
        <v>6</v>
      </c>
      <c r="CY126" s="1">
        <v>7</v>
      </c>
      <c r="CZ126" s="1">
        <v>7</v>
      </c>
      <c r="DA126" s="1">
        <v>7</v>
      </c>
      <c r="DB126" s="1">
        <v>7</v>
      </c>
      <c r="DC126" s="1">
        <v>7</v>
      </c>
      <c r="DD126" s="1">
        <v>7</v>
      </c>
      <c r="DE126" s="1">
        <v>7</v>
      </c>
      <c r="DF126" s="1">
        <v>1</v>
      </c>
      <c r="DG126" s="1">
        <v>1</v>
      </c>
      <c r="DH126" s="1">
        <v>1</v>
      </c>
      <c r="DI126" s="1">
        <v>1</v>
      </c>
      <c r="DJ126" s="1">
        <v>1</v>
      </c>
      <c r="DK126" s="1">
        <v>1</v>
      </c>
      <c r="DL126" s="1">
        <v>7</v>
      </c>
      <c r="DM126" s="19">
        <v>7</v>
      </c>
      <c r="DN126" s="19">
        <v>6</v>
      </c>
      <c r="DO126" s="1">
        <v>5</v>
      </c>
      <c r="DP126" s="1">
        <v>7</v>
      </c>
      <c r="DQ126" s="1">
        <v>6</v>
      </c>
      <c r="DR126" s="1">
        <v>7</v>
      </c>
      <c r="DS126" s="1">
        <v>7</v>
      </c>
      <c r="DT126" s="1">
        <v>7</v>
      </c>
      <c r="DU126" s="27">
        <v>7</v>
      </c>
      <c r="DV126" s="27">
        <v>7</v>
      </c>
      <c r="DW126" s="27">
        <v>7</v>
      </c>
      <c r="DX126" s="27">
        <v>1</v>
      </c>
      <c r="DY126" s="27">
        <v>1</v>
      </c>
      <c r="DZ126" s="27">
        <v>1</v>
      </c>
      <c r="EA126" s="27">
        <v>1</v>
      </c>
      <c r="EB126" s="27">
        <v>1</v>
      </c>
      <c r="EC126" s="27">
        <v>7</v>
      </c>
      <c r="ED126" s="27">
        <v>1</v>
      </c>
      <c r="EE126" s="27">
        <v>7</v>
      </c>
      <c r="EF126" s="27">
        <v>7</v>
      </c>
      <c r="EG126" s="27">
        <v>7</v>
      </c>
      <c r="EH126" s="27">
        <v>7</v>
      </c>
      <c r="EI126" s="27">
        <v>7</v>
      </c>
      <c r="EJ126" s="27">
        <v>7</v>
      </c>
      <c r="EK126" s="27">
        <v>7</v>
      </c>
      <c r="EL126" s="27">
        <v>7</v>
      </c>
      <c r="EM126" s="27">
        <v>4</v>
      </c>
      <c r="EN126" s="27">
        <v>2</v>
      </c>
      <c r="EO126" s="27">
        <v>7</v>
      </c>
      <c r="EP126" s="27">
        <v>7</v>
      </c>
      <c r="EQ126" s="27">
        <v>7</v>
      </c>
      <c r="ER126" s="27">
        <v>7</v>
      </c>
      <c r="ES126" s="27">
        <v>7</v>
      </c>
      <c r="ET126" s="27">
        <v>4</v>
      </c>
      <c r="EU126" s="27">
        <v>4</v>
      </c>
      <c r="EV126" s="1">
        <v>18</v>
      </c>
      <c r="EW126" s="1">
        <v>2</v>
      </c>
      <c r="EY126" s="1">
        <v>1</v>
      </c>
      <c r="EZ126" s="9"/>
      <c r="FA126" s="1">
        <v>1</v>
      </c>
      <c r="FB126" s="9" t="s">
        <v>784</v>
      </c>
      <c r="FC126" s="1">
        <v>1</v>
      </c>
      <c r="FD126" s="1">
        <v>5</v>
      </c>
      <c r="FE126" s="4">
        <v>6.14</v>
      </c>
      <c r="FF126" s="4">
        <v>6.13</v>
      </c>
      <c r="FG126" s="4">
        <v>7.38</v>
      </c>
      <c r="FH126" s="4">
        <v>6.42</v>
      </c>
      <c r="FI126" s="4">
        <v>6</v>
      </c>
      <c r="FJ126" s="23">
        <v>6</v>
      </c>
      <c r="FK126" s="4">
        <v>5</v>
      </c>
      <c r="FL126" s="4">
        <v>5</v>
      </c>
      <c r="FM126" s="4">
        <v>6.25</v>
      </c>
      <c r="FN126" s="4">
        <v>5.88</v>
      </c>
      <c r="FO126" s="4">
        <v>5.58</v>
      </c>
      <c r="FP126" s="4">
        <v>5.17</v>
      </c>
      <c r="FQ126" s="4">
        <v>3.25</v>
      </c>
      <c r="FR126" s="4">
        <v>2</v>
      </c>
      <c r="FS126" s="4">
        <v>5.25</v>
      </c>
      <c r="FT126" s="4">
        <v>6.5</v>
      </c>
      <c r="FU126" s="4">
        <v>3.25</v>
      </c>
      <c r="FV126" s="4">
        <v>4.25</v>
      </c>
      <c r="FW126" s="4">
        <v>4.25</v>
      </c>
      <c r="FX126" s="4">
        <v>6.25</v>
      </c>
      <c r="FY126" s="4">
        <v>6.75</v>
      </c>
      <c r="FZ126" s="4">
        <v>5.83</v>
      </c>
      <c r="GA126" s="4">
        <v>2.88</v>
      </c>
      <c r="GB126" s="4">
        <v>5.67</v>
      </c>
      <c r="GC126" s="4">
        <v>5.75</v>
      </c>
      <c r="GD126" s="4">
        <v>4.88</v>
      </c>
      <c r="GE126" s="26"/>
      <c r="GF126" s="26"/>
      <c r="GG126" s="4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S126" s="3"/>
      <c r="HU126" s="3"/>
      <c r="HX126" s="3"/>
      <c r="IA126" s="3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3"/>
      <c r="JP126" s="3"/>
      <c r="JQ126" s="4"/>
      <c r="JR126" s="5"/>
      <c r="JS126" s="5"/>
      <c r="JT126" s="8"/>
      <c r="JU126" s="8"/>
      <c r="JV126" s="8"/>
      <c r="JW126" s="8"/>
      <c r="JX126" s="8"/>
      <c r="JY126" s="8"/>
      <c r="JZ126" s="8"/>
      <c r="KA126" s="8"/>
      <c r="KB126" s="8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</row>
    <row r="127" spans="1:374" s="1" customFormat="1" x14ac:dyDescent="0.35">
      <c r="A127" s="2">
        <v>43370</v>
      </c>
      <c r="B127" s="15" t="s">
        <v>120</v>
      </c>
      <c r="C127" s="15" t="s">
        <v>288</v>
      </c>
      <c r="D127" s="1">
        <v>126</v>
      </c>
      <c r="E127" s="3">
        <v>3</v>
      </c>
      <c r="F127" s="3">
        <v>1</v>
      </c>
      <c r="G127" s="3"/>
      <c r="H127" s="3">
        <v>32</v>
      </c>
      <c r="I127" s="3">
        <v>2</v>
      </c>
      <c r="J127" s="3"/>
      <c r="K127" s="18">
        <v>0</v>
      </c>
      <c r="L127" s="18">
        <v>0</v>
      </c>
      <c r="M127" s="18">
        <v>0</v>
      </c>
      <c r="N127" s="18">
        <v>1</v>
      </c>
      <c r="O127" s="18">
        <v>1</v>
      </c>
      <c r="P127" s="4">
        <v>0.4</v>
      </c>
      <c r="Q127" s="3">
        <v>81</v>
      </c>
      <c r="R127" s="3">
        <v>97</v>
      </c>
      <c r="S127" s="3">
        <v>117</v>
      </c>
      <c r="T127" s="3">
        <v>110</v>
      </c>
      <c r="U127" s="3">
        <v>117</v>
      </c>
      <c r="V127" s="3">
        <v>89</v>
      </c>
      <c r="W127" s="3">
        <v>103</v>
      </c>
      <c r="X127" s="3">
        <v>81</v>
      </c>
      <c r="Y127" s="3">
        <v>90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4"/>
      <c r="AJ127" s="4"/>
      <c r="AK127" s="4"/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/>
      <c r="AY127"/>
      <c r="AZ127"/>
      <c r="BA127"/>
      <c r="BB127"/>
      <c r="BC127"/>
      <c r="BP127" s="4"/>
      <c r="BQ127" s="4"/>
      <c r="BR127" s="4"/>
      <c r="BS127" s="4"/>
      <c r="BT127" s="4"/>
      <c r="BU127" s="4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1">
        <v>6</v>
      </c>
      <c r="CJ127" s="1">
        <v>6</v>
      </c>
      <c r="CK127" s="1">
        <v>6</v>
      </c>
      <c r="CL127" s="1">
        <v>3</v>
      </c>
      <c r="CM127" s="1">
        <v>2</v>
      </c>
      <c r="CN127" s="1">
        <v>2</v>
      </c>
      <c r="CO127" s="1">
        <v>4</v>
      </c>
      <c r="CP127" s="1">
        <v>2</v>
      </c>
      <c r="CQ127" s="1">
        <v>6</v>
      </c>
      <c r="CR127" s="1">
        <v>6</v>
      </c>
      <c r="CS127" s="1">
        <v>6</v>
      </c>
      <c r="CT127" s="1">
        <v>6</v>
      </c>
      <c r="CU127" s="1">
        <v>6</v>
      </c>
      <c r="CV127" s="1">
        <v>6</v>
      </c>
      <c r="CW127" s="1">
        <v>6</v>
      </c>
      <c r="CX127" s="1">
        <v>6</v>
      </c>
      <c r="CY127" s="1">
        <v>6</v>
      </c>
      <c r="CZ127" s="1">
        <v>5</v>
      </c>
      <c r="DA127" s="1">
        <v>6</v>
      </c>
      <c r="DB127" s="1">
        <v>6</v>
      </c>
      <c r="DC127" s="1">
        <v>4</v>
      </c>
      <c r="DD127" s="1">
        <v>5</v>
      </c>
      <c r="DE127" s="1">
        <v>5</v>
      </c>
      <c r="DF127" s="1">
        <v>6</v>
      </c>
      <c r="DG127" s="1">
        <v>6</v>
      </c>
      <c r="DH127" s="1">
        <v>6</v>
      </c>
      <c r="DI127" s="1">
        <v>6</v>
      </c>
      <c r="DJ127" s="1">
        <v>6</v>
      </c>
      <c r="DK127" s="1">
        <v>6</v>
      </c>
      <c r="DL127" s="1">
        <v>3</v>
      </c>
      <c r="DM127" s="19">
        <v>5</v>
      </c>
      <c r="DN127" s="19">
        <v>6</v>
      </c>
      <c r="DO127" s="1">
        <v>6</v>
      </c>
      <c r="DP127" s="1">
        <v>7</v>
      </c>
      <c r="DQ127" s="1">
        <v>3</v>
      </c>
      <c r="DR127" s="1">
        <v>3</v>
      </c>
      <c r="DS127" s="1">
        <v>6</v>
      </c>
      <c r="DT127" s="1">
        <v>6</v>
      </c>
      <c r="DU127" s="27">
        <v>6</v>
      </c>
      <c r="DV127" s="27">
        <v>5</v>
      </c>
      <c r="DW127" s="27">
        <v>5</v>
      </c>
      <c r="DX127" s="27">
        <v>2</v>
      </c>
      <c r="DY127" s="27">
        <v>2</v>
      </c>
      <c r="DZ127" s="27">
        <v>4</v>
      </c>
      <c r="EA127" s="27">
        <v>2</v>
      </c>
      <c r="EB127" s="27">
        <v>7</v>
      </c>
      <c r="EC127" s="27">
        <v>6</v>
      </c>
      <c r="ED127" s="27">
        <v>2</v>
      </c>
      <c r="EE127" s="27">
        <v>5</v>
      </c>
      <c r="EF127" s="27">
        <v>5</v>
      </c>
      <c r="EG127" s="27">
        <v>6</v>
      </c>
      <c r="EH127" s="27">
        <v>6</v>
      </c>
      <c r="EI127" s="27">
        <v>6</v>
      </c>
      <c r="EJ127" s="27">
        <v>6</v>
      </c>
      <c r="EK127" s="27">
        <v>5</v>
      </c>
      <c r="EL127" s="27">
        <v>5</v>
      </c>
      <c r="EM127" s="27">
        <v>2</v>
      </c>
      <c r="EN127" s="27">
        <v>2</v>
      </c>
      <c r="EO127" s="27">
        <v>5</v>
      </c>
      <c r="EP127" s="27">
        <v>5</v>
      </c>
      <c r="EQ127" s="27">
        <v>3</v>
      </c>
      <c r="ER127" s="27">
        <v>6</v>
      </c>
      <c r="ES127" s="27">
        <v>2</v>
      </c>
      <c r="ET127" s="27">
        <v>6</v>
      </c>
      <c r="EU127" s="27">
        <v>6</v>
      </c>
      <c r="EV127" s="1">
        <v>21</v>
      </c>
      <c r="EW127" s="1">
        <v>2</v>
      </c>
      <c r="EY127" s="1">
        <v>1</v>
      </c>
      <c r="EZ127" s="9"/>
      <c r="FA127" s="1">
        <v>4</v>
      </c>
      <c r="FB127" s="9" t="s">
        <v>838</v>
      </c>
      <c r="FC127" s="1">
        <v>1</v>
      </c>
      <c r="FD127" s="1">
        <v>6</v>
      </c>
      <c r="FE127" s="4"/>
      <c r="FF127" s="4"/>
      <c r="FG127" s="4"/>
      <c r="FH127" s="4"/>
      <c r="FI127" s="4"/>
      <c r="FJ127" s="23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26"/>
      <c r="GF127" s="26"/>
      <c r="GG127" s="4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S127" s="3"/>
      <c r="HU127" s="3"/>
      <c r="HX127" s="3"/>
      <c r="IA127" s="3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6"/>
      <c r="JP127" s="6"/>
      <c r="JQ127" s="6"/>
      <c r="JR127" s="6"/>
      <c r="JS127" s="6"/>
      <c r="JT127" s="8"/>
      <c r="JU127" s="8"/>
      <c r="JV127" s="8"/>
      <c r="JW127" s="8"/>
      <c r="JX127" s="8"/>
      <c r="JY127" s="8"/>
      <c r="JZ127" s="8"/>
      <c r="KA127" s="8"/>
      <c r="KB127" s="8"/>
      <c r="KC127" s="6"/>
      <c r="KD127" s="6"/>
      <c r="KE127" s="6"/>
      <c r="KF127" s="6"/>
      <c r="KG127" s="6"/>
      <c r="KH127" s="6"/>
      <c r="KI127" s="6"/>
      <c r="KJ127" s="6"/>
      <c r="KK127" s="6"/>
      <c r="KL127" s="4"/>
      <c r="KM127" s="4"/>
      <c r="KN127" s="6"/>
      <c r="KO127" s="4"/>
      <c r="KP127" s="4"/>
      <c r="KQ127" s="6"/>
      <c r="KR127" s="6"/>
      <c r="KS127" s="4"/>
      <c r="KU127" s="4"/>
      <c r="KV127" s="4"/>
      <c r="KW127" s="4"/>
      <c r="KX127" s="6"/>
      <c r="KY127" s="6"/>
      <c r="KZ127" s="6"/>
      <c r="LA127" s="4"/>
      <c r="LB127" s="6"/>
      <c r="LC127" s="6"/>
      <c r="LD127" s="4"/>
      <c r="LE127" s="4"/>
      <c r="LF127" s="6"/>
      <c r="LG127" s="6"/>
      <c r="LH127" s="6"/>
      <c r="LI127" s="6"/>
      <c r="LJ127" s="6"/>
      <c r="LK127" s="6"/>
      <c r="LL127" s="6"/>
      <c r="LM127" s="6"/>
      <c r="LN127" s="6"/>
      <c r="LO127" s="6"/>
      <c r="LP127" s="6"/>
      <c r="LQ127" s="6"/>
      <c r="LR127" s="6"/>
      <c r="LS127" s="6"/>
      <c r="LT127" s="6"/>
      <c r="LU127" s="6"/>
      <c r="LV127" s="6"/>
      <c r="LW127" s="6"/>
      <c r="LX127" s="6"/>
      <c r="LY127" s="6"/>
      <c r="LZ127" s="6"/>
      <c r="MA127" s="6"/>
      <c r="MB127" s="6"/>
      <c r="MC127" s="6"/>
      <c r="MD127" s="6"/>
      <c r="ME127" s="6"/>
      <c r="MF127" s="6"/>
      <c r="MG127" s="6"/>
      <c r="MH127" s="6"/>
      <c r="MI127" s="6"/>
      <c r="MJ127" s="6"/>
      <c r="MK127" s="6"/>
      <c r="ML127" s="6"/>
      <c r="MM127" s="6"/>
      <c r="MN127" s="6"/>
      <c r="MO127" s="6"/>
      <c r="MP127" s="6"/>
      <c r="MQ127" s="6"/>
      <c r="MR127" s="6"/>
      <c r="MS127" s="6"/>
      <c r="MT127" s="6"/>
      <c r="MU127" s="6"/>
      <c r="MV127" s="6"/>
      <c r="MW127" s="6"/>
      <c r="MX127" s="6"/>
      <c r="MY127" s="6"/>
      <c r="MZ127" s="6"/>
      <c r="NA127" s="6"/>
      <c r="NB127" s="6"/>
      <c r="NC127" s="6"/>
      <c r="ND127" s="6"/>
      <c r="NE127" s="6"/>
      <c r="NF127" s="6"/>
      <c r="NG127" s="6"/>
      <c r="NH127" s="6"/>
      <c r="NI127" s="6"/>
      <c r="NJ127" s="4"/>
    </row>
    <row r="128" spans="1:374" s="1" customFormat="1" x14ac:dyDescent="0.35">
      <c r="A128" s="2">
        <v>43370</v>
      </c>
      <c r="B128" s="15" t="s">
        <v>120</v>
      </c>
      <c r="C128" s="15" t="s">
        <v>289</v>
      </c>
      <c r="D128" s="1">
        <v>127</v>
      </c>
      <c r="E128" s="3">
        <v>3</v>
      </c>
      <c r="F128" s="3">
        <v>1</v>
      </c>
      <c r="G128" s="3"/>
      <c r="H128" s="3">
        <v>32</v>
      </c>
      <c r="I128" s="3">
        <v>3</v>
      </c>
      <c r="J128" s="3"/>
      <c r="K128" s="18">
        <v>0</v>
      </c>
      <c r="L128" s="18">
        <v>1</v>
      </c>
      <c r="M128" s="18">
        <v>1</v>
      </c>
      <c r="N128" s="18">
        <v>1</v>
      </c>
      <c r="O128" s="18">
        <v>1</v>
      </c>
      <c r="P128" s="4">
        <v>0.8</v>
      </c>
      <c r="Q128" s="3">
        <v>55</v>
      </c>
      <c r="R128" s="3">
        <v>109</v>
      </c>
      <c r="S128" s="3">
        <v>93</v>
      </c>
      <c r="T128" s="3">
        <v>100</v>
      </c>
      <c r="U128" s="3">
        <v>84</v>
      </c>
      <c r="V128" s="3">
        <v>82</v>
      </c>
      <c r="W128" s="3">
        <v>75</v>
      </c>
      <c r="X128" s="3">
        <v>109</v>
      </c>
      <c r="Y128" s="3">
        <v>107</v>
      </c>
      <c r="Z128" s="3"/>
      <c r="AA128" s="3"/>
      <c r="AB128" s="3"/>
      <c r="AC128" s="3"/>
      <c r="AD128" s="3"/>
      <c r="AE128" s="3"/>
      <c r="AF128" s="3"/>
      <c r="AG128" s="3"/>
      <c r="AH128" s="3"/>
      <c r="AI128" s="4"/>
      <c r="AJ128" s="4"/>
      <c r="AK128" s="4"/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/>
      <c r="AY128"/>
      <c r="AZ128"/>
      <c r="BA128"/>
      <c r="BB128"/>
      <c r="BC128"/>
      <c r="BP128" s="4"/>
      <c r="BQ128" s="4"/>
      <c r="BR128" s="4"/>
      <c r="BS128" s="4"/>
      <c r="BT128" s="4"/>
      <c r="BU128" s="4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1">
        <v>7</v>
      </c>
      <c r="CJ128" s="1">
        <v>7</v>
      </c>
      <c r="CK128" s="1">
        <v>7</v>
      </c>
      <c r="CL128" s="1">
        <v>7</v>
      </c>
      <c r="CM128" s="1">
        <v>7</v>
      </c>
      <c r="CN128" s="1">
        <v>7</v>
      </c>
      <c r="CO128" s="1">
        <v>7</v>
      </c>
      <c r="CP128" s="1">
        <v>1</v>
      </c>
      <c r="CQ128" s="1">
        <v>6</v>
      </c>
      <c r="CR128" s="1">
        <v>7</v>
      </c>
      <c r="CS128" s="1">
        <v>7</v>
      </c>
      <c r="CT128" s="1">
        <v>7</v>
      </c>
      <c r="CU128" s="1">
        <v>5</v>
      </c>
      <c r="CV128" s="1">
        <v>7</v>
      </c>
      <c r="CW128" s="1">
        <v>7</v>
      </c>
      <c r="CX128" s="1">
        <v>7</v>
      </c>
      <c r="CY128" s="1">
        <v>6</v>
      </c>
      <c r="CZ128" s="1">
        <v>7</v>
      </c>
      <c r="DA128" s="1">
        <v>7</v>
      </c>
      <c r="DB128" s="1">
        <v>7</v>
      </c>
      <c r="DC128" s="1">
        <v>7</v>
      </c>
      <c r="DD128" s="1">
        <v>7</v>
      </c>
      <c r="DE128" s="1">
        <v>7</v>
      </c>
      <c r="DF128" s="1">
        <v>5</v>
      </c>
      <c r="DG128" s="1">
        <v>7</v>
      </c>
      <c r="DH128" s="1">
        <v>7</v>
      </c>
      <c r="DI128" s="1">
        <v>7</v>
      </c>
      <c r="DJ128" s="1">
        <v>7</v>
      </c>
      <c r="DK128" s="1">
        <v>7</v>
      </c>
      <c r="DL128" s="1">
        <v>5</v>
      </c>
      <c r="DM128" s="19">
        <v>3</v>
      </c>
      <c r="DN128" s="19">
        <v>7</v>
      </c>
      <c r="DO128" s="1">
        <v>6</v>
      </c>
      <c r="DP128" s="1">
        <v>7</v>
      </c>
      <c r="DQ128" s="1">
        <v>7</v>
      </c>
      <c r="DR128" s="1">
        <v>3</v>
      </c>
      <c r="DS128" s="1">
        <v>6</v>
      </c>
      <c r="DT128" s="1">
        <v>5</v>
      </c>
      <c r="DU128" s="27">
        <v>7</v>
      </c>
      <c r="DV128" s="27">
        <v>2</v>
      </c>
      <c r="DW128" s="27">
        <v>1</v>
      </c>
      <c r="DX128" s="27">
        <v>7</v>
      </c>
      <c r="DY128" s="27">
        <v>4</v>
      </c>
      <c r="DZ128" s="27">
        <v>1</v>
      </c>
      <c r="EA128" s="27">
        <v>1</v>
      </c>
      <c r="EB128" s="27">
        <v>7</v>
      </c>
      <c r="EC128" s="27">
        <v>7</v>
      </c>
      <c r="ED128" s="27">
        <v>5</v>
      </c>
      <c r="EE128" s="27">
        <v>1</v>
      </c>
      <c r="EF128" s="27">
        <v>1</v>
      </c>
      <c r="EG128" s="27">
        <v>7</v>
      </c>
      <c r="EH128" s="27">
        <v>7</v>
      </c>
      <c r="EI128" s="27">
        <v>7</v>
      </c>
      <c r="EJ128" s="27">
        <v>7</v>
      </c>
      <c r="EK128" s="27">
        <v>7</v>
      </c>
      <c r="EL128" s="27">
        <v>7</v>
      </c>
      <c r="EM128" s="27">
        <v>1</v>
      </c>
      <c r="EN128" s="27">
        <v>1</v>
      </c>
      <c r="EO128" s="27">
        <v>5</v>
      </c>
      <c r="EP128" s="27">
        <v>7</v>
      </c>
      <c r="EQ128" s="27">
        <v>4</v>
      </c>
      <c r="ER128" s="27">
        <v>7</v>
      </c>
      <c r="ES128" s="27">
        <v>7</v>
      </c>
      <c r="ET128" s="27">
        <v>4</v>
      </c>
      <c r="EU128" s="27">
        <v>4</v>
      </c>
      <c r="EV128" s="1">
        <v>18</v>
      </c>
      <c r="EW128" s="1">
        <v>2</v>
      </c>
      <c r="EY128" s="1">
        <v>2</v>
      </c>
      <c r="EZ128" s="9"/>
      <c r="FA128" s="1">
        <v>1</v>
      </c>
      <c r="FB128" s="9" t="s">
        <v>859</v>
      </c>
      <c r="FC128" s="1">
        <v>1</v>
      </c>
      <c r="FD128" s="1">
        <v>1</v>
      </c>
      <c r="FE128" s="4"/>
      <c r="FF128" s="4"/>
      <c r="FG128" s="4"/>
      <c r="FH128" s="4"/>
      <c r="FI128" s="4"/>
      <c r="FJ128" s="23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26"/>
      <c r="GF128" s="26"/>
      <c r="GG128" s="4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S128" s="3"/>
      <c r="HU128" s="3"/>
      <c r="HX128" s="3"/>
      <c r="IA128" s="3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6"/>
      <c r="JP128" s="6"/>
      <c r="JQ128" s="6"/>
      <c r="JR128" s="6"/>
      <c r="JS128" s="6"/>
      <c r="JT128" s="8"/>
      <c r="JU128" s="8"/>
      <c r="JV128" s="8"/>
      <c r="JW128" s="8"/>
      <c r="JX128" s="8"/>
      <c r="JY128" s="8"/>
      <c r="JZ128" s="8"/>
      <c r="KA128" s="8"/>
      <c r="KB128" s="8"/>
      <c r="KC128" s="6"/>
      <c r="KD128" s="6"/>
      <c r="KE128" s="6"/>
      <c r="KF128" s="6"/>
      <c r="KG128" s="6"/>
      <c r="KH128" s="6"/>
      <c r="KI128" s="6"/>
      <c r="KJ128" s="6"/>
      <c r="KK128" s="6"/>
      <c r="KL128" s="4"/>
      <c r="KM128" s="4"/>
      <c r="KN128" s="6"/>
      <c r="KO128" s="4"/>
      <c r="KP128" s="4"/>
      <c r="KQ128" s="6"/>
      <c r="KR128" s="6"/>
      <c r="KS128" s="4"/>
      <c r="KU128" s="4"/>
      <c r="KV128" s="4"/>
      <c r="KW128" s="4"/>
      <c r="KX128" s="6"/>
      <c r="KY128" s="6"/>
      <c r="KZ128" s="6"/>
      <c r="LA128" s="4"/>
      <c r="LB128" s="6"/>
      <c r="LC128" s="6"/>
      <c r="LD128" s="4"/>
      <c r="LE128" s="4"/>
      <c r="LF128" s="6"/>
      <c r="LG128" s="6"/>
      <c r="LH128" s="6"/>
      <c r="LI128" s="6"/>
      <c r="LJ128" s="6"/>
      <c r="LK128" s="6"/>
      <c r="LL128" s="6"/>
      <c r="LM128" s="6"/>
      <c r="LN128" s="6"/>
      <c r="LO128" s="6"/>
      <c r="LP128" s="6"/>
      <c r="LQ128" s="6"/>
      <c r="LR128" s="6"/>
      <c r="LS128" s="6"/>
      <c r="LT128" s="6"/>
      <c r="LU128" s="6"/>
      <c r="LV128" s="6"/>
      <c r="LW128" s="6"/>
      <c r="LX128" s="6"/>
      <c r="LY128" s="6"/>
      <c r="LZ128" s="6"/>
      <c r="MA128" s="6"/>
      <c r="MB128" s="6"/>
      <c r="MC128" s="6"/>
      <c r="MD128" s="6"/>
      <c r="ME128" s="6"/>
      <c r="MF128" s="6"/>
      <c r="MG128" s="6"/>
      <c r="MH128" s="6"/>
      <c r="MI128" s="6"/>
      <c r="MJ128" s="6"/>
      <c r="MK128" s="6"/>
      <c r="ML128" s="6"/>
      <c r="MM128" s="6"/>
      <c r="MN128" s="6"/>
      <c r="MO128" s="6"/>
      <c r="MP128" s="6"/>
      <c r="MQ128" s="6"/>
      <c r="MR128" s="6"/>
      <c r="MS128" s="6"/>
      <c r="MT128" s="6"/>
      <c r="MU128" s="6"/>
      <c r="MV128" s="6"/>
      <c r="MW128" s="6"/>
      <c r="MX128" s="6"/>
      <c r="MY128" s="6"/>
      <c r="MZ128" s="6"/>
      <c r="NA128" s="6"/>
      <c r="NB128" s="6"/>
      <c r="NC128" s="6"/>
      <c r="ND128" s="6"/>
      <c r="NE128" s="6"/>
      <c r="NF128" s="6"/>
      <c r="NG128" s="6"/>
      <c r="NH128" s="6"/>
      <c r="NI128" s="6"/>
      <c r="NJ128" s="4"/>
    </row>
    <row r="129" spans="1:374" s="1" customFormat="1" x14ac:dyDescent="0.35">
      <c r="A129" s="2">
        <v>43370</v>
      </c>
      <c r="B129" s="15" t="s">
        <v>120</v>
      </c>
      <c r="C129" s="15" t="s">
        <v>290</v>
      </c>
      <c r="D129" s="1">
        <v>128</v>
      </c>
      <c r="E129" s="3">
        <v>3</v>
      </c>
      <c r="F129" s="3">
        <v>1</v>
      </c>
      <c r="G129" s="3"/>
      <c r="H129" s="3">
        <v>32</v>
      </c>
      <c r="I129" s="3">
        <v>4</v>
      </c>
      <c r="J129" s="3"/>
      <c r="K129" s="18">
        <v>0</v>
      </c>
      <c r="L129" s="18">
        <v>0</v>
      </c>
      <c r="M129" s="18">
        <v>0</v>
      </c>
      <c r="N129" s="18">
        <v>1</v>
      </c>
      <c r="O129" s="18">
        <v>0</v>
      </c>
      <c r="P129" s="4">
        <v>0.2</v>
      </c>
      <c r="Q129" s="3">
        <v>70</v>
      </c>
      <c r="R129" s="3">
        <v>55</v>
      </c>
      <c r="S129" s="3">
        <v>77</v>
      </c>
      <c r="T129" s="3">
        <v>113</v>
      </c>
      <c r="U129" s="3">
        <v>90</v>
      </c>
      <c r="V129" s="3">
        <v>113</v>
      </c>
      <c r="W129" s="3">
        <v>77</v>
      </c>
      <c r="X129" s="3">
        <v>100</v>
      </c>
      <c r="Y129" s="3">
        <v>91</v>
      </c>
      <c r="Z129" s="3"/>
      <c r="AA129" s="3"/>
      <c r="AB129" s="3"/>
      <c r="AC129" s="3"/>
      <c r="AD129" s="3"/>
      <c r="AE129" s="3"/>
      <c r="AF129" s="3"/>
      <c r="AG129" s="3"/>
      <c r="AH129" s="3"/>
      <c r="AI129" s="4"/>
      <c r="AJ129" s="4"/>
      <c r="AK129" s="4"/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19"/>
      <c r="AY129"/>
      <c r="AZ129"/>
      <c r="BA129"/>
      <c r="BB129"/>
      <c r="BC129"/>
      <c r="BP129" s="4"/>
      <c r="BQ129" s="4"/>
      <c r="BR129" s="4"/>
      <c r="BS129" s="4"/>
      <c r="BT129" s="4"/>
      <c r="BU129" s="4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1">
        <v>7</v>
      </c>
      <c r="CJ129" s="1">
        <v>7</v>
      </c>
      <c r="CK129" s="1">
        <v>7</v>
      </c>
      <c r="CL129" s="1">
        <v>5</v>
      </c>
      <c r="CM129" s="1">
        <v>6</v>
      </c>
      <c r="CN129" s="1">
        <v>7</v>
      </c>
      <c r="CO129" s="1">
        <v>6</v>
      </c>
      <c r="CP129" s="1">
        <v>2</v>
      </c>
      <c r="CQ129" s="1">
        <v>4</v>
      </c>
      <c r="CR129" s="1">
        <v>4</v>
      </c>
      <c r="CS129" s="1">
        <v>5</v>
      </c>
      <c r="CT129" s="1">
        <v>6</v>
      </c>
      <c r="CU129" s="1">
        <v>4</v>
      </c>
      <c r="CV129" s="1">
        <v>7</v>
      </c>
      <c r="CW129" s="1">
        <v>5</v>
      </c>
      <c r="CX129" s="1">
        <v>4</v>
      </c>
      <c r="CY129" s="1">
        <v>4</v>
      </c>
      <c r="CZ129" s="1">
        <v>6</v>
      </c>
      <c r="DA129" s="1">
        <v>6</v>
      </c>
      <c r="DB129" s="1">
        <v>6</v>
      </c>
      <c r="DC129" s="1">
        <v>5</v>
      </c>
      <c r="DD129" s="1">
        <v>6</v>
      </c>
      <c r="DE129" s="1">
        <v>5</v>
      </c>
      <c r="DF129" s="1">
        <v>7</v>
      </c>
      <c r="DG129" s="1">
        <v>6</v>
      </c>
      <c r="DH129" s="1">
        <v>6</v>
      </c>
      <c r="DI129" s="1">
        <v>6</v>
      </c>
      <c r="DJ129" s="1">
        <v>7</v>
      </c>
      <c r="DK129" s="1">
        <v>6</v>
      </c>
      <c r="DL129" s="1">
        <v>4</v>
      </c>
      <c r="DM129" s="19">
        <v>6</v>
      </c>
      <c r="DN129" s="19">
        <v>7</v>
      </c>
      <c r="DO129" s="1">
        <v>7</v>
      </c>
      <c r="DP129" s="1">
        <v>4</v>
      </c>
      <c r="DQ129" s="1">
        <v>6</v>
      </c>
      <c r="DR129" s="1">
        <v>5</v>
      </c>
      <c r="DS129" s="1">
        <v>6</v>
      </c>
      <c r="DT129" s="1">
        <v>6</v>
      </c>
      <c r="DU129" s="27">
        <v>4</v>
      </c>
      <c r="DV129" s="27">
        <v>7</v>
      </c>
      <c r="DW129" s="27">
        <v>4</v>
      </c>
      <c r="DX129" s="27">
        <v>4</v>
      </c>
      <c r="DY129" s="27">
        <v>5</v>
      </c>
      <c r="DZ129" s="27">
        <v>4</v>
      </c>
      <c r="EA129" s="27">
        <v>4</v>
      </c>
      <c r="EB129" s="27">
        <v>6</v>
      </c>
      <c r="EC129" s="27">
        <v>6</v>
      </c>
      <c r="ED129" s="27">
        <v>5</v>
      </c>
      <c r="EE129" s="27">
        <v>4</v>
      </c>
      <c r="EF129" s="27">
        <v>4</v>
      </c>
      <c r="EG129" s="27">
        <v>5</v>
      </c>
      <c r="EH129" s="27">
        <v>7</v>
      </c>
      <c r="EI129" s="27">
        <v>7</v>
      </c>
      <c r="EJ129" s="27">
        <v>4</v>
      </c>
      <c r="EK129" s="27">
        <v>4</v>
      </c>
      <c r="EL129" s="27">
        <v>4</v>
      </c>
      <c r="EM129" s="27">
        <v>5</v>
      </c>
      <c r="EN129" s="27">
        <v>6</v>
      </c>
      <c r="EO129" s="27">
        <v>6</v>
      </c>
      <c r="EP129" s="27">
        <v>6</v>
      </c>
      <c r="EQ129" s="27">
        <v>6</v>
      </c>
      <c r="ER129" s="27">
        <v>6</v>
      </c>
      <c r="ES129" s="27">
        <v>4</v>
      </c>
      <c r="ET129" s="27">
        <v>7</v>
      </c>
      <c r="EU129" s="27">
        <v>4</v>
      </c>
      <c r="EV129" s="1">
        <v>18</v>
      </c>
      <c r="EW129" s="1">
        <v>1</v>
      </c>
      <c r="EY129" s="1">
        <v>1</v>
      </c>
      <c r="EZ129" s="9"/>
      <c r="FA129" s="1">
        <v>1</v>
      </c>
      <c r="FB129" s="9" t="s">
        <v>843</v>
      </c>
      <c r="FC129" s="1">
        <v>1</v>
      </c>
      <c r="FD129" s="1">
        <v>4</v>
      </c>
      <c r="FE129" s="4"/>
      <c r="FF129" s="4"/>
      <c r="FG129" s="4"/>
      <c r="FH129" s="4"/>
      <c r="FI129" s="4"/>
      <c r="FJ129" s="23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26"/>
      <c r="GF129" s="26"/>
      <c r="GG129" s="4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S129" s="3"/>
      <c r="HU129" s="3"/>
      <c r="HX129" s="3"/>
      <c r="IA129" s="3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6"/>
      <c r="JP129" s="6"/>
      <c r="JQ129" s="6"/>
      <c r="JR129" s="6"/>
      <c r="JS129" s="6"/>
      <c r="JT129" s="8"/>
      <c r="JU129" s="8"/>
      <c r="JV129" s="8"/>
      <c r="JW129" s="8"/>
      <c r="JX129" s="8"/>
      <c r="JY129" s="8"/>
      <c r="JZ129" s="8"/>
      <c r="KA129" s="8"/>
      <c r="KB129" s="8"/>
      <c r="KC129" s="6"/>
      <c r="KD129" s="6"/>
      <c r="KE129" s="6"/>
      <c r="KF129" s="6"/>
      <c r="KG129" s="6"/>
      <c r="KH129" s="6"/>
      <c r="KI129" s="6"/>
      <c r="KJ129" s="6"/>
      <c r="KK129" s="6"/>
      <c r="KL129" s="4"/>
      <c r="KM129" s="4"/>
      <c r="KN129" s="6"/>
      <c r="KO129" s="4"/>
      <c r="KP129" s="4"/>
      <c r="KQ129" s="6"/>
      <c r="KR129" s="6"/>
      <c r="KS129" s="4"/>
      <c r="KU129" s="4"/>
      <c r="KV129" s="4"/>
      <c r="KW129" s="4"/>
      <c r="KX129" s="6"/>
      <c r="KY129" s="6"/>
      <c r="KZ129" s="6"/>
      <c r="LA129" s="4"/>
      <c r="LB129" s="6"/>
      <c r="LC129" s="6"/>
      <c r="LD129" s="4"/>
      <c r="LE129" s="4"/>
      <c r="LF129" s="6"/>
      <c r="LG129" s="6"/>
      <c r="LH129" s="6"/>
      <c r="LI129" s="6"/>
      <c r="LJ129" s="6"/>
      <c r="LK129" s="6"/>
      <c r="LL129" s="6"/>
      <c r="LM129" s="6"/>
      <c r="LN129" s="6"/>
      <c r="LO129" s="6"/>
      <c r="LP129" s="6"/>
      <c r="LQ129" s="6"/>
      <c r="LR129" s="6"/>
      <c r="LS129" s="6"/>
      <c r="LT129" s="6"/>
      <c r="LU129" s="6"/>
      <c r="LV129" s="6"/>
      <c r="LW129" s="6"/>
      <c r="LX129" s="6"/>
      <c r="LY129" s="6"/>
      <c r="LZ129" s="6"/>
      <c r="MA129" s="6"/>
      <c r="MB129" s="6"/>
      <c r="MC129" s="6"/>
      <c r="MD129" s="6"/>
      <c r="ME129" s="6"/>
      <c r="MF129" s="6"/>
      <c r="MG129" s="6"/>
      <c r="MH129" s="6"/>
      <c r="MI129" s="6"/>
      <c r="MJ129" s="6"/>
      <c r="MK129" s="6"/>
      <c r="ML129" s="6"/>
      <c r="MM129" s="6"/>
      <c r="MN129" s="6"/>
      <c r="MO129" s="6"/>
      <c r="MP129" s="6"/>
      <c r="MQ129" s="6"/>
      <c r="MR129" s="6"/>
      <c r="MS129" s="6"/>
      <c r="MT129" s="6"/>
      <c r="MU129" s="6"/>
      <c r="MV129" s="6"/>
      <c r="MW129" s="6"/>
      <c r="MX129" s="6"/>
      <c r="MY129" s="6"/>
      <c r="MZ129" s="6"/>
      <c r="NA129" s="6"/>
      <c r="NB129" s="6"/>
      <c r="NC129" s="6"/>
      <c r="ND129" s="6"/>
      <c r="NE129" s="6"/>
      <c r="NF129" s="6"/>
      <c r="NG129" s="6"/>
      <c r="NH129" s="6"/>
      <c r="NI129" s="6"/>
      <c r="NJ129" s="4"/>
    </row>
    <row r="130" spans="1:374" s="1" customFormat="1" x14ac:dyDescent="0.35">
      <c r="A130" s="2">
        <v>43370</v>
      </c>
      <c r="B130" s="15" t="s">
        <v>121</v>
      </c>
      <c r="C130" s="15" t="s">
        <v>291</v>
      </c>
      <c r="D130" s="1">
        <v>129</v>
      </c>
      <c r="E130" s="3">
        <v>3</v>
      </c>
      <c r="F130" s="3">
        <v>1</v>
      </c>
      <c r="G130" s="3">
        <v>0</v>
      </c>
      <c r="H130" s="3">
        <v>33</v>
      </c>
      <c r="I130" s="3">
        <v>1</v>
      </c>
      <c r="J130" s="3">
        <v>1</v>
      </c>
      <c r="K130" s="18">
        <v>1</v>
      </c>
      <c r="L130" s="18">
        <v>1</v>
      </c>
      <c r="M130" s="18">
        <v>1</v>
      </c>
      <c r="N130" s="18">
        <v>1</v>
      </c>
      <c r="O130" s="18">
        <v>0</v>
      </c>
      <c r="P130" s="4">
        <v>0.8</v>
      </c>
      <c r="Q130" s="3">
        <v>41</v>
      </c>
      <c r="R130" s="3">
        <v>94</v>
      </c>
      <c r="S130" s="3">
        <v>77</v>
      </c>
      <c r="T130" s="3">
        <v>39</v>
      </c>
      <c r="U130" s="3">
        <v>57</v>
      </c>
      <c r="V130" s="3">
        <v>55</v>
      </c>
      <c r="W130" s="3">
        <v>56</v>
      </c>
      <c r="X130" s="3">
        <v>49</v>
      </c>
      <c r="Y130" s="3">
        <v>51</v>
      </c>
      <c r="Z130" s="3">
        <v>211</v>
      </c>
      <c r="AA130" s="3">
        <v>371</v>
      </c>
      <c r="AB130" s="3">
        <v>323</v>
      </c>
      <c r="AC130" s="3">
        <v>233</v>
      </c>
      <c r="AD130" s="3">
        <v>194</v>
      </c>
      <c r="AE130" s="3">
        <v>200</v>
      </c>
      <c r="AF130" s="3">
        <v>204</v>
      </c>
      <c r="AG130" s="3">
        <v>190</v>
      </c>
      <c r="AH130" s="3">
        <v>200</v>
      </c>
      <c r="AI130" s="4">
        <v>301.67</v>
      </c>
      <c r="AJ130" s="4">
        <v>209</v>
      </c>
      <c r="AK130" s="4">
        <v>198</v>
      </c>
      <c r="AL130" s="1">
        <v>1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9">
        <v>0</v>
      </c>
      <c r="AT130" s="19">
        <v>0</v>
      </c>
      <c r="AU130" s="19">
        <v>0</v>
      </c>
      <c r="AV130" s="19">
        <v>0</v>
      </c>
      <c r="AW130" s="19">
        <v>0</v>
      </c>
      <c r="AX130" s="19">
        <f t="shared" ref="AX130:BC130" si="64">AL130+AL131+AL132+AL133</f>
        <v>1</v>
      </c>
      <c r="AY130" s="19">
        <f t="shared" si="64"/>
        <v>0</v>
      </c>
      <c r="AZ130" s="19">
        <f t="shared" si="64"/>
        <v>0</v>
      </c>
      <c r="BA130" s="19">
        <f t="shared" si="64"/>
        <v>0</v>
      </c>
      <c r="BB130" s="19">
        <f t="shared" si="64"/>
        <v>0</v>
      </c>
      <c r="BC130" s="19">
        <f t="shared" si="64"/>
        <v>0</v>
      </c>
      <c r="BD130" s="1">
        <f>AX130*3</f>
        <v>3</v>
      </c>
      <c r="BE130" s="1">
        <f t="shared" ref="BE130:BI130" si="65">AY130*3</f>
        <v>0</v>
      </c>
      <c r="BF130" s="1">
        <f t="shared" si="65"/>
        <v>0</v>
      </c>
      <c r="BG130" s="1">
        <f t="shared" si="65"/>
        <v>0</v>
      </c>
      <c r="BH130" s="1">
        <f t="shared" si="65"/>
        <v>0</v>
      </c>
      <c r="BI130" s="1">
        <f t="shared" si="65"/>
        <v>0</v>
      </c>
      <c r="BJ130" s="1">
        <f>AX130+AY130+AZ130</f>
        <v>1</v>
      </c>
      <c r="BK130" s="1">
        <f>BA130+BB130+BC130</f>
        <v>0</v>
      </c>
      <c r="BL130" s="1">
        <f>BJ130*3</f>
        <v>3</v>
      </c>
      <c r="BM130" s="1">
        <f>BK130*3</f>
        <v>0</v>
      </c>
      <c r="BN130" s="1">
        <f>BL130/3</f>
        <v>1</v>
      </c>
      <c r="BO130" s="1">
        <f>BM130/3</f>
        <v>0</v>
      </c>
      <c r="BP130" s="4">
        <v>300.66666666666669</v>
      </c>
      <c r="BQ130" s="4">
        <v>209</v>
      </c>
      <c r="BR130" s="4">
        <v>198</v>
      </c>
      <c r="BS130" s="4">
        <v>300.67</v>
      </c>
      <c r="BT130" s="4">
        <v>209</v>
      </c>
      <c r="BU130" s="4">
        <v>3.67</v>
      </c>
      <c r="BV130" s="3">
        <v>1</v>
      </c>
      <c r="BW130" s="3">
        <v>2</v>
      </c>
      <c r="BX130" s="3">
        <v>2</v>
      </c>
      <c r="BY130" s="3">
        <v>2</v>
      </c>
      <c r="BZ130" s="3">
        <v>0</v>
      </c>
      <c r="CA130" s="3">
        <v>0</v>
      </c>
      <c r="CB130" s="3">
        <v>0</v>
      </c>
      <c r="CC130" s="3">
        <v>0</v>
      </c>
      <c r="CD130" s="3">
        <v>1</v>
      </c>
      <c r="CE130" s="3">
        <v>1</v>
      </c>
      <c r="CF130" s="3">
        <v>1</v>
      </c>
      <c r="CG130" s="3">
        <v>1</v>
      </c>
      <c r="CH130" s="3">
        <v>0</v>
      </c>
      <c r="CI130" s="1">
        <v>7</v>
      </c>
      <c r="CJ130" s="1">
        <v>7</v>
      </c>
      <c r="CK130" s="1">
        <v>7</v>
      </c>
      <c r="CL130" s="1">
        <v>7</v>
      </c>
      <c r="CM130" s="1">
        <v>7</v>
      </c>
      <c r="CN130" s="1">
        <v>7</v>
      </c>
      <c r="CO130" s="1">
        <v>7</v>
      </c>
      <c r="CP130" s="1">
        <v>1</v>
      </c>
      <c r="CQ130" s="1">
        <v>7</v>
      </c>
      <c r="CR130" s="1">
        <v>5</v>
      </c>
      <c r="CS130" s="1">
        <v>7</v>
      </c>
      <c r="CT130" s="1">
        <v>7</v>
      </c>
      <c r="CU130" s="1">
        <v>7</v>
      </c>
      <c r="CV130" s="1">
        <v>7</v>
      </c>
      <c r="CW130" s="1">
        <v>7</v>
      </c>
      <c r="CX130" s="1">
        <v>7</v>
      </c>
      <c r="CY130" s="1">
        <v>7</v>
      </c>
      <c r="CZ130" s="1">
        <v>7</v>
      </c>
      <c r="DA130" s="1">
        <v>7</v>
      </c>
      <c r="DB130" s="1">
        <v>7</v>
      </c>
      <c r="DC130" s="1">
        <v>7</v>
      </c>
      <c r="DD130" s="1">
        <v>7</v>
      </c>
      <c r="DE130" s="1">
        <v>7</v>
      </c>
      <c r="DF130" s="1">
        <v>1</v>
      </c>
      <c r="DG130" s="1">
        <v>1</v>
      </c>
      <c r="DH130" s="1">
        <v>1</v>
      </c>
      <c r="DI130" s="1">
        <v>1</v>
      </c>
      <c r="DJ130" s="1">
        <v>1</v>
      </c>
      <c r="DK130" s="1">
        <v>1</v>
      </c>
      <c r="DL130" s="1">
        <v>7</v>
      </c>
      <c r="DM130" s="19">
        <v>7</v>
      </c>
      <c r="DN130" s="19">
        <v>1</v>
      </c>
      <c r="DO130" s="1">
        <v>1</v>
      </c>
      <c r="DP130" s="1">
        <v>4</v>
      </c>
      <c r="DQ130" s="1">
        <v>1</v>
      </c>
      <c r="DR130" s="1">
        <v>7</v>
      </c>
      <c r="DS130" s="1">
        <v>7</v>
      </c>
      <c r="DT130" s="1">
        <v>7</v>
      </c>
      <c r="DU130" s="27">
        <v>7</v>
      </c>
      <c r="DV130" s="27">
        <v>7</v>
      </c>
      <c r="DW130" s="27">
        <v>7</v>
      </c>
      <c r="DX130" s="27">
        <v>7</v>
      </c>
      <c r="DY130" s="27">
        <v>1</v>
      </c>
      <c r="DZ130" s="27">
        <v>7</v>
      </c>
      <c r="EA130" s="27">
        <v>1</v>
      </c>
      <c r="EB130" s="27">
        <v>7</v>
      </c>
      <c r="EC130" s="27">
        <v>7</v>
      </c>
      <c r="ED130" s="27">
        <v>7</v>
      </c>
      <c r="EE130" s="27">
        <v>7</v>
      </c>
      <c r="EF130" s="27">
        <v>1</v>
      </c>
      <c r="EG130" s="27">
        <v>7</v>
      </c>
      <c r="EH130" s="27">
        <v>7</v>
      </c>
      <c r="EI130" s="27">
        <v>7</v>
      </c>
      <c r="EJ130" s="27">
        <v>7</v>
      </c>
      <c r="EK130" s="27">
        <v>7</v>
      </c>
      <c r="EL130" s="27">
        <v>1</v>
      </c>
      <c r="EM130" s="27">
        <v>1</v>
      </c>
      <c r="EN130" s="27">
        <v>1</v>
      </c>
      <c r="EO130" s="27">
        <v>7</v>
      </c>
      <c r="EP130" s="27">
        <v>7</v>
      </c>
      <c r="EQ130" s="27">
        <v>7</v>
      </c>
      <c r="ER130" s="27">
        <v>7</v>
      </c>
      <c r="ES130" s="27">
        <v>7</v>
      </c>
      <c r="ET130" s="27">
        <v>7</v>
      </c>
      <c r="EU130" s="27">
        <v>7</v>
      </c>
      <c r="EV130" s="1">
        <v>19</v>
      </c>
      <c r="EW130" s="1">
        <v>1</v>
      </c>
      <c r="EY130" s="1">
        <v>8</v>
      </c>
      <c r="EZ130" s="9" t="s">
        <v>759</v>
      </c>
      <c r="FA130" s="1">
        <v>2</v>
      </c>
      <c r="FB130" s="9" t="s">
        <v>860</v>
      </c>
      <c r="FC130" s="1">
        <v>0</v>
      </c>
      <c r="FD130" s="1">
        <v>5</v>
      </c>
      <c r="FE130" s="4">
        <v>5.21</v>
      </c>
      <c r="FF130" s="4">
        <v>3.25</v>
      </c>
      <c r="FG130" s="4">
        <v>4.13</v>
      </c>
      <c r="FH130" s="4">
        <v>5.58</v>
      </c>
      <c r="FI130" s="4">
        <v>5.75</v>
      </c>
      <c r="FJ130" s="23">
        <v>6</v>
      </c>
      <c r="FK130" s="4">
        <v>3.75</v>
      </c>
      <c r="FL130" s="4">
        <v>6.38</v>
      </c>
      <c r="FM130" s="4">
        <v>3.25</v>
      </c>
      <c r="FN130" s="4">
        <v>4.63</v>
      </c>
      <c r="FO130" s="4">
        <v>3.58</v>
      </c>
      <c r="FP130" s="4">
        <v>4.67</v>
      </c>
      <c r="FQ130" s="4">
        <v>4</v>
      </c>
      <c r="FR130" s="4">
        <v>2.75</v>
      </c>
      <c r="FS130" s="4">
        <v>5</v>
      </c>
      <c r="FT130" s="4">
        <v>4.5</v>
      </c>
      <c r="FU130" s="4">
        <v>5.25</v>
      </c>
      <c r="FV130" s="4">
        <v>5.25</v>
      </c>
      <c r="FW130" s="4">
        <v>3.75</v>
      </c>
      <c r="FX130" s="4">
        <v>5</v>
      </c>
      <c r="FY130" s="4">
        <v>3.5</v>
      </c>
      <c r="FZ130" s="4">
        <v>2.67</v>
      </c>
      <c r="GA130" s="4">
        <v>4</v>
      </c>
      <c r="GB130" s="4">
        <v>4.92</v>
      </c>
      <c r="GC130" s="4">
        <v>3.75</v>
      </c>
      <c r="GD130" s="4">
        <v>4.75</v>
      </c>
      <c r="GE130" s="26"/>
      <c r="GF130" s="26"/>
      <c r="GG130" s="4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S130" s="3"/>
      <c r="HU130" s="3"/>
      <c r="HX130" s="3"/>
      <c r="IA130" s="3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3"/>
      <c r="JP130" s="3"/>
      <c r="JQ130" s="4"/>
      <c r="JR130" s="5"/>
      <c r="JS130" s="5"/>
      <c r="JT130" s="8"/>
      <c r="JU130" s="8"/>
      <c r="JV130" s="8"/>
      <c r="JW130" s="8"/>
      <c r="JX130" s="8"/>
      <c r="JY130" s="8"/>
      <c r="JZ130" s="8"/>
      <c r="KA130" s="8"/>
      <c r="KB130" s="8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</row>
    <row r="131" spans="1:374" s="1" customFormat="1" x14ac:dyDescent="0.35">
      <c r="A131" s="2">
        <v>43370</v>
      </c>
      <c r="B131" s="15" t="s">
        <v>121</v>
      </c>
      <c r="C131" s="15" t="s">
        <v>292</v>
      </c>
      <c r="D131" s="1">
        <v>130</v>
      </c>
      <c r="E131" s="3">
        <v>3</v>
      </c>
      <c r="F131" s="3">
        <v>1</v>
      </c>
      <c r="G131" s="3"/>
      <c r="H131" s="3">
        <v>33</v>
      </c>
      <c r="I131" s="3">
        <v>2</v>
      </c>
      <c r="J131" s="3"/>
      <c r="K131" s="18">
        <v>0</v>
      </c>
      <c r="L131" s="18">
        <v>1</v>
      </c>
      <c r="M131" s="18">
        <v>0</v>
      </c>
      <c r="N131" s="18">
        <v>1</v>
      </c>
      <c r="O131" s="18">
        <v>1</v>
      </c>
      <c r="P131" s="4">
        <v>0.6</v>
      </c>
      <c r="Q131" s="3">
        <v>74</v>
      </c>
      <c r="R131" s="3">
        <v>97</v>
      </c>
      <c r="S131" s="3">
        <v>65</v>
      </c>
      <c r="T131" s="3">
        <v>69</v>
      </c>
      <c r="U131" s="3">
        <v>41</v>
      </c>
      <c r="V131" s="3">
        <v>35</v>
      </c>
      <c r="W131" s="3">
        <v>33</v>
      </c>
      <c r="X131" s="3">
        <v>40</v>
      </c>
      <c r="Y131" s="3">
        <v>28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4"/>
      <c r="AJ131" s="4"/>
      <c r="AK131" s="4"/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9">
        <v>0</v>
      </c>
      <c r="AT131" s="19">
        <v>0</v>
      </c>
      <c r="AU131" s="19">
        <v>0</v>
      </c>
      <c r="AV131" s="19">
        <v>0</v>
      </c>
      <c r="AW131" s="19">
        <v>0</v>
      </c>
      <c r="AX131" s="19"/>
      <c r="AY131"/>
      <c r="AZ131"/>
      <c r="BA131"/>
      <c r="BB131"/>
      <c r="BC131"/>
      <c r="BP131" s="4"/>
      <c r="BQ131" s="4"/>
      <c r="BR131" s="4"/>
      <c r="BS131" s="4"/>
      <c r="BT131" s="4"/>
      <c r="BU131" s="4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1">
        <v>1</v>
      </c>
      <c r="CJ131" s="1">
        <v>1</v>
      </c>
      <c r="CK131" s="1">
        <v>5</v>
      </c>
      <c r="CL131" s="1">
        <v>4</v>
      </c>
      <c r="CM131" s="1">
        <v>4</v>
      </c>
      <c r="CN131" s="1">
        <v>4</v>
      </c>
      <c r="CO131" s="1">
        <v>4</v>
      </c>
      <c r="CP131" s="1">
        <v>7</v>
      </c>
      <c r="CQ131" s="1">
        <v>1</v>
      </c>
      <c r="CR131" s="1">
        <v>1</v>
      </c>
      <c r="CS131" s="1">
        <v>1</v>
      </c>
      <c r="CT131" s="1">
        <v>1</v>
      </c>
      <c r="CU131" s="1">
        <v>1</v>
      </c>
      <c r="CV131" s="1">
        <v>1</v>
      </c>
      <c r="CW131" s="1">
        <v>4</v>
      </c>
      <c r="CX131" s="1">
        <v>1</v>
      </c>
      <c r="CY131" s="1">
        <v>1</v>
      </c>
      <c r="CZ131" s="1">
        <v>2</v>
      </c>
      <c r="DA131" s="1">
        <v>3</v>
      </c>
      <c r="DB131" s="1">
        <v>3</v>
      </c>
      <c r="DC131" s="1">
        <v>3</v>
      </c>
      <c r="DD131" s="1">
        <v>4</v>
      </c>
      <c r="DE131" s="1">
        <v>4</v>
      </c>
      <c r="DF131" s="1">
        <v>2</v>
      </c>
      <c r="DG131" s="1">
        <v>1</v>
      </c>
      <c r="DH131" s="1">
        <v>2</v>
      </c>
      <c r="DI131" s="1">
        <v>1</v>
      </c>
      <c r="DJ131" s="1">
        <v>1</v>
      </c>
      <c r="DK131" s="1">
        <v>2</v>
      </c>
      <c r="DL131" s="1">
        <v>5</v>
      </c>
      <c r="DM131" s="19">
        <v>6</v>
      </c>
      <c r="DN131" s="19">
        <v>2</v>
      </c>
      <c r="DO131" s="1">
        <v>2</v>
      </c>
      <c r="DP131" s="1">
        <v>5</v>
      </c>
      <c r="DQ131" s="1">
        <v>1</v>
      </c>
      <c r="DR131" s="1">
        <v>1</v>
      </c>
      <c r="DS131" s="1">
        <v>1</v>
      </c>
      <c r="DT131" s="1">
        <v>1</v>
      </c>
      <c r="DU131" s="27">
        <v>4</v>
      </c>
      <c r="DV131" s="27">
        <v>4</v>
      </c>
      <c r="DW131" s="27">
        <v>4</v>
      </c>
      <c r="DX131" s="27">
        <v>4</v>
      </c>
      <c r="DY131" s="27">
        <v>4</v>
      </c>
      <c r="DZ131" s="27">
        <v>4</v>
      </c>
      <c r="EA131" s="27">
        <v>4</v>
      </c>
      <c r="EB131" s="27">
        <v>4</v>
      </c>
      <c r="EC131" s="27">
        <v>4</v>
      </c>
      <c r="ED131" s="27">
        <v>4</v>
      </c>
      <c r="EE131" s="27">
        <v>4</v>
      </c>
      <c r="EF131" s="27">
        <v>4</v>
      </c>
      <c r="EG131" s="27">
        <v>4</v>
      </c>
      <c r="EH131" s="27">
        <v>1</v>
      </c>
      <c r="EI131" s="27">
        <v>1</v>
      </c>
      <c r="EJ131" s="27">
        <v>2</v>
      </c>
      <c r="EK131" s="27">
        <v>4</v>
      </c>
      <c r="EL131" s="27">
        <v>3</v>
      </c>
      <c r="EM131" s="27">
        <v>7</v>
      </c>
      <c r="EN131" s="27">
        <v>4</v>
      </c>
      <c r="EO131" s="27">
        <v>4</v>
      </c>
      <c r="EP131" s="27">
        <v>4</v>
      </c>
      <c r="EQ131" s="27">
        <v>4</v>
      </c>
      <c r="ER131" s="27">
        <v>1</v>
      </c>
      <c r="ES131" s="27">
        <v>3</v>
      </c>
      <c r="ET131" s="27">
        <v>1</v>
      </c>
      <c r="EU131" s="27">
        <v>1</v>
      </c>
      <c r="EV131" s="1">
        <v>18</v>
      </c>
      <c r="EW131" s="1">
        <v>1</v>
      </c>
      <c r="EY131" s="1">
        <v>2</v>
      </c>
      <c r="EZ131" s="9"/>
      <c r="FA131" s="1">
        <v>1</v>
      </c>
      <c r="FB131" s="9" t="s">
        <v>838</v>
      </c>
      <c r="FC131" s="1">
        <v>1</v>
      </c>
      <c r="FD131" s="1">
        <v>1</v>
      </c>
      <c r="FE131" s="4"/>
      <c r="FF131" s="4"/>
      <c r="FG131" s="4"/>
      <c r="FH131" s="4"/>
      <c r="FI131" s="4"/>
      <c r="FJ131" s="23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26"/>
      <c r="GF131" s="26"/>
      <c r="GG131" s="4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S131" s="3"/>
      <c r="HU131" s="3"/>
      <c r="HX131" s="3"/>
      <c r="IA131" s="3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6"/>
      <c r="JP131" s="6"/>
      <c r="JQ131" s="6"/>
      <c r="JR131" s="6"/>
      <c r="JS131" s="6"/>
      <c r="JT131" s="8"/>
      <c r="JU131" s="8"/>
      <c r="JV131" s="8"/>
      <c r="JW131" s="8"/>
      <c r="JX131" s="8"/>
      <c r="JY131" s="8"/>
      <c r="JZ131" s="8"/>
      <c r="KA131" s="8"/>
      <c r="KB131" s="8"/>
      <c r="KC131" s="6"/>
      <c r="KD131" s="6"/>
      <c r="KE131" s="6"/>
      <c r="KF131" s="6"/>
      <c r="KG131" s="6"/>
      <c r="KH131" s="6"/>
      <c r="KI131" s="6"/>
      <c r="KJ131" s="6"/>
      <c r="KK131" s="6"/>
      <c r="KL131" s="4"/>
      <c r="KM131" s="4"/>
      <c r="KN131" s="6"/>
      <c r="KO131" s="4"/>
      <c r="KP131" s="4"/>
      <c r="KQ131" s="6"/>
      <c r="KR131" s="6"/>
      <c r="KS131" s="4"/>
      <c r="KU131" s="4"/>
      <c r="KV131" s="4"/>
      <c r="KW131" s="4"/>
      <c r="KX131" s="6"/>
      <c r="KY131" s="6"/>
      <c r="KZ131" s="6"/>
      <c r="LA131" s="4"/>
      <c r="LB131" s="6"/>
      <c r="LC131" s="6"/>
      <c r="LD131" s="4"/>
      <c r="LE131" s="4"/>
      <c r="LF131" s="6"/>
      <c r="LG131" s="6"/>
      <c r="LH131" s="6"/>
      <c r="LI131" s="6"/>
      <c r="LJ131" s="6"/>
      <c r="LK131" s="6"/>
      <c r="LL131" s="6"/>
      <c r="LM131" s="6"/>
      <c r="LN131" s="6"/>
      <c r="LO131" s="6"/>
      <c r="LP131" s="6"/>
      <c r="LQ131" s="6"/>
      <c r="LR131" s="6"/>
      <c r="LS131" s="6"/>
      <c r="LT131" s="6"/>
      <c r="LU131" s="6"/>
      <c r="LV131" s="6"/>
      <c r="LW131" s="6"/>
      <c r="LX131" s="6"/>
      <c r="LY131" s="6"/>
      <c r="LZ131" s="6"/>
      <c r="MA131" s="6"/>
      <c r="MB131" s="6"/>
      <c r="MC131" s="6"/>
      <c r="MD131" s="6"/>
      <c r="ME131" s="6"/>
      <c r="MF131" s="6"/>
      <c r="MG131" s="6"/>
      <c r="MH131" s="6"/>
      <c r="MI131" s="6"/>
      <c r="MJ131" s="6"/>
      <c r="MK131" s="6"/>
      <c r="ML131" s="6"/>
      <c r="MM131" s="6"/>
      <c r="MN131" s="6"/>
      <c r="MO131" s="6"/>
      <c r="MP131" s="6"/>
      <c r="MQ131" s="6"/>
      <c r="MR131" s="6"/>
      <c r="MS131" s="6"/>
      <c r="MT131" s="6"/>
      <c r="MU131" s="6"/>
      <c r="MV131" s="6"/>
      <c r="MW131" s="6"/>
      <c r="MX131" s="6"/>
      <c r="MY131" s="6"/>
      <c r="MZ131" s="6"/>
      <c r="NA131" s="6"/>
      <c r="NB131" s="6"/>
      <c r="NC131" s="6"/>
      <c r="ND131" s="6"/>
      <c r="NE131" s="6"/>
      <c r="NF131" s="6"/>
      <c r="NG131" s="6"/>
      <c r="NH131" s="6"/>
      <c r="NI131" s="6"/>
      <c r="NJ131" s="4"/>
    </row>
    <row r="132" spans="1:374" s="1" customFormat="1" x14ac:dyDescent="0.35">
      <c r="A132" s="2">
        <v>43370</v>
      </c>
      <c r="B132" s="15" t="s">
        <v>121</v>
      </c>
      <c r="C132" s="15" t="s">
        <v>293</v>
      </c>
      <c r="D132" s="1">
        <v>131</v>
      </c>
      <c r="E132" s="3">
        <v>3</v>
      </c>
      <c r="F132" s="3">
        <v>1</v>
      </c>
      <c r="G132" s="3"/>
      <c r="H132" s="3">
        <v>33</v>
      </c>
      <c r="I132" s="3">
        <v>3</v>
      </c>
      <c r="J132" s="3"/>
      <c r="K132" s="18">
        <v>1</v>
      </c>
      <c r="L132" s="18">
        <v>0</v>
      </c>
      <c r="M132" s="18">
        <v>0</v>
      </c>
      <c r="N132" s="18">
        <v>1</v>
      </c>
      <c r="O132" s="18">
        <v>0</v>
      </c>
      <c r="P132" s="4">
        <v>0.4</v>
      </c>
      <c r="Q132" s="3">
        <v>66</v>
      </c>
      <c r="R132" s="3">
        <v>78</v>
      </c>
      <c r="S132" s="3">
        <v>82</v>
      </c>
      <c r="T132" s="3">
        <v>61</v>
      </c>
      <c r="U132" s="3">
        <v>35</v>
      </c>
      <c r="V132" s="3">
        <v>46</v>
      </c>
      <c r="W132" s="3">
        <v>45</v>
      </c>
      <c r="X132" s="3">
        <v>40</v>
      </c>
      <c r="Y132" s="3">
        <v>48</v>
      </c>
      <c r="Z132" s="3"/>
      <c r="AA132" s="3"/>
      <c r="AB132" s="3"/>
      <c r="AC132" s="3"/>
      <c r="AD132" s="3"/>
      <c r="AE132" s="3"/>
      <c r="AF132" s="3"/>
      <c r="AG132" s="3"/>
      <c r="AH132" s="3"/>
      <c r="AI132" s="4"/>
      <c r="AJ132" s="4"/>
      <c r="AK132" s="4"/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9">
        <v>0</v>
      </c>
      <c r="AT132" s="19">
        <v>0</v>
      </c>
      <c r="AU132" s="19">
        <v>0</v>
      </c>
      <c r="AV132" s="19">
        <v>0</v>
      </c>
      <c r="AW132" s="19">
        <v>0</v>
      </c>
      <c r="AX132" s="19"/>
      <c r="AY132"/>
      <c r="AZ132"/>
      <c r="BA132"/>
      <c r="BB132"/>
      <c r="BC132"/>
      <c r="BP132" s="4"/>
      <c r="BQ132" s="4"/>
      <c r="BR132" s="4"/>
      <c r="BS132" s="4"/>
      <c r="BT132" s="4"/>
      <c r="BU132" s="4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1">
        <v>5</v>
      </c>
      <c r="CJ132" s="1">
        <v>4</v>
      </c>
      <c r="CK132" s="1">
        <v>4</v>
      </c>
      <c r="CL132" s="1">
        <v>5</v>
      </c>
      <c r="CM132" s="1">
        <v>5</v>
      </c>
      <c r="CN132" s="1">
        <v>5</v>
      </c>
      <c r="CO132" s="1">
        <v>5</v>
      </c>
      <c r="CP132" s="1">
        <v>6</v>
      </c>
      <c r="CQ132" s="1">
        <v>3</v>
      </c>
      <c r="CR132" s="1">
        <v>3</v>
      </c>
      <c r="CS132" s="1">
        <v>3</v>
      </c>
      <c r="CT132" s="1">
        <v>2</v>
      </c>
      <c r="CU132" s="1">
        <v>2</v>
      </c>
      <c r="CV132" s="1">
        <v>1</v>
      </c>
      <c r="CW132" s="1">
        <v>2</v>
      </c>
      <c r="CX132" s="1">
        <v>2</v>
      </c>
      <c r="CY132" s="1">
        <v>3</v>
      </c>
      <c r="CZ132" s="1">
        <v>5</v>
      </c>
      <c r="DA132" s="1">
        <v>6</v>
      </c>
      <c r="DB132" s="1">
        <v>6</v>
      </c>
      <c r="DC132" s="1">
        <v>5</v>
      </c>
      <c r="DD132" s="1">
        <v>6</v>
      </c>
      <c r="DE132" s="1">
        <v>7</v>
      </c>
      <c r="DF132" s="1">
        <v>6</v>
      </c>
      <c r="DG132" s="1">
        <v>3</v>
      </c>
      <c r="DH132" s="1">
        <v>6</v>
      </c>
      <c r="DI132" s="1">
        <v>6</v>
      </c>
      <c r="DJ132" s="1">
        <v>6</v>
      </c>
      <c r="DK132" s="1">
        <v>6</v>
      </c>
      <c r="DL132" s="1">
        <v>6</v>
      </c>
      <c r="DM132" s="19">
        <v>6</v>
      </c>
      <c r="DN132" s="19">
        <v>6</v>
      </c>
      <c r="DO132" s="1">
        <v>6</v>
      </c>
      <c r="DP132" s="1">
        <v>6</v>
      </c>
      <c r="DQ132" s="1">
        <v>6</v>
      </c>
      <c r="DR132" s="1">
        <v>5</v>
      </c>
      <c r="DS132" s="1">
        <v>2</v>
      </c>
      <c r="DT132" s="1">
        <v>1</v>
      </c>
      <c r="DU132" s="27">
        <v>5</v>
      </c>
      <c r="DV132" s="27">
        <v>3</v>
      </c>
      <c r="DW132" s="27">
        <v>3</v>
      </c>
      <c r="DX132" s="27">
        <v>3</v>
      </c>
      <c r="DY132" s="27">
        <v>5</v>
      </c>
      <c r="DZ132" s="27">
        <v>3</v>
      </c>
      <c r="EA132" s="27">
        <v>2</v>
      </c>
      <c r="EB132" s="27">
        <v>5</v>
      </c>
      <c r="EC132" s="27">
        <v>3</v>
      </c>
      <c r="ED132" s="27">
        <v>6</v>
      </c>
      <c r="EE132" s="27">
        <v>6</v>
      </c>
      <c r="EF132" s="27">
        <v>6</v>
      </c>
      <c r="EG132" s="27">
        <v>5</v>
      </c>
      <c r="EH132" s="27">
        <v>4</v>
      </c>
      <c r="EI132" s="27">
        <v>4</v>
      </c>
      <c r="EJ132" s="27">
        <v>2</v>
      </c>
      <c r="EK132" s="27">
        <v>1</v>
      </c>
      <c r="EL132" s="27">
        <v>2</v>
      </c>
      <c r="EM132" s="27">
        <v>5</v>
      </c>
      <c r="EN132" s="27">
        <v>6</v>
      </c>
      <c r="EO132" s="27">
        <v>5</v>
      </c>
      <c r="EP132" s="27">
        <v>5</v>
      </c>
      <c r="EQ132" s="27">
        <v>4</v>
      </c>
      <c r="ER132" s="27">
        <v>3</v>
      </c>
      <c r="ES132" s="27">
        <v>3</v>
      </c>
      <c r="ET132" s="27">
        <v>5</v>
      </c>
      <c r="EU132" s="27">
        <v>5</v>
      </c>
      <c r="EV132" s="1">
        <v>20</v>
      </c>
      <c r="EW132" s="1">
        <v>2</v>
      </c>
      <c r="EY132" s="1">
        <v>2</v>
      </c>
      <c r="EZ132" s="9"/>
      <c r="FA132" s="1">
        <v>3</v>
      </c>
      <c r="FB132" s="9" t="s">
        <v>861</v>
      </c>
      <c r="FC132" s="1">
        <v>1</v>
      </c>
      <c r="FD132" s="1">
        <v>3</v>
      </c>
      <c r="FE132" s="4"/>
      <c r="FF132" s="4"/>
      <c r="FG132" s="4"/>
      <c r="FH132" s="4"/>
      <c r="FI132" s="4"/>
      <c r="FJ132" s="23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26"/>
      <c r="GF132" s="26"/>
      <c r="GG132" s="4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S132" s="3"/>
      <c r="HU132" s="3"/>
      <c r="HX132" s="3"/>
      <c r="IA132" s="3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6"/>
      <c r="JP132" s="6"/>
      <c r="JQ132" s="6"/>
      <c r="JR132" s="6"/>
      <c r="JS132" s="6"/>
      <c r="JT132" s="8"/>
      <c r="JU132" s="8"/>
      <c r="JV132" s="8"/>
      <c r="JW132" s="8"/>
      <c r="JX132" s="8"/>
      <c r="JY132" s="8"/>
      <c r="JZ132" s="8"/>
      <c r="KA132" s="8"/>
      <c r="KB132" s="8"/>
      <c r="KC132" s="6"/>
      <c r="KD132" s="6"/>
      <c r="KE132" s="6"/>
      <c r="KF132" s="6"/>
      <c r="KG132" s="6"/>
      <c r="KH132" s="6"/>
      <c r="KI132" s="6"/>
      <c r="KJ132" s="6"/>
      <c r="KK132" s="6"/>
      <c r="KL132" s="4"/>
      <c r="KM132" s="4"/>
      <c r="KN132" s="6"/>
      <c r="KO132" s="4"/>
      <c r="KP132" s="4"/>
      <c r="KQ132" s="6"/>
      <c r="KR132" s="6"/>
      <c r="KS132" s="4"/>
      <c r="KU132" s="4"/>
      <c r="KV132" s="4"/>
      <c r="KW132" s="4"/>
      <c r="KX132" s="6"/>
      <c r="KY132" s="6"/>
      <c r="KZ132" s="6"/>
      <c r="LA132" s="4"/>
      <c r="LB132" s="6"/>
      <c r="LC132" s="6"/>
      <c r="LD132" s="4"/>
      <c r="LE132" s="4"/>
      <c r="LF132" s="6"/>
      <c r="LG132" s="6"/>
      <c r="LH132" s="6"/>
      <c r="LI132" s="6"/>
      <c r="LJ132" s="6"/>
      <c r="LK132" s="6"/>
      <c r="LL132" s="6"/>
      <c r="LM132" s="6"/>
      <c r="LN132" s="6"/>
      <c r="LO132" s="6"/>
      <c r="LP132" s="6"/>
      <c r="LQ132" s="6"/>
      <c r="LR132" s="6"/>
      <c r="LS132" s="6"/>
      <c r="LT132" s="6"/>
      <c r="LU132" s="6"/>
      <c r="LV132" s="6"/>
      <c r="LW132" s="6"/>
      <c r="LX132" s="6"/>
      <c r="LY132" s="6"/>
      <c r="LZ132" s="6"/>
      <c r="MA132" s="6"/>
      <c r="MB132" s="6"/>
      <c r="MC132" s="6"/>
      <c r="MD132" s="6"/>
      <c r="ME132" s="6"/>
      <c r="MF132" s="6"/>
      <c r="MG132" s="6"/>
      <c r="MH132" s="6"/>
      <c r="MI132" s="6"/>
      <c r="MJ132" s="6"/>
      <c r="MK132" s="6"/>
      <c r="ML132" s="6"/>
      <c r="MM132" s="6"/>
      <c r="MN132" s="6"/>
      <c r="MO132" s="6"/>
      <c r="MP132" s="6"/>
      <c r="MQ132" s="6"/>
      <c r="MR132" s="6"/>
      <c r="MS132" s="6"/>
      <c r="MT132" s="6"/>
      <c r="MU132" s="6"/>
      <c r="MV132" s="6"/>
      <c r="MW132" s="6"/>
      <c r="MX132" s="6"/>
      <c r="MY132" s="6"/>
      <c r="MZ132" s="6"/>
      <c r="NA132" s="6"/>
      <c r="NB132" s="6"/>
      <c r="NC132" s="6"/>
      <c r="ND132" s="6"/>
      <c r="NE132" s="6"/>
      <c r="NF132" s="6"/>
      <c r="NG132" s="6"/>
      <c r="NH132" s="6"/>
      <c r="NI132" s="6"/>
      <c r="NJ132" s="4"/>
    </row>
    <row r="133" spans="1:374" s="1" customFormat="1" x14ac:dyDescent="0.35">
      <c r="A133" s="2">
        <v>43370</v>
      </c>
      <c r="B133" s="15" t="s">
        <v>121</v>
      </c>
      <c r="C133" s="15" t="s">
        <v>294</v>
      </c>
      <c r="D133" s="1">
        <v>132</v>
      </c>
      <c r="E133" s="3">
        <v>3</v>
      </c>
      <c r="F133" s="3">
        <v>1</v>
      </c>
      <c r="G133" s="3"/>
      <c r="H133" s="3">
        <v>33</v>
      </c>
      <c r="I133" s="3">
        <v>4</v>
      </c>
      <c r="J133" s="3"/>
      <c r="K133" s="18">
        <v>1</v>
      </c>
      <c r="L133" s="18">
        <v>0</v>
      </c>
      <c r="M133" s="18">
        <v>1</v>
      </c>
      <c r="N133" s="18">
        <v>1</v>
      </c>
      <c r="O133" s="18">
        <v>0</v>
      </c>
      <c r="P133" s="4">
        <v>0.6</v>
      </c>
      <c r="Q133" s="3">
        <v>30</v>
      </c>
      <c r="R133" s="3">
        <v>102</v>
      </c>
      <c r="S133" s="3">
        <v>99</v>
      </c>
      <c r="T133" s="3">
        <v>64</v>
      </c>
      <c r="U133" s="3">
        <v>61</v>
      </c>
      <c r="V133" s="3">
        <v>64</v>
      </c>
      <c r="W133" s="3">
        <v>70</v>
      </c>
      <c r="X133" s="3">
        <v>61</v>
      </c>
      <c r="Y133" s="3">
        <v>73</v>
      </c>
      <c r="Z133" s="3"/>
      <c r="AA133" s="3"/>
      <c r="AB133" s="3"/>
      <c r="AC133" s="3"/>
      <c r="AD133" s="3"/>
      <c r="AE133" s="3"/>
      <c r="AF133" s="3"/>
      <c r="AG133" s="3"/>
      <c r="AH133" s="3"/>
      <c r="AI133" s="4"/>
      <c r="AJ133" s="4"/>
      <c r="AK133" s="4"/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9">
        <v>0</v>
      </c>
      <c r="AT133" s="19">
        <v>0</v>
      </c>
      <c r="AU133" s="19">
        <v>0</v>
      </c>
      <c r="AV133" s="19">
        <v>0</v>
      </c>
      <c r="AW133" s="19">
        <v>0</v>
      </c>
      <c r="AX133" s="19"/>
      <c r="AY133"/>
      <c r="AZ133"/>
      <c r="BA133"/>
      <c r="BB133"/>
      <c r="BC133"/>
      <c r="BP133" s="4"/>
      <c r="BQ133" s="4"/>
      <c r="BR133" s="4"/>
      <c r="BS133" s="4"/>
      <c r="BT133" s="4"/>
      <c r="BU133" s="4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1">
        <v>6</v>
      </c>
      <c r="CJ133" s="1">
        <v>5</v>
      </c>
      <c r="CK133" s="1">
        <v>3</v>
      </c>
      <c r="CL133" s="1">
        <v>7</v>
      </c>
      <c r="CM133" s="1">
        <v>6</v>
      </c>
      <c r="CN133" s="1">
        <v>7</v>
      </c>
      <c r="CO133" s="1">
        <v>7</v>
      </c>
      <c r="CP133" s="1">
        <v>5</v>
      </c>
      <c r="CQ133" s="1">
        <v>2</v>
      </c>
      <c r="CR133" s="1">
        <v>2</v>
      </c>
      <c r="CS133" s="1">
        <v>4</v>
      </c>
      <c r="CT133" s="1">
        <v>3</v>
      </c>
      <c r="CU133" s="1">
        <v>3</v>
      </c>
      <c r="CV133" s="1">
        <v>2</v>
      </c>
      <c r="CW133" s="1">
        <v>4</v>
      </c>
      <c r="CX133" s="1">
        <v>1</v>
      </c>
      <c r="CY133" s="1">
        <v>3</v>
      </c>
      <c r="CZ133" s="1">
        <v>7</v>
      </c>
      <c r="DA133" s="1">
        <v>7</v>
      </c>
      <c r="DB133" s="1">
        <v>7</v>
      </c>
      <c r="DC133" s="1">
        <v>7</v>
      </c>
      <c r="DD133" s="1">
        <v>7</v>
      </c>
      <c r="DE133" s="1">
        <v>6</v>
      </c>
      <c r="DF133" s="1">
        <v>7</v>
      </c>
      <c r="DG133" s="1">
        <v>7</v>
      </c>
      <c r="DH133" s="1">
        <v>7</v>
      </c>
      <c r="DI133" s="1">
        <v>7</v>
      </c>
      <c r="DJ133" s="1">
        <v>7</v>
      </c>
      <c r="DK133" s="1">
        <v>7</v>
      </c>
      <c r="DL133" s="1">
        <v>7</v>
      </c>
      <c r="DM133" s="19">
        <v>7</v>
      </c>
      <c r="DN133" s="19">
        <v>7</v>
      </c>
      <c r="DO133" s="1">
        <v>1</v>
      </c>
      <c r="DP133" s="1">
        <v>7</v>
      </c>
      <c r="DQ133" s="1">
        <v>7</v>
      </c>
      <c r="DR133" s="1">
        <v>5</v>
      </c>
      <c r="DS133" s="1">
        <v>5</v>
      </c>
      <c r="DT133" s="1">
        <v>1</v>
      </c>
      <c r="DU133" s="27">
        <v>4</v>
      </c>
      <c r="DV133" s="27">
        <v>4</v>
      </c>
      <c r="DW133" s="27">
        <v>4</v>
      </c>
      <c r="DX133" s="27">
        <v>4</v>
      </c>
      <c r="DY133" s="27">
        <v>4</v>
      </c>
      <c r="DZ133" s="27">
        <v>4</v>
      </c>
      <c r="EA133" s="27">
        <v>4</v>
      </c>
      <c r="EB133" s="27">
        <v>4</v>
      </c>
      <c r="EC133" s="27">
        <v>4</v>
      </c>
      <c r="ED133" s="27">
        <v>4</v>
      </c>
      <c r="EE133" s="27">
        <v>4</v>
      </c>
      <c r="EF133" s="27">
        <v>4</v>
      </c>
      <c r="EG133" s="27">
        <v>4</v>
      </c>
      <c r="EH133" s="27">
        <v>2</v>
      </c>
      <c r="EI133" s="27">
        <v>2</v>
      </c>
      <c r="EJ133" s="27">
        <v>1</v>
      </c>
      <c r="EK133" s="27">
        <v>1</v>
      </c>
      <c r="EL133" s="27">
        <v>1</v>
      </c>
      <c r="EM133" s="27">
        <v>4</v>
      </c>
      <c r="EN133" s="27">
        <v>4</v>
      </c>
      <c r="EO133" s="27">
        <v>7</v>
      </c>
      <c r="EP133" s="27">
        <v>1</v>
      </c>
      <c r="EQ133" s="27">
        <v>4</v>
      </c>
      <c r="ER133" s="27">
        <v>2</v>
      </c>
      <c r="ES133" s="27">
        <v>4</v>
      </c>
      <c r="ET133" s="27">
        <v>5</v>
      </c>
      <c r="EU133" s="27">
        <v>7</v>
      </c>
      <c r="EV133" s="1">
        <v>18</v>
      </c>
      <c r="EW133" s="1">
        <v>1</v>
      </c>
      <c r="EY133" s="1">
        <v>8</v>
      </c>
      <c r="EZ133" s="9" t="s">
        <v>760</v>
      </c>
      <c r="FA133" s="1">
        <v>1</v>
      </c>
      <c r="FB133" s="9" t="s">
        <v>843</v>
      </c>
      <c r="FC133" s="1">
        <v>1</v>
      </c>
      <c r="FD133" s="1">
        <v>6</v>
      </c>
      <c r="FE133" s="4"/>
      <c r="FF133" s="4"/>
      <c r="FG133" s="4"/>
      <c r="FH133" s="4"/>
      <c r="FI133" s="4"/>
      <c r="FJ133" s="23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26"/>
      <c r="GF133" s="26"/>
      <c r="GG133" s="4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S133" s="3"/>
      <c r="HU133" s="3"/>
      <c r="HX133" s="3"/>
      <c r="IA133" s="3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6"/>
      <c r="JP133" s="6"/>
      <c r="JQ133" s="6"/>
      <c r="JR133" s="6"/>
      <c r="JS133" s="6"/>
      <c r="JT133" s="8"/>
      <c r="JU133" s="8"/>
      <c r="JV133" s="8"/>
      <c r="JW133" s="8"/>
      <c r="JX133" s="8"/>
      <c r="JY133" s="8"/>
      <c r="JZ133" s="8"/>
      <c r="KA133" s="8"/>
      <c r="KB133" s="8"/>
      <c r="KC133" s="6"/>
      <c r="KD133" s="6"/>
      <c r="KE133" s="6"/>
      <c r="KF133" s="6"/>
      <c r="KG133" s="6"/>
      <c r="KH133" s="6"/>
      <c r="KI133" s="6"/>
      <c r="KJ133" s="6"/>
      <c r="KK133" s="6"/>
      <c r="KL133" s="4"/>
      <c r="KM133" s="4"/>
      <c r="KN133" s="6"/>
      <c r="KO133" s="4"/>
      <c r="KP133" s="4"/>
      <c r="KQ133" s="6"/>
      <c r="KR133" s="6"/>
      <c r="KS133" s="4"/>
      <c r="KU133" s="4"/>
      <c r="KV133" s="4"/>
      <c r="KW133" s="4"/>
      <c r="KX133" s="6"/>
      <c r="KY133" s="6"/>
      <c r="KZ133" s="6"/>
      <c r="LA133" s="4"/>
      <c r="LB133" s="6"/>
      <c r="LC133" s="6"/>
      <c r="LD133" s="4"/>
      <c r="LE133" s="4"/>
      <c r="LF133" s="6"/>
      <c r="LG133" s="6"/>
      <c r="LH133" s="6"/>
      <c r="LI133" s="6"/>
      <c r="LJ133" s="6"/>
      <c r="LK133" s="6"/>
      <c r="LL133" s="6"/>
      <c r="LM133" s="6"/>
      <c r="LN133" s="6"/>
      <c r="LO133" s="6"/>
      <c r="LP133" s="6"/>
      <c r="LQ133" s="6"/>
      <c r="LR133" s="6"/>
      <c r="LS133" s="6"/>
      <c r="LT133" s="6"/>
      <c r="LU133" s="6"/>
      <c r="LV133" s="6"/>
      <c r="LW133" s="6"/>
      <c r="LX133" s="6"/>
      <c r="LY133" s="6"/>
      <c r="LZ133" s="6"/>
      <c r="MA133" s="6"/>
      <c r="MB133" s="6"/>
      <c r="MC133" s="6"/>
      <c r="MD133" s="6"/>
      <c r="ME133" s="6"/>
      <c r="MF133" s="6"/>
      <c r="MG133" s="6"/>
      <c r="MH133" s="6"/>
      <c r="MI133" s="6"/>
      <c r="MJ133" s="6"/>
      <c r="MK133" s="6"/>
      <c r="ML133" s="6"/>
      <c r="MM133" s="6"/>
      <c r="MN133" s="6"/>
      <c r="MO133" s="6"/>
      <c r="MP133" s="6"/>
      <c r="MQ133" s="6"/>
      <c r="MR133" s="6"/>
      <c r="MS133" s="6"/>
      <c r="MT133" s="6"/>
      <c r="MU133" s="6"/>
      <c r="MV133" s="6"/>
      <c r="MW133" s="6"/>
      <c r="MX133" s="6"/>
      <c r="MY133" s="6"/>
      <c r="MZ133" s="6"/>
      <c r="NA133" s="6"/>
      <c r="NB133" s="6"/>
      <c r="NC133" s="6"/>
      <c r="ND133" s="6"/>
      <c r="NE133" s="6"/>
      <c r="NF133" s="6"/>
      <c r="NG133" s="6"/>
      <c r="NH133" s="6"/>
      <c r="NI133" s="6"/>
      <c r="NJ133" s="4"/>
    </row>
    <row r="134" spans="1:374" s="1" customFormat="1" x14ac:dyDescent="0.35">
      <c r="A134" s="2">
        <v>43727</v>
      </c>
      <c r="B134" s="15" t="s">
        <v>122</v>
      </c>
      <c r="C134" s="15" t="s">
        <v>295</v>
      </c>
      <c r="D134" s="1">
        <v>133</v>
      </c>
      <c r="E134" s="3">
        <v>3</v>
      </c>
      <c r="F134" s="3">
        <v>1</v>
      </c>
      <c r="G134" s="3">
        <v>0</v>
      </c>
      <c r="H134" s="3">
        <v>34</v>
      </c>
      <c r="I134" s="3">
        <v>1</v>
      </c>
      <c r="J134" s="3">
        <v>1</v>
      </c>
      <c r="K134" s="18">
        <v>1</v>
      </c>
      <c r="L134" s="18">
        <v>1</v>
      </c>
      <c r="M134" s="18">
        <v>1</v>
      </c>
      <c r="N134" s="18">
        <v>1</v>
      </c>
      <c r="O134" s="18">
        <v>1</v>
      </c>
      <c r="P134" s="4">
        <v>1</v>
      </c>
      <c r="Q134" s="3">
        <v>23</v>
      </c>
      <c r="R134" s="3">
        <v>79</v>
      </c>
      <c r="S134" s="3">
        <v>37</v>
      </c>
      <c r="T134" s="3">
        <v>34</v>
      </c>
      <c r="U134" s="3">
        <v>37</v>
      </c>
      <c r="V134" s="3">
        <v>53</v>
      </c>
      <c r="W134" s="3">
        <v>45</v>
      </c>
      <c r="X134" s="3">
        <v>58</v>
      </c>
      <c r="Y134" s="3">
        <v>47</v>
      </c>
      <c r="Z134" s="3">
        <v>247</v>
      </c>
      <c r="AA134" s="3">
        <v>318</v>
      </c>
      <c r="AB134" s="3">
        <v>262</v>
      </c>
      <c r="AC134" s="3">
        <v>209</v>
      </c>
      <c r="AD134" s="3">
        <v>206</v>
      </c>
      <c r="AE134" s="3">
        <v>192</v>
      </c>
      <c r="AF134" s="3">
        <v>193</v>
      </c>
      <c r="AG134" s="3">
        <v>200</v>
      </c>
      <c r="AH134" s="3">
        <v>184</v>
      </c>
      <c r="AI134" s="4">
        <v>275.67</v>
      </c>
      <c r="AJ134" s="4">
        <v>202.33</v>
      </c>
      <c r="AK134" s="4">
        <v>192.33</v>
      </c>
      <c r="AL134" s="1">
        <v>1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2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f t="shared" ref="AX134:BC134" si="66">AL134+AL135+AL136+AL137</f>
        <v>5</v>
      </c>
      <c r="AY134" s="19">
        <f t="shared" si="66"/>
        <v>0</v>
      </c>
      <c r="AZ134" s="19">
        <f t="shared" si="66"/>
        <v>0</v>
      </c>
      <c r="BA134" s="19">
        <f t="shared" si="66"/>
        <v>0</v>
      </c>
      <c r="BB134" s="19">
        <f t="shared" si="66"/>
        <v>0</v>
      </c>
      <c r="BC134" s="19">
        <f t="shared" si="66"/>
        <v>0</v>
      </c>
      <c r="BD134" s="1">
        <f>AX134*3</f>
        <v>15</v>
      </c>
      <c r="BE134" s="1">
        <f t="shared" ref="BE134:BI134" si="67">AY134*3</f>
        <v>0</v>
      </c>
      <c r="BF134" s="1">
        <f t="shared" si="67"/>
        <v>0</v>
      </c>
      <c r="BG134" s="1">
        <f t="shared" si="67"/>
        <v>0</v>
      </c>
      <c r="BH134" s="1">
        <f t="shared" si="67"/>
        <v>0</v>
      </c>
      <c r="BI134" s="1">
        <f t="shared" si="67"/>
        <v>0</v>
      </c>
      <c r="BJ134" s="1">
        <f>AX134+AY134+AZ134</f>
        <v>5</v>
      </c>
      <c r="BK134" s="1">
        <f>BA134+BB134+BC134</f>
        <v>0</v>
      </c>
      <c r="BL134" s="1">
        <f>BJ134*3</f>
        <v>15</v>
      </c>
      <c r="BM134" s="1">
        <f>BK134*3</f>
        <v>0</v>
      </c>
      <c r="BN134" s="1">
        <f>BL134/3</f>
        <v>5</v>
      </c>
      <c r="BO134" s="1">
        <f>BM134/3</f>
        <v>0</v>
      </c>
      <c r="BP134" s="4">
        <v>270.66666666666669</v>
      </c>
      <c r="BQ134" s="4">
        <v>202.33333333333334</v>
      </c>
      <c r="BR134" s="4">
        <v>192.33333333333334</v>
      </c>
      <c r="BS134" s="4">
        <v>270.67</v>
      </c>
      <c r="BT134" s="4">
        <v>202.33</v>
      </c>
      <c r="BU134" s="4">
        <v>3.63</v>
      </c>
      <c r="BV134" s="3">
        <v>2</v>
      </c>
      <c r="BW134" s="3">
        <v>2</v>
      </c>
      <c r="BX134" s="3">
        <v>1</v>
      </c>
      <c r="BY134" s="3">
        <v>1</v>
      </c>
      <c r="BZ134" s="3">
        <v>0</v>
      </c>
      <c r="CA134" s="3">
        <v>0</v>
      </c>
      <c r="CB134" s="3">
        <v>0</v>
      </c>
      <c r="CC134" s="3">
        <v>0</v>
      </c>
      <c r="CD134" s="3">
        <v>1</v>
      </c>
      <c r="CE134" s="3">
        <v>1</v>
      </c>
      <c r="CF134" s="3">
        <v>3</v>
      </c>
      <c r="CG134" s="3">
        <v>3</v>
      </c>
      <c r="CH134" s="3">
        <v>1</v>
      </c>
      <c r="CI134" s="1">
        <v>6</v>
      </c>
      <c r="CJ134" s="1">
        <v>5</v>
      </c>
      <c r="CK134" s="1">
        <v>6</v>
      </c>
      <c r="CL134" s="1">
        <v>7</v>
      </c>
      <c r="CM134" s="1">
        <v>6</v>
      </c>
      <c r="CN134" s="1">
        <v>6</v>
      </c>
      <c r="CO134" s="1">
        <v>7</v>
      </c>
      <c r="CP134" s="1">
        <v>6</v>
      </c>
      <c r="CQ134" s="1">
        <v>1</v>
      </c>
      <c r="CR134" s="1">
        <v>5</v>
      </c>
      <c r="CS134" s="1">
        <v>3</v>
      </c>
      <c r="CT134" s="1">
        <v>2</v>
      </c>
      <c r="CU134" s="1">
        <v>2</v>
      </c>
      <c r="CV134" s="1">
        <v>1</v>
      </c>
      <c r="CW134" s="1">
        <v>3</v>
      </c>
      <c r="CX134" s="1">
        <v>2</v>
      </c>
      <c r="CY134" s="1">
        <v>3</v>
      </c>
      <c r="CZ134" s="1">
        <v>6</v>
      </c>
      <c r="DA134" s="1">
        <v>3</v>
      </c>
      <c r="DB134" s="1">
        <v>6</v>
      </c>
      <c r="DC134" s="1">
        <v>7</v>
      </c>
      <c r="DD134" s="1">
        <v>7</v>
      </c>
      <c r="DE134" s="1">
        <v>7</v>
      </c>
      <c r="DF134" s="1">
        <v>1</v>
      </c>
      <c r="DG134" s="1">
        <v>1</v>
      </c>
      <c r="DH134" s="1">
        <v>2</v>
      </c>
      <c r="DI134" s="1">
        <v>6</v>
      </c>
      <c r="DJ134" s="1">
        <v>5</v>
      </c>
      <c r="DK134" s="1">
        <v>2</v>
      </c>
      <c r="DL134" s="1">
        <v>7</v>
      </c>
      <c r="DM134" s="19">
        <v>6</v>
      </c>
      <c r="DN134" s="19">
        <v>7</v>
      </c>
      <c r="DO134" s="1">
        <v>6</v>
      </c>
      <c r="DP134" s="1">
        <v>2</v>
      </c>
      <c r="DQ134" s="1">
        <v>2</v>
      </c>
      <c r="DR134" s="1">
        <v>4</v>
      </c>
      <c r="DS134" s="1">
        <v>5</v>
      </c>
      <c r="DT134" s="1">
        <v>3</v>
      </c>
      <c r="DU134" s="27">
        <v>1</v>
      </c>
      <c r="DV134" s="27">
        <v>1</v>
      </c>
      <c r="DW134" s="27">
        <v>1</v>
      </c>
      <c r="DX134" s="27">
        <v>7</v>
      </c>
      <c r="DY134" s="27">
        <v>7</v>
      </c>
      <c r="DZ134" s="27">
        <v>6</v>
      </c>
      <c r="EA134" s="27">
        <v>6</v>
      </c>
      <c r="EB134" s="27">
        <v>6</v>
      </c>
      <c r="EC134" s="27">
        <v>7</v>
      </c>
      <c r="ED134" s="27">
        <v>1</v>
      </c>
      <c r="EE134" s="27">
        <v>1</v>
      </c>
      <c r="EF134" s="27">
        <v>1</v>
      </c>
      <c r="EG134" s="27">
        <v>5</v>
      </c>
      <c r="EH134" s="27">
        <v>6</v>
      </c>
      <c r="EI134" s="27">
        <v>6</v>
      </c>
      <c r="EJ134" s="27">
        <v>6</v>
      </c>
      <c r="EK134" s="27">
        <v>5</v>
      </c>
      <c r="EL134" s="27">
        <v>7</v>
      </c>
      <c r="EM134" s="27">
        <v>1</v>
      </c>
      <c r="EN134" s="27">
        <v>2</v>
      </c>
      <c r="EO134" s="27">
        <v>2</v>
      </c>
      <c r="EP134" s="27">
        <v>2</v>
      </c>
      <c r="EQ134" s="27">
        <v>1</v>
      </c>
      <c r="ER134" s="27">
        <v>6</v>
      </c>
      <c r="ES134" s="27">
        <v>6</v>
      </c>
      <c r="ET134" s="27">
        <v>6</v>
      </c>
      <c r="EU134" s="27">
        <v>7</v>
      </c>
      <c r="EV134" s="1">
        <v>22</v>
      </c>
      <c r="EW134" s="1">
        <v>1</v>
      </c>
      <c r="EY134" s="1">
        <v>1</v>
      </c>
      <c r="EZ134" s="9"/>
      <c r="FA134" s="1">
        <v>2</v>
      </c>
      <c r="FB134" s="9" t="s">
        <v>862</v>
      </c>
      <c r="FC134" s="1">
        <v>0</v>
      </c>
      <c r="FD134" s="1">
        <v>8</v>
      </c>
      <c r="FE134" s="4">
        <v>6.25</v>
      </c>
      <c r="FF134" s="4">
        <v>3.69</v>
      </c>
      <c r="FG134" s="4">
        <v>5.75</v>
      </c>
      <c r="FH134" s="4">
        <v>5.33</v>
      </c>
      <c r="FI134" s="4">
        <v>5.38</v>
      </c>
      <c r="FJ134" s="23">
        <v>6.5</v>
      </c>
      <c r="FK134" s="4">
        <v>3.42</v>
      </c>
      <c r="FL134" s="4">
        <v>6.13</v>
      </c>
      <c r="FM134" s="4">
        <v>4.5</v>
      </c>
      <c r="FN134" s="4">
        <v>4.38</v>
      </c>
      <c r="FO134" s="4">
        <v>4.08</v>
      </c>
      <c r="FP134" s="4">
        <v>4.08</v>
      </c>
      <c r="FQ134" s="4">
        <v>5.5</v>
      </c>
      <c r="FR134" s="4">
        <v>4.5</v>
      </c>
      <c r="FS134" s="4">
        <v>5.5</v>
      </c>
      <c r="FT134" s="4">
        <v>6</v>
      </c>
      <c r="FU134" s="4">
        <v>4</v>
      </c>
      <c r="FV134" s="4">
        <v>4</v>
      </c>
      <c r="FW134" s="4">
        <v>3</v>
      </c>
      <c r="FX134" s="4">
        <v>4.75</v>
      </c>
      <c r="FY134" s="4">
        <v>5.75</v>
      </c>
      <c r="FZ134" s="4">
        <v>5.08</v>
      </c>
      <c r="GA134" s="4">
        <v>1.75</v>
      </c>
      <c r="GB134" s="4">
        <v>4.92</v>
      </c>
      <c r="GC134" s="4">
        <v>5.75</v>
      </c>
      <c r="GD134" s="4">
        <v>4.75</v>
      </c>
      <c r="GE134" s="26"/>
      <c r="GF134" s="26"/>
      <c r="GG134" s="4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S134" s="3"/>
      <c r="HU134" s="3"/>
      <c r="HX134" s="3"/>
      <c r="IA134" s="3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3"/>
      <c r="JP134" s="3"/>
      <c r="JQ134" s="4"/>
      <c r="JR134" s="5"/>
      <c r="JS134" s="5"/>
      <c r="JT134" s="8"/>
      <c r="JU134" s="8"/>
      <c r="JV134" s="8"/>
      <c r="JW134" s="8"/>
      <c r="JX134" s="8"/>
      <c r="JY134" s="8"/>
      <c r="JZ134" s="8"/>
      <c r="KA134" s="8"/>
      <c r="KB134" s="8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</row>
    <row r="135" spans="1:374" s="1" customFormat="1" x14ac:dyDescent="0.35">
      <c r="A135" s="2">
        <v>43727</v>
      </c>
      <c r="B135" s="15" t="s">
        <v>122</v>
      </c>
      <c r="C135" s="15" t="s">
        <v>296</v>
      </c>
      <c r="D135" s="1">
        <v>134</v>
      </c>
      <c r="E135" s="3">
        <v>3</v>
      </c>
      <c r="F135" s="3">
        <v>1</v>
      </c>
      <c r="G135" s="3"/>
      <c r="H135" s="3">
        <v>34</v>
      </c>
      <c r="I135" s="3">
        <v>2</v>
      </c>
      <c r="J135" s="3"/>
      <c r="K135" s="18">
        <v>1</v>
      </c>
      <c r="L135" s="18">
        <v>1</v>
      </c>
      <c r="M135" s="18">
        <v>1</v>
      </c>
      <c r="N135" s="18">
        <v>1</v>
      </c>
      <c r="O135" s="18">
        <v>0</v>
      </c>
      <c r="P135" s="4">
        <v>0.8</v>
      </c>
      <c r="Q135" s="3">
        <v>97</v>
      </c>
      <c r="R135" s="3">
        <v>72</v>
      </c>
      <c r="S135" s="3">
        <v>40</v>
      </c>
      <c r="T135" s="3">
        <v>53</v>
      </c>
      <c r="U135" s="3">
        <v>39</v>
      </c>
      <c r="V135" s="3">
        <v>37</v>
      </c>
      <c r="W135" s="3">
        <v>42</v>
      </c>
      <c r="X135" s="3">
        <v>35</v>
      </c>
      <c r="Y135" s="3">
        <v>31</v>
      </c>
      <c r="Z135" s="3"/>
      <c r="AA135" s="3"/>
      <c r="AB135" s="3"/>
      <c r="AC135" s="3"/>
      <c r="AD135" s="3"/>
      <c r="AE135" s="3"/>
      <c r="AF135" s="3"/>
      <c r="AG135" s="3"/>
      <c r="AH135" s="3"/>
      <c r="AI135" s="4"/>
      <c r="AJ135" s="4"/>
      <c r="AK135" s="4"/>
      <c r="AL135" s="1">
        <v>3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4</v>
      </c>
      <c r="AS135" s="19">
        <v>0</v>
      </c>
      <c r="AT135" s="19">
        <v>0</v>
      </c>
      <c r="AU135" s="19">
        <v>0</v>
      </c>
      <c r="AV135" s="19">
        <v>0</v>
      </c>
      <c r="AW135" s="19">
        <v>0</v>
      </c>
      <c r="AX135" s="19"/>
      <c r="AY135"/>
      <c r="AZ135"/>
      <c r="BA135"/>
      <c r="BB135"/>
      <c r="BC135"/>
      <c r="BP135" s="4"/>
      <c r="BQ135" s="4"/>
      <c r="BR135" s="4"/>
      <c r="BS135" s="4"/>
      <c r="BT135" s="4"/>
      <c r="BU135" s="4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1">
        <v>7</v>
      </c>
      <c r="CJ135" s="1">
        <v>6</v>
      </c>
      <c r="CK135" s="1">
        <v>6</v>
      </c>
      <c r="CL135" s="1">
        <v>6</v>
      </c>
      <c r="CM135" s="1">
        <v>5</v>
      </c>
      <c r="CN135" s="1">
        <v>5</v>
      </c>
      <c r="CO135" s="1">
        <v>5</v>
      </c>
      <c r="CP135" s="1">
        <v>5</v>
      </c>
      <c r="CQ135" s="1">
        <v>5</v>
      </c>
      <c r="CR135" s="1">
        <v>5</v>
      </c>
      <c r="CS135" s="1">
        <v>5</v>
      </c>
      <c r="CT135" s="1">
        <v>3</v>
      </c>
      <c r="CU135" s="1">
        <v>5</v>
      </c>
      <c r="CV135" s="1">
        <v>4</v>
      </c>
      <c r="CW135" s="1">
        <v>4</v>
      </c>
      <c r="CX135" s="1">
        <v>2</v>
      </c>
      <c r="CY135" s="1">
        <v>4</v>
      </c>
      <c r="CZ135" s="1">
        <v>4</v>
      </c>
      <c r="DA135" s="1">
        <v>4</v>
      </c>
      <c r="DB135" s="1">
        <v>5</v>
      </c>
      <c r="DC135" s="1">
        <v>6</v>
      </c>
      <c r="DD135" s="1">
        <v>6</v>
      </c>
      <c r="DE135" s="1">
        <v>7</v>
      </c>
      <c r="DF135" s="1">
        <v>6</v>
      </c>
      <c r="DG135" s="1">
        <v>6</v>
      </c>
      <c r="DH135" s="1">
        <v>6</v>
      </c>
      <c r="DI135" s="1">
        <v>6</v>
      </c>
      <c r="DJ135" s="1">
        <v>6</v>
      </c>
      <c r="DK135" s="1">
        <v>6</v>
      </c>
      <c r="DL135" s="1">
        <v>3</v>
      </c>
      <c r="DM135" s="19">
        <v>6</v>
      </c>
      <c r="DN135" s="19">
        <v>6</v>
      </c>
      <c r="DO135" s="1">
        <v>6</v>
      </c>
      <c r="DP135" s="1">
        <v>7</v>
      </c>
      <c r="DQ135" s="1">
        <v>6</v>
      </c>
      <c r="DR135" s="1">
        <v>3</v>
      </c>
      <c r="DS135" s="1">
        <v>5</v>
      </c>
      <c r="DT135" s="1">
        <v>3</v>
      </c>
      <c r="DU135" s="27">
        <v>5</v>
      </c>
      <c r="DV135" s="27">
        <v>3</v>
      </c>
      <c r="DW135" s="27">
        <v>2</v>
      </c>
      <c r="DX135" s="27">
        <v>6</v>
      </c>
      <c r="DY135" s="27">
        <v>7</v>
      </c>
      <c r="DZ135" s="27">
        <v>6</v>
      </c>
      <c r="EA135" s="27">
        <v>5</v>
      </c>
      <c r="EB135" s="27">
        <v>7</v>
      </c>
      <c r="EC135" s="27">
        <v>7</v>
      </c>
      <c r="ED135" s="27">
        <v>4</v>
      </c>
      <c r="EE135" s="27">
        <v>4</v>
      </c>
      <c r="EF135" s="27">
        <v>2</v>
      </c>
      <c r="EG135" s="27">
        <v>7</v>
      </c>
      <c r="EH135" s="27">
        <v>7</v>
      </c>
      <c r="EI135" s="27">
        <v>7</v>
      </c>
      <c r="EJ135" s="27">
        <v>7</v>
      </c>
      <c r="EK135" s="27">
        <v>7</v>
      </c>
      <c r="EL135" s="27">
        <v>5</v>
      </c>
      <c r="EM135" s="27">
        <v>4</v>
      </c>
      <c r="EN135" s="27">
        <v>2</v>
      </c>
      <c r="EO135" s="27">
        <v>6</v>
      </c>
      <c r="EP135" s="27">
        <v>6</v>
      </c>
      <c r="EQ135" s="27">
        <v>6</v>
      </c>
      <c r="ER135" s="27">
        <v>6</v>
      </c>
      <c r="ES135" s="27">
        <v>6</v>
      </c>
      <c r="ET135" s="27">
        <v>2</v>
      </c>
      <c r="EU135" s="27">
        <v>4</v>
      </c>
      <c r="EV135" s="1">
        <v>19</v>
      </c>
      <c r="EW135" s="1">
        <v>2</v>
      </c>
      <c r="EY135" s="1">
        <v>8</v>
      </c>
      <c r="EZ135" s="9" t="s">
        <v>761</v>
      </c>
      <c r="FA135" s="1">
        <v>1</v>
      </c>
      <c r="FB135" s="9" t="s">
        <v>784</v>
      </c>
      <c r="FC135" s="1">
        <v>1</v>
      </c>
      <c r="FD135" s="1">
        <v>1</v>
      </c>
      <c r="FE135" s="4"/>
      <c r="FF135" s="4"/>
      <c r="FG135" s="4"/>
      <c r="FH135" s="4"/>
      <c r="FI135" s="4"/>
      <c r="FJ135" s="23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26"/>
      <c r="GF135" s="26"/>
      <c r="GG135" s="4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S135" s="3"/>
      <c r="HU135" s="3"/>
      <c r="HX135" s="3"/>
      <c r="IA135" s="3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6"/>
      <c r="JP135" s="6"/>
      <c r="JQ135" s="6"/>
      <c r="JR135" s="6"/>
      <c r="JS135" s="6"/>
      <c r="JT135" s="8"/>
      <c r="JU135" s="8"/>
      <c r="JV135" s="8"/>
      <c r="JW135" s="8"/>
      <c r="JX135" s="8"/>
      <c r="JY135" s="8"/>
      <c r="JZ135" s="8"/>
      <c r="KA135" s="8"/>
      <c r="KB135" s="8"/>
      <c r="KC135" s="6"/>
      <c r="KD135" s="6"/>
      <c r="KE135" s="6"/>
      <c r="KF135" s="6"/>
      <c r="KG135" s="6"/>
      <c r="KH135" s="6"/>
      <c r="KI135" s="6"/>
      <c r="KJ135" s="6"/>
      <c r="KK135" s="6"/>
      <c r="KL135" s="4"/>
      <c r="KM135" s="4"/>
      <c r="KN135" s="6"/>
      <c r="KO135" s="4"/>
      <c r="KP135" s="4"/>
      <c r="KQ135" s="6"/>
      <c r="KR135" s="6"/>
      <c r="KS135" s="4"/>
      <c r="KU135" s="4"/>
      <c r="KV135" s="4"/>
      <c r="KW135" s="4"/>
      <c r="KX135" s="6"/>
      <c r="KY135" s="6"/>
      <c r="KZ135" s="6"/>
      <c r="LA135" s="4"/>
      <c r="LB135" s="6"/>
      <c r="LC135" s="6"/>
      <c r="LD135" s="4"/>
      <c r="LE135" s="4"/>
      <c r="LF135" s="6"/>
      <c r="LG135" s="6"/>
      <c r="LH135" s="6"/>
      <c r="LI135" s="6"/>
      <c r="LJ135" s="6"/>
      <c r="LK135" s="6"/>
      <c r="LL135" s="6"/>
      <c r="LM135" s="6"/>
      <c r="LN135" s="6"/>
      <c r="LO135" s="6"/>
      <c r="LP135" s="6"/>
      <c r="LQ135" s="6"/>
      <c r="LR135" s="6"/>
      <c r="LS135" s="6"/>
      <c r="LT135" s="6"/>
      <c r="LU135" s="6"/>
      <c r="LV135" s="6"/>
      <c r="LW135" s="6"/>
      <c r="LX135" s="6"/>
      <c r="LY135" s="6"/>
      <c r="LZ135" s="6"/>
      <c r="MA135" s="6"/>
      <c r="MB135" s="6"/>
      <c r="MC135" s="6"/>
      <c r="MD135" s="6"/>
      <c r="ME135" s="6"/>
      <c r="MF135" s="6"/>
      <c r="MG135" s="6"/>
      <c r="MH135" s="6"/>
      <c r="MI135" s="6"/>
      <c r="MJ135" s="6"/>
      <c r="MK135" s="6"/>
      <c r="ML135" s="6"/>
      <c r="MM135" s="6"/>
      <c r="MN135" s="6"/>
      <c r="MO135" s="6"/>
      <c r="MP135" s="6"/>
      <c r="MQ135" s="6"/>
      <c r="MR135" s="6"/>
      <c r="MS135" s="6"/>
      <c r="MT135" s="6"/>
      <c r="MU135" s="6"/>
      <c r="MV135" s="6"/>
      <c r="MW135" s="6"/>
      <c r="MX135" s="6"/>
      <c r="MY135" s="6"/>
      <c r="MZ135" s="6"/>
      <c r="NA135" s="6"/>
      <c r="NB135" s="6"/>
      <c r="NC135" s="6"/>
      <c r="ND135" s="6"/>
      <c r="NE135" s="6"/>
      <c r="NF135" s="6"/>
      <c r="NG135" s="6"/>
      <c r="NH135" s="6"/>
      <c r="NI135" s="6"/>
      <c r="NJ135" s="4"/>
    </row>
    <row r="136" spans="1:374" s="1" customFormat="1" x14ac:dyDescent="0.35">
      <c r="A136" s="2">
        <v>43727</v>
      </c>
      <c r="B136" s="15" t="s">
        <v>122</v>
      </c>
      <c r="C136" s="15" t="s">
        <v>297</v>
      </c>
      <c r="D136" s="1">
        <v>135</v>
      </c>
      <c r="E136" s="3">
        <v>3</v>
      </c>
      <c r="F136" s="3">
        <v>1</v>
      </c>
      <c r="G136" s="3"/>
      <c r="H136" s="3">
        <v>34</v>
      </c>
      <c r="I136" s="3">
        <v>3</v>
      </c>
      <c r="J136" s="3"/>
      <c r="K136" s="18">
        <v>0</v>
      </c>
      <c r="L136" s="18">
        <v>1</v>
      </c>
      <c r="M136" s="18">
        <v>0</v>
      </c>
      <c r="N136" s="18">
        <v>1</v>
      </c>
      <c r="O136" s="18">
        <v>0</v>
      </c>
      <c r="P136" s="4">
        <v>0.4</v>
      </c>
      <c r="Q136" s="3">
        <v>85</v>
      </c>
      <c r="R136" s="3">
        <v>101</v>
      </c>
      <c r="S136" s="3">
        <v>63</v>
      </c>
      <c r="T136" s="3">
        <v>52</v>
      </c>
      <c r="U136" s="3">
        <v>61</v>
      </c>
      <c r="V136" s="3">
        <v>43</v>
      </c>
      <c r="W136" s="3">
        <v>45</v>
      </c>
      <c r="X136" s="3">
        <v>48</v>
      </c>
      <c r="Y136" s="3">
        <v>44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4"/>
      <c r="AJ136" s="4"/>
      <c r="AK136" s="4"/>
      <c r="AL136" s="1">
        <v>1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  <c r="AX136" s="19"/>
      <c r="AY136"/>
      <c r="AZ136"/>
      <c r="BA136"/>
      <c r="BB136"/>
      <c r="BC136"/>
      <c r="BP136" s="4"/>
      <c r="BQ136" s="4"/>
      <c r="BR136" s="4"/>
      <c r="BS136" s="4"/>
      <c r="BT136" s="4"/>
      <c r="BU136" s="4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1">
        <v>6</v>
      </c>
      <c r="CJ136" s="1">
        <v>6</v>
      </c>
      <c r="CK136" s="1">
        <v>6</v>
      </c>
      <c r="CL136" s="1">
        <v>7</v>
      </c>
      <c r="CM136" s="1">
        <v>7</v>
      </c>
      <c r="CN136" s="1">
        <v>7</v>
      </c>
      <c r="CO136" s="1">
        <v>6</v>
      </c>
      <c r="CP136" s="1">
        <v>5</v>
      </c>
      <c r="CQ136" s="1">
        <v>5</v>
      </c>
      <c r="CR136" s="1">
        <v>6</v>
      </c>
      <c r="CS136" s="1">
        <v>6</v>
      </c>
      <c r="CT136" s="1">
        <v>3</v>
      </c>
      <c r="CU136" s="1">
        <v>6</v>
      </c>
      <c r="CV136" s="1">
        <v>7</v>
      </c>
      <c r="CW136" s="1">
        <v>6</v>
      </c>
      <c r="CX136" s="1">
        <v>7</v>
      </c>
      <c r="CY136" s="1">
        <v>7</v>
      </c>
      <c r="CZ136" s="1">
        <v>6</v>
      </c>
      <c r="DA136" s="1">
        <v>5</v>
      </c>
      <c r="DB136" s="1">
        <v>6</v>
      </c>
      <c r="DC136" s="1">
        <v>6</v>
      </c>
      <c r="DD136" s="1">
        <v>4</v>
      </c>
      <c r="DE136" s="1">
        <v>6</v>
      </c>
      <c r="DF136" s="1">
        <v>1</v>
      </c>
      <c r="DG136" s="1">
        <v>2</v>
      </c>
      <c r="DH136" s="1">
        <v>2</v>
      </c>
      <c r="DI136" s="1">
        <v>2</v>
      </c>
      <c r="DJ136" s="1">
        <v>2</v>
      </c>
      <c r="DK136" s="1">
        <v>1</v>
      </c>
      <c r="DL136" s="1">
        <v>6</v>
      </c>
      <c r="DM136" s="19">
        <v>7</v>
      </c>
      <c r="DN136" s="19">
        <v>4</v>
      </c>
      <c r="DO136" s="1">
        <v>2</v>
      </c>
      <c r="DP136" s="1">
        <v>5</v>
      </c>
      <c r="DQ136" s="1">
        <v>6</v>
      </c>
      <c r="DR136" s="1">
        <v>5</v>
      </c>
      <c r="DS136" s="1">
        <v>6</v>
      </c>
      <c r="DT136" s="1">
        <v>5</v>
      </c>
      <c r="DU136" s="27">
        <v>7</v>
      </c>
      <c r="DV136" s="27">
        <v>7</v>
      </c>
      <c r="DW136" s="27">
        <v>2</v>
      </c>
      <c r="DX136" s="27">
        <v>6</v>
      </c>
      <c r="DY136" s="27">
        <v>6</v>
      </c>
      <c r="DZ136" s="27">
        <v>4</v>
      </c>
      <c r="EA136" s="27">
        <v>5</v>
      </c>
      <c r="EB136" s="27">
        <v>7</v>
      </c>
      <c r="EC136" s="27">
        <v>6</v>
      </c>
      <c r="ED136" s="27">
        <v>4</v>
      </c>
      <c r="EE136" s="27">
        <v>7</v>
      </c>
      <c r="EF136" s="27">
        <v>2</v>
      </c>
      <c r="EG136" s="27">
        <v>6</v>
      </c>
      <c r="EH136" s="27">
        <v>6</v>
      </c>
      <c r="EI136" s="27">
        <v>6</v>
      </c>
      <c r="EJ136" s="27">
        <v>5</v>
      </c>
      <c r="EK136" s="27">
        <v>5</v>
      </c>
      <c r="EL136" s="27">
        <v>4</v>
      </c>
      <c r="EM136" s="27">
        <v>1</v>
      </c>
      <c r="EN136" s="27">
        <v>1</v>
      </c>
      <c r="EO136" s="27">
        <v>7</v>
      </c>
      <c r="EP136" s="27">
        <v>7</v>
      </c>
      <c r="EQ136" s="27">
        <v>7</v>
      </c>
      <c r="ER136" s="27">
        <v>6</v>
      </c>
      <c r="ES136" s="27">
        <v>6</v>
      </c>
      <c r="ET136" s="27">
        <v>4</v>
      </c>
      <c r="EU136" s="27">
        <v>4</v>
      </c>
      <c r="EV136" s="1">
        <v>19</v>
      </c>
      <c r="EW136" s="1">
        <v>1</v>
      </c>
      <c r="EY136" s="1">
        <v>3</v>
      </c>
      <c r="EZ136" s="9"/>
      <c r="FA136" s="1">
        <v>2</v>
      </c>
      <c r="FB136" s="9" t="s">
        <v>863</v>
      </c>
      <c r="FC136" s="1">
        <v>0</v>
      </c>
      <c r="FD136" s="1">
        <v>6</v>
      </c>
      <c r="FE136" s="4"/>
      <c r="FF136" s="4"/>
      <c r="FG136" s="4"/>
      <c r="FH136" s="4"/>
      <c r="FI136" s="4"/>
      <c r="FJ136" s="23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26"/>
      <c r="GF136" s="26"/>
      <c r="GG136" s="4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S136" s="3"/>
      <c r="HU136" s="3"/>
      <c r="HX136" s="3"/>
      <c r="IA136" s="3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6"/>
      <c r="JP136" s="6"/>
      <c r="JQ136" s="6"/>
      <c r="JR136" s="6"/>
      <c r="JS136" s="6"/>
      <c r="JT136" s="8"/>
      <c r="JU136" s="8"/>
      <c r="JV136" s="8"/>
      <c r="JW136" s="8"/>
      <c r="JX136" s="8"/>
      <c r="JY136" s="8"/>
      <c r="JZ136" s="8"/>
      <c r="KA136" s="8"/>
      <c r="KB136" s="8"/>
      <c r="KC136" s="6"/>
      <c r="KD136" s="6"/>
      <c r="KE136" s="6"/>
      <c r="KF136" s="6"/>
      <c r="KG136" s="6"/>
      <c r="KH136" s="6"/>
      <c r="KI136" s="6"/>
      <c r="KJ136" s="6"/>
      <c r="KK136" s="6"/>
      <c r="KL136" s="4"/>
      <c r="KM136" s="4"/>
      <c r="KN136" s="6"/>
      <c r="KO136" s="4"/>
      <c r="KP136" s="4"/>
      <c r="KQ136" s="6"/>
      <c r="KR136" s="6"/>
      <c r="KS136" s="4"/>
      <c r="KU136" s="4"/>
      <c r="KV136" s="4"/>
      <c r="KW136" s="4"/>
      <c r="KX136" s="6"/>
      <c r="KY136" s="6"/>
      <c r="KZ136" s="6"/>
      <c r="LA136" s="4"/>
      <c r="LB136" s="6"/>
      <c r="LC136" s="6"/>
      <c r="LD136" s="4"/>
      <c r="LE136" s="4"/>
      <c r="LF136" s="6"/>
      <c r="LG136" s="6"/>
      <c r="LH136" s="6"/>
      <c r="LI136" s="6"/>
      <c r="LJ136" s="6"/>
      <c r="LK136" s="6"/>
      <c r="LL136" s="6"/>
      <c r="LM136" s="6"/>
      <c r="LN136" s="6"/>
      <c r="LO136" s="6"/>
      <c r="LP136" s="6"/>
      <c r="LQ136" s="6"/>
      <c r="LR136" s="6"/>
      <c r="LS136" s="6"/>
      <c r="LT136" s="6"/>
      <c r="LU136" s="6"/>
      <c r="LV136" s="6"/>
      <c r="LW136" s="6"/>
      <c r="LX136" s="6"/>
      <c r="LY136" s="6"/>
      <c r="LZ136" s="6"/>
      <c r="MA136" s="6"/>
      <c r="MB136" s="6"/>
      <c r="MC136" s="6"/>
      <c r="MD136" s="6"/>
      <c r="ME136" s="6"/>
      <c r="MF136" s="6"/>
      <c r="MG136" s="6"/>
      <c r="MH136" s="6"/>
      <c r="MI136" s="6"/>
      <c r="MJ136" s="6"/>
      <c r="MK136" s="6"/>
      <c r="ML136" s="6"/>
      <c r="MM136" s="6"/>
      <c r="MN136" s="6"/>
      <c r="MO136" s="6"/>
      <c r="MP136" s="6"/>
      <c r="MQ136" s="6"/>
      <c r="MR136" s="6"/>
      <c r="MS136" s="6"/>
      <c r="MT136" s="6"/>
      <c r="MU136" s="6"/>
      <c r="MV136" s="6"/>
      <c r="MW136" s="6"/>
      <c r="MX136" s="6"/>
      <c r="MY136" s="6"/>
      <c r="MZ136" s="6"/>
      <c r="NA136" s="6"/>
      <c r="NB136" s="6"/>
      <c r="NC136" s="6"/>
      <c r="ND136" s="6"/>
      <c r="NE136" s="6"/>
      <c r="NF136" s="6"/>
      <c r="NG136" s="6"/>
      <c r="NH136" s="6"/>
      <c r="NI136" s="6"/>
      <c r="NJ136" s="4"/>
    </row>
    <row r="137" spans="1:374" s="1" customFormat="1" x14ac:dyDescent="0.35">
      <c r="A137" s="2">
        <v>43727</v>
      </c>
      <c r="B137" s="15" t="s">
        <v>122</v>
      </c>
      <c r="C137" s="15" t="s">
        <v>298</v>
      </c>
      <c r="D137" s="1">
        <v>136</v>
      </c>
      <c r="E137" s="3">
        <v>3</v>
      </c>
      <c r="F137" s="3">
        <v>1</v>
      </c>
      <c r="G137" s="3"/>
      <c r="H137" s="3">
        <v>34</v>
      </c>
      <c r="I137" s="3">
        <v>4</v>
      </c>
      <c r="J137" s="3"/>
      <c r="K137" s="18">
        <v>0</v>
      </c>
      <c r="L137" s="18">
        <v>1</v>
      </c>
      <c r="M137" s="18">
        <v>1</v>
      </c>
      <c r="N137" s="18">
        <v>1</v>
      </c>
      <c r="O137" s="18">
        <v>0</v>
      </c>
      <c r="P137" s="4">
        <v>0.6</v>
      </c>
      <c r="Q137" s="3">
        <v>42</v>
      </c>
      <c r="R137" s="3">
        <v>66</v>
      </c>
      <c r="S137" s="3">
        <v>122</v>
      </c>
      <c r="T137" s="3">
        <v>70</v>
      </c>
      <c r="U137" s="3">
        <v>69</v>
      </c>
      <c r="V137" s="3">
        <v>59</v>
      </c>
      <c r="W137" s="3">
        <v>61</v>
      </c>
      <c r="X137" s="3">
        <v>59</v>
      </c>
      <c r="Y137" s="3">
        <v>62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4"/>
      <c r="AJ137" s="4"/>
      <c r="AK137" s="4"/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</v>
      </c>
      <c r="AS137" s="19">
        <v>0</v>
      </c>
      <c r="AT137" s="19">
        <v>0</v>
      </c>
      <c r="AU137" s="19">
        <v>0</v>
      </c>
      <c r="AV137" s="19">
        <v>0</v>
      </c>
      <c r="AW137" s="19">
        <v>0</v>
      </c>
      <c r="AX137" s="19"/>
      <c r="AY137"/>
      <c r="AZ137"/>
      <c r="BA137"/>
      <c r="BB137"/>
      <c r="BC137"/>
      <c r="BP137" s="4"/>
      <c r="BQ137" s="4"/>
      <c r="BR137" s="4"/>
      <c r="BS137" s="4"/>
      <c r="BT137" s="4"/>
      <c r="BU137" s="4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1">
        <v>7</v>
      </c>
      <c r="CJ137" s="1">
        <v>5</v>
      </c>
      <c r="CK137" s="1">
        <v>7</v>
      </c>
      <c r="CL137" s="1">
        <v>7</v>
      </c>
      <c r="CM137" s="1">
        <v>7</v>
      </c>
      <c r="CN137" s="1">
        <v>7</v>
      </c>
      <c r="CO137" s="1">
        <v>7</v>
      </c>
      <c r="CP137" s="1">
        <v>7</v>
      </c>
      <c r="CQ137" s="1">
        <v>1</v>
      </c>
      <c r="CR137" s="1">
        <v>3</v>
      </c>
      <c r="CS137" s="1">
        <v>5</v>
      </c>
      <c r="CT137" s="1">
        <v>1</v>
      </c>
      <c r="CU137" s="1">
        <v>7</v>
      </c>
      <c r="CV137" s="1">
        <v>1</v>
      </c>
      <c r="CW137" s="1">
        <v>7</v>
      </c>
      <c r="CX137" s="1">
        <v>7</v>
      </c>
      <c r="CY137" s="1">
        <v>7</v>
      </c>
      <c r="CZ137" s="1">
        <v>6</v>
      </c>
      <c r="DA137" s="1">
        <v>7</v>
      </c>
      <c r="DB137" s="1">
        <v>6</v>
      </c>
      <c r="DC137" s="1">
        <v>2</v>
      </c>
      <c r="DD137" s="1">
        <v>5</v>
      </c>
      <c r="DE137" s="1">
        <v>6</v>
      </c>
      <c r="DF137" s="1">
        <v>1</v>
      </c>
      <c r="DG137" s="1">
        <v>7</v>
      </c>
      <c r="DH137" s="1">
        <v>7</v>
      </c>
      <c r="DI137" s="1">
        <v>1</v>
      </c>
      <c r="DJ137" s="1">
        <v>2</v>
      </c>
      <c r="DK137" s="1">
        <v>1</v>
      </c>
      <c r="DL137" s="1">
        <v>7</v>
      </c>
      <c r="DM137" s="19">
        <v>7</v>
      </c>
      <c r="DN137" s="19">
        <v>2</v>
      </c>
      <c r="DO137" s="1">
        <v>3</v>
      </c>
      <c r="DP137" s="1">
        <v>1</v>
      </c>
      <c r="DQ137" s="1">
        <v>6</v>
      </c>
      <c r="DR137" s="1">
        <v>3</v>
      </c>
      <c r="DS137" s="1">
        <v>6</v>
      </c>
      <c r="DT137" s="1">
        <v>1</v>
      </c>
      <c r="DU137" s="27">
        <v>7</v>
      </c>
      <c r="DV137" s="27">
        <v>6</v>
      </c>
      <c r="DW137" s="27">
        <v>7</v>
      </c>
      <c r="DX137" s="27">
        <v>3</v>
      </c>
      <c r="DY137" s="27">
        <v>2</v>
      </c>
      <c r="DZ137" s="27">
        <v>2</v>
      </c>
      <c r="EA137" s="27">
        <v>2</v>
      </c>
      <c r="EB137" s="27">
        <v>2</v>
      </c>
      <c r="EC137" s="27">
        <v>4</v>
      </c>
      <c r="ED137" s="27">
        <v>7</v>
      </c>
      <c r="EE137" s="27">
        <v>4</v>
      </c>
      <c r="EF137" s="27">
        <v>7</v>
      </c>
      <c r="EG137" s="27">
        <v>1</v>
      </c>
      <c r="EH137" s="27">
        <v>4</v>
      </c>
      <c r="EI137" s="27">
        <v>4</v>
      </c>
      <c r="EJ137" s="27">
        <v>2</v>
      </c>
      <c r="EK137" s="27">
        <v>7</v>
      </c>
      <c r="EL137" s="27">
        <v>1</v>
      </c>
      <c r="EM137" s="27">
        <v>1</v>
      </c>
      <c r="EN137" s="27">
        <v>2</v>
      </c>
      <c r="EO137" s="27">
        <v>5</v>
      </c>
      <c r="EP137" s="27">
        <v>4</v>
      </c>
      <c r="EQ137" s="27">
        <v>6</v>
      </c>
      <c r="ER137" s="27">
        <v>7</v>
      </c>
      <c r="ES137" s="27">
        <v>3</v>
      </c>
      <c r="ET137" s="27">
        <v>5</v>
      </c>
      <c r="EU137" s="27">
        <v>6</v>
      </c>
      <c r="EV137" s="1">
        <v>22</v>
      </c>
      <c r="EW137" s="1">
        <v>1</v>
      </c>
      <c r="EY137" s="1">
        <v>1</v>
      </c>
      <c r="EZ137" s="9"/>
      <c r="FA137" s="1">
        <v>4</v>
      </c>
      <c r="FB137" s="9" t="s">
        <v>864</v>
      </c>
      <c r="FC137" s="1">
        <v>0</v>
      </c>
      <c r="FD137" s="1">
        <v>8</v>
      </c>
      <c r="FE137" s="4"/>
      <c r="FF137" s="4"/>
      <c r="FG137" s="4"/>
      <c r="FH137" s="4"/>
      <c r="FI137" s="4"/>
      <c r="FJ137" s="23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26"/>
      <c r="GF137" s="26"/>
      <c r="GG137" s="4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S137" s="3"/>
      <c r="HU137" s="3"/>
      <c r="HX137" s="3"/>
      <c r="IA137" s="3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6"/>
      <c r="JP137" s="6"/>
      <c r="JQ137" s="6"/>
      <c r="JR137" s="6"/>
      <c r="JS137" s="6"/>
      <c r="JT137" s="8"/>
      <c r="JU137" s="8"/>
      <c r="JV137" s="8"/>
      <c r="JW137" s="8"/>
      <c r="JX137" s="8"/>
      <c r="JY137" s="8"/>
      <c r="JZ137" s="8"/>
      <c r="KA137" s="8"/>
      <c r="KB137" s="8"/>
      <c r="KC137" s="6"/>
      <c r="KD137" s="6"/>
      <c r="KE137" s="6"/>
      <c r="KF137" s="6"/>
      <c r="KG137" s="6"/>
      <c r="KH137" s="6"/>
      <c r="KI137" s="6"/>
      <c r="KJ137" s="6"/>
      <c r="KK137" s="6"/>
      <c r="KL137" s="4"/>
      <c r="KM137" s="4"/>
      <c r="KN137" s="6"/>
      <c r="KO137" s="4"/>
      <c r="KP137" s="4"/>
      <c r="KQ137" s="6"/>
      <c r="KR137" s="6"/>
      <c r="KS137" s="4"/>
      <c r="KU137" s="4"/>
      <c r="KV137" s="4"/>
      <c r="KW137" s="4"/>
      <c r="KX137" s="6"/>
      <c r="KY137" s="6"/>
      <c r="KZ137" s="6"/>
      <c r="LA137" s="4"/>
      <c r="LB137" s="6"/>
      <c r="LC137" s="6"/>
      <c r="LD137" s="4"/>
      <c r="LE137" s="4"/>
      <c r="LF137" s="6"/>
      <c r="LG137" s="6"/>
      <c r="LH137" s="6"/>
      <c r="LI137" s="6"/>
      <c r="LJ137" s="6"/>
      <c r="LK137" s="6"/>
      <c r="LL137" s="6"/>
      <c r="LM137" s="6"/>
      <c r="LN137" s="6"/>
      <c r="LO137" s="6"/>
      <c r="LP137" s="6"/>
      <c r="LQ137" s="6"/>
      <c r="LR137" s="6"/>
      <c r="LS137" s="6"/>
      <c r="LT137" s="6"/>
      <c r="LU137" s="6"/>
      <c r="LV137" s="6"/>
      <c r="LW137" s="6"/>
      <c r="LX137" s="6"/>
      <c r="LY137" s="6"/>
      <c r="LZ137" s="6"/>
      <c r="MA137" s="6"/>
      <c r="MB137" s="6"/>
      <c r="MC137" s="6"/>
      <c r="MD137" s="6"/>
      <c r="ME137" s="6"/>
      <c r="MF137" s="6"/>
      <c r="MG137" s="6"/>
      <c r="MH137" s="6"/>
      <c r="MI137" s="6"/>
      <c r="MJ137" s="6"/>
      <c r="MK137" s="6"/>
      <c r="ML137" s="6"/>
      <c r="MM137" s="6"/>
      <c r="MN137" s="6"/>
      <c r="MO137" s="6"/>
      <c r="MP137" s="6"/>
      <c r="MQ137" s="6"/>
      <c r="MR137" s="6"/>
      <c r="MS137" s="6"/>
      <c r="MT137" s="6"/>
      <c r="MU137" s="6"/>
      <c r="MV137" s="6"/>
      <c r="MW137" s="6"/>
      <c r="MX137" s="6"/>
      <c r="MY137" s="6"/>
      <c r="MZ137" s="6"/>
      <c r="NA137" s="6"/>
      <c r="NB137" s="6"/>
      <c r="NC137" s="6"/>
      <c r="ND137" s="6"/>
      <c r="NE137" s="6"/>
      <c r="NF137" s="6"/>
      <c r="NG137" s="6"/>
      <c r="NH137" s="6"/>
      <c r="NI137" s="6"/>
      <c r="NJ137" s="4"/>
    </row>
    <row r="138" spans="1:374" s="1" customFormat="1" x14ac:dyDescent="0.35">
      <c r="A138" s="2">
        <v>43727</v>
      </c>
      <c r="B138" s="15" t="s">
        <v>123</v>
      </c>
      <c r="C138" s="15" t="s">
        <v>299</v>
      </c>
      <c r="D138" s="1">
        <v>137</v>
      </c>
      <c r="E138" s="3">
        <v>3</v>
      </c>
      <c r="F138" s="3">
        <v>1</v>
      </c>
      <c r="G138" s="3">
        <v>0</v>
      </c>
      <c r="H138" s="3">
        <v>35</v>
      </c>
      <c r="I138" s="3">
        <v>1</v>
      </c>
      <c r="J138" s="3">
        <v>1</v>
      </c>
      <c r="K138" s="18">
        <v>0</v>
      </c>
      <c r="L138" s="18">
        <v>1</v>
      </c>
      <c r="M138" s="18">
        <v>1</v>
      </c>
      <c r="N138" s="18">
        <v>1</v>
      </c>
      <c r="O138" s="18">
        <v>0</v>
      </c>
      <c r="P138" s="4">
        <v>0.6</v>
      </c>
      <c r="Q138" s="3">
        <v>49</v>
      </c>
      <c r="R138" s="3">
        <v>89</v>
      </c>
      <c r="S138" s="3">
        <v>81</v>
      </c>
      <c r="T138" s="3">
        <v>62</v>
      </c>
      <c r="U138" s="3">
        <v>61</v>
      </c>
      <c r="V138" s="3">
        <v>46</v>
      </c>
      <c r="W138" s="3">
        <v>45</v>
      </c>
      <c r="X138" s="3">
        <v>53</v>
      </c>
      <c r="Y138" s="3">
        <v>48</v>
      </c>
      <c r="Z138" s="3">
        <v>198</v>
      </c>
      <c r="AA138" s="3">
        <v>329</v>
      </c>
      <c r="AB138" s="3">
        <v>344</v>
      </c>
      <c r="AC138" s="3">
        <v>285</v>
      </c>
      <c r="AD138" s="3">
        <v>242</v>
      </c>
      <c r="AE138" s="3">
        <v>214</v>
      </c>
      <c r="AF138" s="3">
        <v>204</v>
      </c>
      <c r="AG138" s="3">
        <v>206</v>
      </c>
      <c r="AH138" s="3">
        <v>212</v>
      </c>
      <c r="AI138" s="4">
        <v>290.33</v>
      </c>
      <c r="AJ138" s="4">
        <v>247</v>
      </c>
      <c r="AK138" s="4">
        <v>207.33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9">
        <v>0</v>
      </c>
      <c r="AT138" s="19">
        <v>0</v>
      </c>
      <c r="AU138" s="19">
        <v>0</v>
      </c>
      <c r="AV138" s="19">
        <v>0</v>
      </c>
      <c r="AW138" s="19">
        <v>0</v>
      </c>
      <c r="AX138" s="19">
        <f t="shared" ref="AX138:BC138" si="68">AL138+AL139+AL140+AL141</f>
        <v>0</v>
      </c>
      <c r="AY138" s="19">
        <f t="shared" si="68"/>
        <v>0</v>
      </c>
      <c r="AZ138" s="19">
        <f t="shared" si="68"/>
        <v>0</v>
      </c>
      <c r="BA138" s="19">
        <f t="shared" si="68"/>
        <v>0</v>
      </c>
      <c r="BB138" s="19">
        <f t="shared" si="68"/>
        <v>0</v>
      </c>
      <c r="BC138" s="19">
        <f t="shared" si="68"/>
        <v>0</v>
      </c>
      <c r="BD138" s="1">
        <f>AX138*3</f>
        <v>0</v>
      </c>
      <c r="BE138" s="1">
        <f t="shared" ref="BE138:BI138" si="69">AY138*3</f>
        <v>0</v>
      </c>
      <c r="BF138" s="1">
        <f t="shared" si="69"/>
        <v>0</v>
      </c>
      <c r="BG138" s="1">
        <f t="shared" si="69"/>
        <v>0</v>
      </c>
      <c r="BH138" s="1">
        <f t="shared" si="69"/>
        <v>0</v>
      </c>
      <c r="BI138" s="1">
        <f t="shared" si="69"/>
        <v>0</v>
      </c>
      <c r="BJ138" s="1">
        <f>AX138+AY138+AZ138</f>
        <v>0</v>
      </c>
      <c r="BK138" s="1">
        <f>BA138+BB138+BC138</f>
        <v>0</v>
      </c>
      <c r="BL138" s="1">
        <f>BJ138*3</f>
        <v>0</v>
      </c>
      <c r="BM138" s="1">
        <f>BK138*3</f>
        <v>0</v>
      </c>
      <c r="BN138" s="1">
        <f>BL138/3</f>
        <v>0</v>
      </c>
      <c r="BO138" s="1">
        <f>BM138/3</f>
        <v>0</v>
      </c>
      <c r="BP138" s="4">
        <v>290.33333333333331</v>
      </c>
      <c r="BQ138" s="4">
        <v>247</v>
      </c>
      <c r="BR138" s="4">
        <v>207.33333333333334</v>
      </c>
      <c r="BS138" s="4">
        <v>290.33</v>
      </c>
      <c r="BT138" s="4">
        <v>247</v>
      </c>
      <c r="BU138" s="4">
        <v>3.75</v>
      </c>
      <c r="BV138" s="3">
        <v>0</v>
      </c>
      <c r="BW138" s="3">
        <v>2</v>
      </c>
      <c r="BX138" s="3">
        <v>2</v>
      </c>
      <c r="BY138" s="3">
        <v>2</v>
      </c>
      <c r="BZ138" s="3">
        <v>0</v>
      </c>
      <c r="CA138" s="3">
        <v>0</v>
      </c>
      <c r="CB138" s="3">
        <v>0</v>
      </c>
      <c r="CC138" s="3">
        <v>0</v>
      </c>
      <c r="CD138" s="3">
        <v>1</v>
      </c>
      <c r="CE138" s="3">
        <v>1</v>
      </c>
      <c r="CF138" s="3">
        <v>1</v>
      </c>
      <c r="CG138" s="3">
        <v>1</v>
      </c>
      <c r="CH138" s="3">
        <v>0</v>
      </c>
      <c r="CI138" s="1">
        <v>6</v>
      </c>
      <c r="CJ138" s="1">
        <v>6</v>
      </c>
      <c r="CK138" s="1">
        <v>6</v>
      </c>
      <c r="CL138" s="1">
        <v>6</v>
      </c>
      <c r="CM138" s="1">
        <v>6</v>
      </c>
      <c r="CN138" s="1">
        <v>6</v>
      </c>
      <c r="CO138" s="1">
        <v>6</v>
      </c>
      <c r="CP138" s="1">
        <v>1</v>
      </c>
      <c r="CQ138" s="1">
        <v>6</v>
      </c>
      <c r="CR138" s="1">
        <v>6</v>
      </c>
      <c r="CS138" s="1">
        <v>6</v>
      </c>
      <c r="CT138" s="1">
        <v>7</v>
      </c>
      <c r="CU138" s="1">
        <v>6</v>
      </c>
      <c r="CV138" s="1">
        <v>6</v>
      </c>
      <c r="CW138" s="1">
        <v>6</v>
      </c>
      <c r="CX138" s="1">
        <v>6</v>
      </c>
      <c r="CY138" s="1">
        <v>6</v>
      </c>
      <c r="CZ138" s="1">
        <v>7</v>
      </c>
      <c r="DA138" s="1">
        <v>7</v>
      </c>
      <c r="DB138" s="1">
        <v>7</v>
      </c>
      <c r="DC138" s="1">
        <v>6</v>
      </c>
      <c r="DD138" s="1">
        <v>6</v>
      </c>
      <c r="DE138" s="1">
        <v>6</v>
      </c>
      <c r="DF138" s="1">
        <v>1</v>
      </c>
      <c r="DG138" s="1">
        <v>1</v>
      </c>
      <c r="DH138" s="1">
        <v>1</v>
      </c>
      <c r="DI138" s="1">
        <v>2</v>
      </c>
      <c r="DJ138" s="1">
        <v>1</v>
      </c>
      <c r="DK138" s="1">
        <v>1</v>
      </c>
      <c r="DL138" s="1">
        <v>6</v>
      </c>
      <c r="DM138" s="19">
        <v>6</v>
      </c>
      <c r="DN138" s="19">
        <v>1</v>
      </c>
      <c r="DO138" s="1">
        <v>2</v>
      </c>
      <c r="DP138" s="1">
        <v>6</v>
      </c>
      <c r="DQ138" s="1">
        <v>6</v>
      </c>
      <c r="DR138" s="1">
        <v>7</v>
      </c>
      <c r="DS138" s="1">
        <v>6</v>
      </c>
      <c r="DT138" s="1">
        <v>6</v>
      </c>
      <c r="DU138" s="27">
        <v>7</v>
      </c>
      <c r="DV138" s="27">
        <v>7</v>
      </c>
      <c r="DW138" s="27">
        <v>2</v>
      </c>
      <c r="DX138" s="27">
        <v>2</v>
      </c>
      <c r="DY138" s="27">
        <v>2</v>
      </c>
      <c r="DZ138" s="27">
        <v>1</v>
      </c>
      <c r="EA138" s="27">
        <v>1</v>
      </c>
      <c r="EB138" s="27">
        <v>1</v>
      </c>
      <c r="EC138" s="27">
        <v>6</v>
      </c>
      <c r="ED138" s="27">
        <v>1</v>
      </c>
      <c r="EE138" s="27">
        <v>1</v>
      </c>
      <c r="EF138" s="27">
        <v>1</v>
      </c>
      <c r="EG138" s="27">
        <v>7</v>
      </c>
      <c r="EH138" s="27">
        <v>6</v>
      </c>
      <c r="EI138" s="27">
        <v>6</v>
      </c>
      <c r="EJ138" s="27">
        <v>6</v>
      </c>
      <c r="EK138" s="27">
        <v>6</v>
      </c>
      <c r="EL138" s="27">
        <v>6</v>
      </c>
      <c r="EM138" s="27">
        <v>1</v>
      </c>
      <c r="EN138" s="27">
        <v>1</v>
      </c>
      <c r="EO138" s="27">
        <v>6</v>
      </c>
      <c r="EP138" s="27">
        <v>6</v>
      </c>
      <c r="EQ138" s="27">
        <v>6</v>
      </c>
      <c r="ER138" s="27">
        <v>6</v>
      </c>
      <c r="ES138" s="27">
        <v>6</v>
      </c>
      <c r="ET138" s="27">
        <v>4</v>
      </c>
      <c r="EU138" s="27">
        <v>4</v>
      </c>
      <c r="EV138" s="1">
        <v>19</v>
      </c>
      <c r="EW138" s="1">
        <v>2</v>
      </c>
      <c r="EY138" s="1">
        <v>2</v>
      </c>
      <c r="EZ138" s="9"/>
      <c r="FA138" s="1">
        <v>3</v>
      </c>
      <c r="FB138" s="9" t="s">
        <v>865</v>
      </c>
      <c r="FC138" s="1">
        <v>1</v>
      </c>
      <c r="FD138" s="1">
        <v>4</v>
      </c>
      <c r="FE138" s="4">
        <v>6.46</v>
      </c>
      <c r="FF138" s="4">
        <v>6.38</v>
      </c>
      <c r="FG138" s="4">
        <v>7.81</v>
      </c>
      <c r="FH138" s="4">
        <v>6.75</v>
      </c>
      <c r="FI138" s="4">
        <v>6.63</v>
      </c>
      <c r="FJ138" s="23">
        <v>6.25</v>
      </c>
      <c r="FK138" s="4">
        <v>1.5</v>
      </c>
      <c r="FL138" s="4">
        <v>6.63</v>
      </c>
      <c r="FM138" s="4">
        <v>2.5</v>
      </c>
      <c r="FN138" s="4">
        <v>5.88</v>
      </c>
      <c r="FO138" s="4">
        <v>6.33</v>
      </c>
      <c r="FP138" s="4">
        <v>5.67</v>
      </c>
      <c r="FQ138" s="4">
        <v>3.5</v>
      </c>
      <c r="FR138" s="4">
        <v>2.5</v>
      </c>
      <c r="FS138" s="4">
        <v>5</v>
      </c>
      <c r="FT138" s="4">
        <v>6.75</v>
      </c>
      <c r="FU138" s="4">
        <v>4</v>
      </c>
      <c r="FV138" s="4">
        <v>5</v>
      </c>
      <c r="FW138" s="4">
        <v>3.25</v>
      </c>
      <c r="FX138" s="4">
        <v>7</v>
      </c>
      <c r="FY138" s="4">
        <v>6.75</v>
      </c>
      <c r="FZ138" s="4">
        <v>6.17</v>
      </c>
      <c r="GA138" s="4">
        <v>1.63</v>
      </c>
      <c r="GB138" s="4">
        <v>6.25</v>
      </c>
      <c r="GC138" s="4">
        <v>5.88</v>
      </c>
      <c r="GD138" s="4">
        <v>4.75</v>
      </c>
      <c r="GE138" s="26"/>
      <c r="GF138" s="26"/>
      <c r="GG138" s="4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S138" s="3"/>
      <c r="HU138" s="3"/>
      <c r="HX138" s="3"/>
      <c r="IA138" s="3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3"/>
      <c r="JP138" s="3"/>
      <c r="JQ138" s="4"/>
      <c r="JR138" s="5"/>
      <c r="JS138" s="5"/>
      <c r="JT138" s="8"/>
      <c r="JU138" s="8"/>
      <c r="JV138" s="8"/>
      <c r="JW138" s="8"/>
      <c r="JX138" s="8"/>
      <c r="JY138" s="8"/>
      <c r="JZ138" s="8"/>
      <c r="KA138" s="8"/>
      <c r="KB138" s="8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</row>
    <row r="139" spans="1:374" s="1" customFormat="1" x14ac:dyDescent="0.35">
      <c r="A139" s="2">
        <v>43727</v>
      </c>
      <c r="B139" s="15" t="s">
        <v>123</v>
      </c>
      <c r="C139" s="15" t="s">
        <v>300</v>
      </c>
      <c r="D139" s="1">
        <v>138</v>
      </c>
      <c r="E139" s="3">
        <v>3</v>
      </c>
      <c r="F139" s="3">
        <v>1</v>
      </c>
      <c r="G139" s="3"/>
      <c r="H139" s="3">
        <v>35</v>
      </c>
      <c r="I139" s="3">
        <v>2</v>
      </c>
      <c r="J139" s="3"/>
      <c r="K139" s="18">
        <v>0</v>
      </c>
      <c r="L139" s="18">
        <v>1</v>
      </c>
      <c r="M139" s="18">
        <v>0</v>
      </c>
      <c r="N139" s="18">
        <v>1</v>
      </c>
      <c r="O139" s="18">
        <v>0</v>
      </c>
      <c r="P139" s="4">
        <v>0.4</v>
      </c>
      <c r="Q139" s="3">
        <v>56</v>
      </c>
      <c r="R139" s="3">
        <v>82</v>
      </c>
      <c r="S139" s="3">
        <v>76</v>
      </c>
      <c r="T139" s="3">
        <v>64</v>
      </c>
      <c r="U139" s="3">
        <v>55</v>
      </c>
      <c r="V139" s="3">
        <v>76</v>
      </c>
      <c r="W139" s="3">
        <v>51</v>
      </c>
      <c r="X139" s="3">
        <v>48</v>
      </c>
      <c r="Y139" s="3">
        <v>58</v>
      </c>
      <c r="Z139" s="3"/>
      <c r="AA139" s="3"/>
      <c r="AB139" s="3"/>
      <c r="AC139" s="3"/>
      <c r="AD139" s="3"/>
      <c r="AE139" s="3"/>
      <c r="AF139" s="3"/>
      <c r="AG139" s="3"/>
      <c r="AH139" s="3"/>
      <c r="AI139" s="4"/>
      <c r="AJ139" s="4"/>
      <c r="AK139" s="4"/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9">
        <v>0</v>
      </c>
      <c r="AT139" s="19">
        <v>0</v>
      </c>
      <c r="AU139" s="19">
        <v>0</v>
      </c>
      <c r="AV139" s="19">
        <v>0</v>
      </c>
      <c r="AW139" s="19">
        <v>0</v>
      </c>
      <c r="AX139" s="19"/>
      <c r="AY139"/>
      <c r="AZ139"/>
      <c r="BA139"/>
      <c r="BB139"/>
      <c r="BC139"/>
      <c r="BP139" s="4"/>
      <c r="BQ139" s="4"/>
      <c r="BR139" s="4"/>
      <c r="BS139" s="4"/>
      <c r="BT139" s="4"/>
      <c r="BU139" s="4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1">
        <v>6</v>
      </c>
      <c r="CJ139" s="1">
        <v>7</v>
      </c>
      <c r="CK139" s="1">
        <v>7</v>
      </c>
      <c r="CL139" s="1">
        <v>6</v>
      </c>
      <c r="CM139" s="1">
        <v>6</v>
      </c>
      <c r="CN139" s="1">
        <v>6</v>
      </c>
      <c r="CO139" s="1">
        <v>6</v>
      </c>
      <c r="CP139" s="1">
        <v>1</v>
      </c>
      <c r="CQ139" s="1">
        <v>7</v>
      </c>
      <c r="CR139" s="1">
        <v>7</v>
      </c>
      <c r="CS139" s="1">
        <v>7</v>
      </c>
      <c r="CT139" s="1">
        <v>7</v>
      </c>
      <c r="CU139" s="1">
        <v>7</v>
      </c>
      <c r="CV139" s="1">
        <v>7</v>
      </c>
      <c r="CW139" s="1">
        <v>6</v>
      </c>
      <c r="CX139" s="1">
        <v>6</v>
      </c>
      <c r="CY139" s="1">
        <v>6</v>
      </c>
      <c r="CZ139" s="1">
        <v>7</v>
      </c>
      <c r="DA139" s="1">
        <v>7</v>
      </c>
      <c r="DB139" s="1">
        <v>7</v>
      </c>
      <c r="DC139" s="1">
        <v>7</v>
      </c>
      <c r="DD139" s="1">
        <v>7</v>
      </c>
      <c r="DE139" s="1">
        <v>6</v>
      </c>
      <c r="DF139" s="1">
        <v>1</v>
      </c>
      <c r="DG139" s="1">
        <v>1</v>
      </c>
      <c r="DH139" s="1">
        <v>2</v>
      </c>
      <c r="DI139" s="1">
        <v>1</v>
      </c>
      <c r="DJ139" s="1">
        <v>1</v>
      </c>
      <c r="DK139" s="1">
        <v>2</v>
      </c>
      <c r="DL139" s="1">
        <v>7</v>
      </c>
      <c r="DM139" s="19">
        <v>7</v>
      </c>
      <c r="DN139" s="19">
        <v>1</v>
      </c>
      <c r="DO139" s="1">
        <v>5</v>
      </c>
      <c r="DP139" s="1">
        <v>7</v>
      </c>
      <c r="DQ139" s="1">
        <v>7</v>
      </c>
      <c r="DR139" s="1">
        <v>5</v>
      </c>
      <c r="DS139" s="1">
        <v>7</v>
      </c>
      <c r="DT139" s="1">
        <v>7</v>
      </c>
      <c r="DU139" s="27">
        <v>7</v>
      </c>
      <c r="DV139" s="27">
        <v>7</v>
      </c>
      <c r="DW139" s="27">
        <v>2</v>
      </c>
      <c r="DX139" s="27">
        <v>4</v>
      </c>
      <c r="DY139" s="27">
        <v>4</v>
      </c>
      <c r="DZ139" s="27">
        <v>7</v>
      </c>
      <c r="EA139" s="27">
        <v>4</v>
      </c>
      <c r="EB139" s="27">
        <v>5</v>
      </c>
      <c r="EC139" s="27">
        <v>7</v>
      </c>
      <c r="ED139" s="27">
        <v>4</v>
      </c>
      <c r="EE139" s="27">
        <v>5</v>
      </c>
      <c r="EF139" s="27">
        <v>4</v>
      </c>
      <c r="EG139" s="27">
        <v>7</v>
      </c>
      <c r="EH139" s="27">
        <v>7</v>
      </c>
      <c r="EI139" s="27">
        <v>7</v>
      </c>
      <c r="EJ139" s="27">
        <v>7</v>
      </c>
      <c r="EK139" s="27">
        <v>6</v>
      </c>
      <c r="EL139" s="27">
        <v>7</v>
      </c>
      <c r="EM139" s="27">
        <v>2</v>
      </c>
      <c r="EN139" s="27">
        <v>2</v>
      </c>
      <c r="EO139" s="27">
        <v>7</v>
      </c>
      <c r="EP139" s="27">
        <v>7</v>
      </c>
      <c r="EQ139" s="27">
        <v>4</v>
      </c>
      <c r="ER139" s="27">
        <v>6</v>
      </c>
      <c r="ES139" s="27">
        <v>7</v>
      </c>
      <c r="ET139" s="27">
        <v>4</v>
      </c>
      <c r="EU139" s="27">
        <v>4</v>
      </c>
      <c r="EV139" s="1">
        <v>18</v>
      </c>
      <c r="EW139" s="1">
        <v>2</v>
      </c>
      <c r="EY139" s="1">
        <v>2</v>
      </c>
      <c r="EZ139" s="9"/>
      <c r="FA139" s="1">
        <v>1</v>
      </c>
      <c r="FB139" s="9" t="s">
        <v>866</v>
      </c>
      <c r="FC139" s="1">
        <v>1</v>
      </c>
      <c r="FD139" s="1">
        <v>3</v>
      </c>
      <c r="FE139" s="4"/>
      <c r="FF139" s="4"/>
      <c r="FG139" s="4"/>
      <c r="FH139" s="4"/>
      <c r="FI139" s="4"/>
      <c r="FJ139" s="23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26"/>
      <c r="GF139" s="26"/>
      <c r="GG139" s="4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S139" s="3"/>
      <c r="HU139" s="3"/>
      <c r="HX139" s="3"/>
      <c r="IA139" s="3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6"/>
      <c r="JP139" s="6"/>
      <c r="JQ139" s="6"/>
      <c r="JR139" s="6"/>
      <c r="JS139" s="6"/>
      <c r="JT139" s="8"/>
      <c r="JU139" s="8"/>
      <c r="JV139" s="8"/>
      <c r="JW139" s="8"/>
      <c r="JX139" s="8"/>
      <c r="JY139" s="8"/>
      <c r="JZ139" s="8"/>
      <c r="KA139" s="8"/>
      <c r="KB139" s="8"/>
      <c r="KC139" s="6"/>
      <c r="KD139" s="6"/>
      <c r="KE139" s="6"/>
      <c r="KF139" s="6"/>
      <c r="KG139" s="6"/>
      <c r="KH139" s="6"/>
      <c r="KI139" s="6"/>
      <c r="KJ139" s="6"/>
      <c r="KK139" s="6"/>
      <c r="KL139" s="4"/>
      <c r="KM139" s="4"/>
      <c r="KN139" s="6"/>
      <c r="KO139" s="4"/>
      <c r="KP139" s="4"/>
      <c r="KQ139" s="6"/>
      <c r="KR139" s="6"/>
      <c r="KS139" s="4"/>
      <c r="KU139" s="4"/>
      <c r="KV139" s="4"/>
      <c r="KW139" s="4"/>
      <c r="KX139" s="6"/>
      <c r="KY139" s="6"/>
      <c r="KZ139" s="6"/>
      <c r="LA139" s="4"/>
      <c r="LB139" s="6"/>
      <c r="LC139" s="6"/>
      <c r="LD139" s="4"/>
      <c r="LE139" s="4"/>
      <c r="LF139" s="6"/>
      <c r="LG139" s="6"/>
      <c r="LH139" s="6"/>
      <c r="LI139" s="6"/>
      <c r="LJ139" s="6"/>
      <c r="LK139" s="6"/>
      <c r="LL139" s="6"/>
      <c r="LM139" s="6"/>
      <c r="LN139" s="6"/>
      <c r="LO139" s="6"/>
      <c r="LP139" s="6"/>
      <c r="LQ139" s="6"/>
      <c r="LR139" s="6"/>
      <c r="LS139" s="6"/>
      <c r="LT139" s="6"/>
      <c r="LU139" s="6"/>
      <c r="LV139" s="6"/>
      <c r="LW139" s="6"/>
      <c r="LX139" s="6"/>
      <c r="LY139" s="6"/>
      <c r="LZ139" s="6"/>
      <c r="MA139" s="6"/>
      <c r="MB139" s="6"/>
      <c r="MC139" s="6"/>
      <c r="MD139" s="6"/>
      <c r="ME139" s="6"/>
      <c r="MF139" s="6"/>
      <c r="MG139" s="6"/>
      <c r="MH139" s="6"/>
      <c r="MI139" s="6"/>
      <c r="MJ139" s="6"/>
      <c r="MK139" s="6"/>
      <c r="ML139" s="6"/>
      <c r="MM139" s="6"/>
      <c r="MN139" s="6"/>
      <c r="MO139" s="6"/>
      <c r="MP139" s="6"/>
      <c r="MQ139" s="6"/>
      <c r="MR139" s="6"/>
      <c r="MS139" s="6"/>
      <c r="MT139" s="6"/>
      <c r="MU139" s="6"/>
      <c r="MV139" s="6"/>
      <c r="MW139" s="6"/>
      <c r="MX139" s="6"/>
      <c r="MY139" s="6"/>
      <c r="MZ139" s="6"/>
      <c r="NA139" s="6"/>
      <c r="NB139" s="6"/>
      <c r="NC139" s="6"/>
      <c r="ND139" s="6"/>
      <c r="NE139" s="6"/>
      <c r="NF139" s="6"/>
      <c r="NG139" s="6"/>
      <c r="NH139" s="6"/>
      <c r="NI139" s="6"/>
      <c r="NJ139" s="4"/>
    </row>
    <row r="140" spans="1:374" s="1" customFormat="1" x14ac:dyDescent="0.35">
      <c r="A140" s="2">
        <v>43727</v>
      </c>
      <c r="B140" s="15" t="s">
        <v>123</v>
      </c>
      <c r="C140" s="15" t="s">
        <v>301</v>
      </c>
      <c r="D140" s="1">
        <v>139</v>
      </c>
      <c r="E140" s="3">
        <v>3</v>
      </c>
      <c r="F140" s="3">
        <v>1</v>
      </c>
      <c r="G140" s="3"/>
      <c r="H140" s="3">
        <v>35</v>
      </c>
      <c r="I140" s="3">
        <v>3</v>
      </c>
      <c r="J140" s="3"/>
      <c r="K140" s="18">
        <v>1</v>
      </c>
      <c r="L140" s="18">
        <v>0</v>
      </c>
      <c r="M140" s="18">
        <v>1</v>
      </c>
      <c r="N140" s="18">
        <v>1</v>
      </c>
      <c r="O140" s="18">
        <v>0</v>
      </c>
      <c r="P140" s="4">
        <v>0.6</v>
      </c>
      <c r="Q140" s="3">
        <v>45</v>
      </c>
      <c r="R140" s="3">
        <v>73</v>
      </c>
      <c r="S140" s="3">
        <v>84</v>
      </c>
      <c r="T140" s="3">
        <v>72</v>
      </c>
      <c r="U140" s="3">
        <v>61</v>
      </c>
      <c r="V140" s="3">
        <v>52</v>
      </c>
      <c r="W140" s="3">
        <v>42</v>
      </c>
      <c r="X140" s="3">
        <v>47</v>
      </c>
      <c r="Y140" s="3">
        <v>52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4"/>
      <c r="AJ140" s="4"/>
      <c r="AK140" s="4"/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9">
        <v>0</v>
      </c>
      <c r="AT140" s="19">
        <v>0</v>
      </c>
      <c r="AU140" s="19">
        <v>0</v>
      </c>
      <c r="AV140" s="19">
        <v>0</v>
      </c>
      <c r="AW140" s="19">
        <v>0</v>
      </c>
      <c r="AX140" s="19"/>
      <c r="AY140"/>
      <c r="AZ140"/>
      <c r="BA140"/>
      <c r="BB140"/>
      <c r="BC140"/>
      <c r="BP140" s="4"/>
      <c r="BQ140" s="4"/>
      <c r="BR140" s="4"/>
      <c r="BS140" s="4"/>
      <c r="BT140" s="4"/>
      <c r="BU140" s="4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1">
        <v>7</v>
      </c>
      <c r="CJ140" s="1">
        <v>7</v>
      </c>
      <c r="CK140" s="1">
        <v>7</v>
      </c>
      <c r="CL140" s="1">
        <v>7</v>
      </c>
      <c r="CM140" s="1">
        <v>7</v>
      </c>
      <c r="CN140" s="1">
        <v>7</v>
      </c>
      <c r="CO140" s="1">
        <v>7</v>
      </c>
      <c r="CP140" s="1">
        <v>1</v>
      </c>
      <c r="CQ140" s="1">
        <v>7</v>
      </c>
      <c r="CR140" s="1">
        <v>7</v>
      </c>
      <c r="CS140" s="1">
        <v>7</v>
      </c>
      <c r="CT140" s="1">
        <v>7</v>
      </c>
      <c r="CU140" s="1">
        <v>7</v>
      </c>
      <c r="CV140" s="1">
        <v>7</v>
      </c>
      <c r="CW140" s="1">
        <v>7</v>
      </c>
      <c r="CX140" s="1">
        <v>7</v>
      </c>
      <c r="CY140" s="1">
        <v>7</v>
      </c>
      <c r="CZ140" s="1">
        <v>7</v>
      </c>
      <c r="DA140" s="1">
        <v>7</v>
      </c>
      <c r="DB140" s="1">
        <v>7</v>
      </c>
      <c r="DC140" s="1">
        <v>7</v>
      </c>
      <c r="DD140" s="1">
        <v>7</v>
      </c>
      <c r="DE140" s="1">
        <v>7</v>
      </c>
      <c r="DF140" s="1">
        <v>1</v>
      </c>
      <c r="DG140" s="1">
        <v>1</v>
      </c>
      <c r="DH140" s="1">
        <v>1</v>
      </c>
      <c r="DI140" s="1">
        <v>1</v>
      </c>
      <c r="DJ140" s="1">
        <v>1</v>
      </c>
      <c r="DK140" s="1">
        <v>1</v>
      </c>
      <c r="DL140" s="1">
        <v>7</v>
      </c>
      <c r="DM140" s="19">
        <v>7</v>
      </c>
      <c r="DN140" s="19">
        <v>1</v>
      </c>
      <c r="DO140" s="1">
        <v>1</v>
      </c>
      <c r="DP140" s="1">
        <v>1</v>
      </c>
      <c r="DQ140" s="1">
        <v>7</v>
      </c>
      <c r="DR140" s="1">
        <v>6</v>
      </c>
      <c r="DS140" s="1">
        <v>7</v>
      </c>
      <c r="DT140" s="1">
        <v>7</v>
      </c>
      <c r="DU140" s="27">
        <v>7</v>
      </c>
      <c r="DV140" s="27">
        <v>7</v>
      </c>
      <c r="DW140" s="27">
        <v>1</v>
      </c>
      <c r="DX140" s="27">
        <v>1</v>
      </c>
      <c r="DY140" s="27">
        <v>1</v>
      </c>
      <c r="DZ140" s="27">
        <v>1</v>
      </c>
      <c r="EA140" s="27">
        <v>1</v>
      </c>
      <c r="EB140" s="27">
        <v>7</v>
      </c>
      <c r="EC140" s="27">
        <v>7</v>
      </c>
      <c r="ED140" s="27">
        <v>7</v>
      </c>
      <c r="EE140" s="27">
        <v>7</v>
      </c>
      <c r="EF140" s="27">
        <v>7</v>
      </c>
      <c r="EG140" s="27">
        <v>7</v>
      </c>
      <c r="EH140" s="27">
        <v>7</v>
      </c>
      <c r="EI140" s="27">
        <v>7</v>
      </c>
      <c r="EJ140" s="27">
        <v>1</v>
      </c>
      <c r="EK140" s="27">
        <v>7</v>
      </c>
      <c r="EL140" s="27">
        <v>7</v>
      </c>
      <c r="EM140" s="27">
        <v>1</v>
      </c>
      <c r="EN140" s="27">
        <v>1</v>
      </c>
      <c r="EO140" s="27">
        <v>7</v>
      </c>
      <c r="EP140" s="27">
        <v>7</v>
      </c>
      <c r="EQ140" s="27">
        <v>7</v>
      </c>
      <c r="ER140" s="27">
        <v>1</v>
      </c>
      <c r="ES140" s="27">
        <v>7</v>
      </c>
      <c r="ET140" s="27">
        <v>7</v>
      </c>
      <c r="EU140" s="27">
        <v>7</v>
      </c>
      <c r="EV140" s="1">
        <v>21</v>
      </c>
      <c r="EW140" s="1">
        <v>2</v>
      </c>
      <c r="EY140" s="1">
        <v>2</v>
      </c>
      <c r="EZ140" s="9"/>
      <c r="FA140" s="1">
        <v>3</v>
      </c>
      <c r="FB140" s="9" t="s">
        <v>867</v>
      </c>
      <c r="FC140" s="1">
        <v>1</v>
      </c>
      <c r="FD140" s="1">
        <v>4</v>
      </c>
      <c r="FE140" s="4"/>
      <c r="FF140" s="4"/>
      <c r="FG140" s="4"/>
      <c r="FH140" s="4"/>
      <c r="FI140" s="4"/>
      <c r="FJ140" s="23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26"/>
      <c r="GF140" s="26"/>
      <c r="GG140" s="4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S140" s="3"/>
      <c r="HU140" s="3"/>
      <c r="HX140" s="3"/>
      <c r="IA140" s="3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6"/>
      <c r="JP140" s="6"/>
      <c r="JQ140" s="6"/>
      <c r="JR140" s="6"/>
      <c r="JS140" s="6"/>
      <c r="JT140" s="8"/>
      <c r="JU140" s="8"/>
      <c r="JV140" s="8"/>
      <c r="JW140" s="8"/>
      <c r="JX140" s="8"/>
      <c r="JY140" s="8"/>
      <c r="JZ140" s="8"/>
      <c r="KA140" s="8"/>
      <c r="KB140" s="8"/>
      <c r="KC140" s="6"/>
      <c r="KD140" s="6"/>
      <c r="KE140" s="6"/>
      <c r="KF140" s="6"/>
      <c r="KG140" s="6"/>
      <c r="KH140" s="6"/>
      <c r="KI140" s="6"/>
      <c r="KJ140" s="6"/>
      <c r="KK140" s="6"/>
      <c r="KL140" s="4"/>
      <c r="KM140" s="4"/>
      <c r="KN140" s="6"/>
      <c r="KO140" s="4"/>
      <c r="KP140" s="4"/>
      <c r="KQ140" s="6"/>
      <c r="KR140" s="6"/>
      <c r="KS140" s="4"/>
      <c r="KU140" s="4"/>
      <c r="KV140" s="4"/>
      <c r="KW140" s="4"/>
      <c r="KX140" s="6"/>
      <c r="KY140" s="6"/>
      <c r="KZ140" s="6"/>
      <c r="LA140" s="4"/>
      <c r="LB140" s="6"/>
      <c r="LC140" s="6"/>
      <c r="LD140" s="4"/>
      <c r="LE140" s="4"/>
      <c r="LF140" s="6"/>
      <c r="LG140" s="6"/>
      <c r="LH140" s="6"/>
      <c r="LI140" s="6"/>
      <c r="LJ140" s="6"/>
      <c r="LK140" s="6"/>
      <c r="LL140" s="6"/>
      <c r="LM140" s="6"/>
      <c r="LN140" s="6"/>
      <c r="LO140" s="6"/>
      <c r="LP140" s="6"/>
      <c r="LQ140" s="6"/>
      <c r="LR140" s="6"/>
      <c r="LS140" s="6"/>
      <c r="LT140" s="6"/>
      <c r="LU140" s="6"/>
      <c r="LV140" s="6"/>
      <c r="LW140" s="6"/>
      <c r="LX140" s="6"/>
      <c r="LY140" s="6"/>
      <c r="LZ140" s="6"/>
      <c r="MA140" s="6"/>
      <c r="MB140" s="6"/>
      <c r="MC140" s="6"/>
      <c r="MD140" s="6"/>
      <c r="ME140" s="6"/>
      <c r="MF140" s="6"/>
      <c r="MG140" s="6"/>
      <c r="MH140" s="6"/>
      <c r="MI140" s="6"/>
      <c r="MJ140" s="6"/>
      <c r="MK140" s="6"/>
      <c r="ML140" s="6"/>
      <c r="MM140" s="6"/>
      <c r="MN140" s="6"/>
      <c r="MO140" s="6"/>
      <c r="MP140" s="6"/>
      <c r="MQ140" s="6"/>
      <c r="MR140" s="6"/>
      <c r="MS140" s="6"/>
      <c r="MT140" s="6"/>
      <c r="MU140" s="6"/>
      <c r="MV140" s="6"/>
      <c r="MW140" s="6"/>
      <c r="MX140" s="6"/>
      <c r="MY140" s="6"/>
      <c r="MZ140" s="6"/>
      <c r="NA140" s="6"/>
      <c r="NB140" s="6"/>
      <c r="NC140" s="6"/>
      <c r="ND140" s="6"/>
      <c r="NE140" s="6"/>
      <c r="NF140" s="6"/>
      <c r="NG140" s="6"/>
      <c r="NH140" s="6"/>
      <c r="NI140" s="6"/>
      <c r="NJ140" s="4"/>
    </row>
    <row r="141" spans="1:374" s="1" customFormat="1" x14ac:dyDescent="0.35">
      <c r="A141" s="2">
        <v>43727</v>
      </c>
      <c r="B141" s="15" t="s">
        <v>123</v>
      </c>
      <c r="C141" s="15" t="s">
        <v>302</v>
      </c>
      <c r="D141" s="1">
        <v>140</v>
      </c>
      <c r="E141" s="3">
        <v>3</v>
      </c>
      <c r="F141" s="3">
        <v>1</v>
      </c>
      <c r="G141" s="3"/>
      <c r="H141" s="3">
        <v>35</v>
      </c>
      <c r="I141" s="3">
        <v>4</v>
      </c>
      <c r="J141" s="3"/>
      <c r="K141" s="18">
        <v>0</v>
      </c>
      <c r="L141" s="18">
        <v>1</v>
      </c>
      <c r="M141" s="18">
        <v>1</v>
      </c>
      <c r="N141" s="18">
        <v>1</v>
      </c>
      <c r="O141" s="18">
        <v>0</v>
      </c>
      <c r="P141" s="4">
        <v>0.6</v>
      </c>
      <c r="Q141" s="3">
        <v>48</v>
      </c>
      <c r="R141" s="3">
        <v>85</v>
      </c>
      <c r="S141" s="3">
        <v>103</v>
      </c>
      <c r="T141" s="3">
        <v>87</v>
      </c>
      <c r="U141" s="3">
        <v>65</v>
      </c>
      <c r="V141" s="3">
        <v>40</v>
      </c>
      <c r="W141" s="3">
        <v>66</v>
      </c>
      <c r="X141" s="3">
        <v>58</v>
      </c>
      <c r="Y141" s="3">
        <v>54</v>
      </c>
      <c r="Z141" s="3"/>
      <c r="AA141" s="3"/>
      <c r="AB141" s="3"/>
      <c r="AC141" s="3"/>
      <c r="AD141" s="3"/>
      <c r="AE141" s="3"/>
      <c r="AF141" s="3"/>
      <c r="AG141" s="3"/>
      <c r="AH141" s="3"/>
      <c r="AI141" s="4"/>
      <c r="AJ141" s="4"/>
      <c r="AK141" s="4"/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9">
        <v>0</v>
      </c>
      <c r="AT141" s="19">
        <v>0</v>
      </c>
      <c r="AU141" s="19">
        <v>0</v>
      </c>
      <c r="AV141" s="19">
        <v>0</v>
      </c>
      <c r="AW141" s="19">
        <v>0</v>
      </c>
      <c r="AX141" s="19"/>
      <c r="AY141"/>
      <c r="AZ141"/>
      <c r="BA141"/>
      <c r="BB141"/>
      <c r="BC141"/>
      <c r="BP141" s="4"/>
      <c r="BQ141" s="4"/>
      <c r="BR141" s="4"/>
      <c r="BS141" s="4"/>
      <c r="BT141" s="4"/>
      <c r="BU141" s="4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1">
        <v>7</v>
      </c>
      <c r="CJ141" s="1">
        <v>7</v>
      </c>
      <c r="CK141" s="1">
        <v>7</v>
      </c>
      <c r="CL141" s="1">
        <v>7</v>
      </c>
      <c r="CM141" s="1">
        <v>6</v>
      </c>
      <c r="CN141" s="1">
        <v>6</v>
      </c>
      <c r="CO141" s="1">
        <v>6</v>
      </c>
      <c r="CP141" s="1">
        <v>5</v>
      </c>
      <c r="CQ141" s="1">
        <v>6</v>
      </c>
      <c r="CR141" s="1">
        <v>6</v>
      </c>
      <c r="CS141" s="1">
        <v>6</v>
      </c>
      <c r="CT141" s="1">
        <v>3</v>
      </c>
      <c r="CU141" s="1">
        <v>6</v>
      </c>
      <c r="CV141" s="1">
        <v>6</v>
      </c>
      <c r="CW141" s="1">
        <v>6</v>
      </c>
      <c r="CX141" s="1">
        <v>6</v>
      </c>
      <c r="CY141" s="1">
        <v>4</v>
      </c>
      <c r="CZ141" s="1">
        <v>6</v>
      </c>
      <c r="DA141" s="1">
        <v>6</v>
      </c>
      <c r="DB141" s="1">
        <v>6</v>
      </c>
      <c r="DC141" s="1">
        <v>6</v>
      </c>
      <c r="DD141" s="1">
        <v>7</v>
      </c>
      <c r="DE141" s="1">
        <v>6</v>
      </c>
      <c r="DF141" s="1">
        <v>2</v>
      </c>
      <c r="DG141" s="1">
        <v>6</v>
      </c>
      <c r="DH141" s="1">
        <v>2</v>
      </c>
      <c r="DI141" s="1">
        <v>2</v>
      </c>
      <c r="DJ141" s="1">
        <v>2</v>
      </c>
      <c r="DK141" s="1">
        <v>1</v>
      </c>
      <c r="DL141" s="1">
        <v>7</v>
      </c>
      <c r="DM141" s="19">
        <v>6</v>
      </c>
      <c r="DN141" s="19">
        <v>3</v>
      </c>
      <c r="DO141" s="1">
        <v>6</v>
      </c>
      <c r="DP141" s="1">
        <v>6</v>
      </c>
      <c r="DQ141" s="1">
        <v>7</v>
      </c>
      <c r="DR141" s="1">
        <v>4</v>
      </c>
      <c r="DS141" s="1">
        <v>7</v>
      </c>
      <c r="DT141" s="1">
        <v>7</v>
      </c>
      <c r="DU141" s="27">
        <v>7</v>
      </c>
      <c r="DV141" s="27">
        <v>7</v>
      </c>
      <c r="DW141" s="27">
        <v>7</v>
      </c>
      <c r="DX141" s="27">
        <v>7</v>
      </c>
      <c r="DY141" s="27">
        <v>7</v>
      </c>
      <c r="DZ141" s="27">
        <v>4</v>
      </c>
      <c r="EA141" s="27">
        <v>4</v>
      </c>
      <c r="EB141" s="27">
        <v>7</v>
      </c>
      <c r="EC141" s="27">
        <v>7</v>
      </c>
      <c r="ED141" s="27">
        <v>4</v>
      </c>
      <c r="EE141" s="27">
        <v>7</v>
      </c>
      <c r="EF141" s="27">
        <v>1</v>
      </c>
      <c r="EG141" s="27">
        <v>7</v>
      </c>
      <c r="EH141" s="27">
        <v>7</v>
      </c>
      <c r="EI141" s="27">
        <v>7</v>
      </c>
      <c r="EJ141" s="27">
        <v>7</v>
      </c>
      <c r="EK141" s="27">
        <v>7</v>
      </c>
      <c r="EL141" s="27">
        <v>7</v>
      </c>
      <c r="EM141" s="27">
        <v>1</v>
      </c>
      <c r="EN141" s="27">
        <v>4</v>
      </c>
      <c r="EO141" s="27">
        <v>7</v>
      </c>
      <c r="EP141" s="27">
        <v>7</v>
      </c>
      <c r="EQ141" s="27">
        <v>4</v>
      </c>
      <c r="ER141" s="27">
        <v>7</v>
      </c>
      <c r="ES141" s="27">
        <v>7</v>
      </c>
      <c r="ET141" s="27">
        <v>4</v>
      </c>
      <c r="EU141" s="27">
        <v>4</v>
      </c>
      <c r="EV141" s="1">
        <v>21</v>
      </c>
      <c r="EW141" s="1">
        <v>2</v>
      </c>
      <c r="EY141" s="1">
        <v>1</v>
      </c>
      <c r="EZ141" s="9"/>
      <c r="FA141" s="1">
        <v>3</v>
      </c>
      <c r="FB141" s="9" t="s">
        <v>776</v>
      </c>
      <c r="FC141" s="1">
        <v>1</v>
      </c>
      <c r="FD141" s="1">
        <v>4</v>
      </c>
      <c r="FE141" s="4"/>
      <c r="FF141" s="4"/>
      <c r="FG141" s="4"/>
      <c r="FH141" s="4"/>
      <c r="FI141" s="4"/>
      <c r="FJ141" s="23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26"/>
      <c r="GF141" s="26"/>
      <c r="GG141" s="4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S141" s="3"/>
      <c r="HU141" s="3"/>
      <c r="HX141" s="3"/>
      <c r="IA141" s="3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6"/>
      <c r="JP141" s="6"/>
      <c r="JQ141" s="6"/>
      <c r="JR141" s="6"/>
      <c r="JS141" s="6"/>
      <c r="JT141" s="8"/>
      <c r="JU141" s="8"/>
      <c r="JV141" s="8"/>
      <c r="JW141" s="8"/>
      <c r="JX141" s="8"/>
      <c r="JY141" s="8"/>
      <c r="JZ141" s="8"/>
      <c r="KA141" s="8"/>
      <c r="KB141" s="8"/>
      <c r="KC141" s="6"/>
      <c r="KD141" s="6"/>
      <c r="KE141" s="6"/>
      <c r="KF141" s="6"/>
      <c r="KG141" s="6"/>
      <c r="KH141" s="6"/>
      <c r="KI141" s="6"/>
      <c r="KJ141" s="6"/>
      <c r="KK141" s="6"/>
      <c r="KL141" s="4"/>
      <c r="KM141" s="4"/>
      <c r="KN141" s="6"/>
      <c r="KO141" s="4"/>
      <c r="KP141" s="4"/>
      <c r="KQ141" s="6"/>
      <c r="KR141" s="6"/>
      <c r="KS141" s="4"/>
      <c r="KU141" s="4"/>
      <c r="KV141" s="4"/>
      <c r="KW141" s="4"/>
      <c r="KX141" s="6"/>
      <c r="KY141" s="6"/>
      <c r="KZ141" s="6"/>
      <c r="LA141" s="4"/>
      <c r="LB141" s="6"/>
      <c r="LC141" s="6"/>
      <c r="LD141" s="4"/>
      <c r="LE141" s="4"/>
      <c r="LF141" s="6"/>
      <c r="LG141" s="6"/>
      <c r="LH141" s="6"/>
      <c r="LI141" s="6"/>
      <c r="LJ141" s="6"/>
      <c r="LK141" s="6"/>
      <c r="LL141" s="6"/>
      <c r="LM141" s="6"/>
      <c r="LN141" s="6"/>
      <c r="LO141" s="6"/>
      <c r="LP141" s="6"/>
      <c r="LQ141" s="6"/>
      <c r="LR141" s="6"/>
      <c r="LS141" s="6"/>
      <c r="LT141" s="6"/>
      <c r="LU141" s="6"/>
      <c r="LV141" s="6"/>
      <c r="LW141" s="6"/>
      <c r="LX141" s="6"/>
      <c r="LY141" s="6"/>
      <c r="LZ141" s="6"/>
      <c r="MA141" s="6"/>
      <c r="MB141" s="6"/>
      <c r="MC141" s="6"/>
      <c r="MD141" s="6"/>
      <c r="ME141" s="6"/>
      <c r="MF141" s="6"/>
      <c r="MG141" s="6"/>
      <c r="MH141" s="6"/>
      <c r="MI141" s="6"/>
      <c r="MJ141" s="6"/>
      <c r="MK141" s="6"/>
      <c r="ML141" s="6"/>
      <c r="MM141" s="6"/>
      <c r="MN141" s="6"/>
      <c r="MO141" s="6"/>
      <c r="MP141" s="6"/>
      <c r="MQ141" s="6"/>
      <c r="MR141" s="6"/>
      <c r="MS141" s="6"/>
      <c r="MT141" s="6"/>
      <c r="MU141" s="6"/>
      <c r="MV141" s="6"/>
      <c r="MW141" s="6"/>
      <c r="MX141" s="6"/>
      <c r="MY141" s="6"/>
      <c r="MZ141" s="6"/>
      <c r="NA141" s="6"/>
      <c r="NB141" s="6"/>
      <c r="NC141" s="6"/>
      <c r="ND141" s="6"/>
      <c r="NE141" s="6"/>
      <c r="NF141" s="6"/>
      <c r="NG141" s="6"/>
      <c r="NH141" s="6"/>
      <c r="NI141" s="6"/>
      <c r="NJ141" s="4"/>
    </row>
    <row r="142" spans="1:374" s="1" customFormat="1" x14ac:dyDescent="0.35">
      <c r="A142" s="2">
        <v>43727</v>
      </c>
      <c r="B142" s="15" t="s">
        <v>124</v>
      </c>
      <c r="C142" s="15" t="s">
        <v>303</v>
      </c>
      <c r="D142" s="1">
        <v>141</v>
      </c>
      <c r="E142" s="3">
        <v>3</v>
      </c>
      <c r="F142" s="3">
        <v>1</v>
      </c>
      <c r="G142" s="3">
        <v>0</v>
      </c>
      <c r="H142" s="3">
        <v>36</v>
      </c>
      <c r="I142" s="3">
        <v>1</v>
      </c>
      <c r="J142" s="3">
        <v>1</v>
      </c>
      <c r="K142" s="3">
        <v>1</v>
      </c>
      <c r="L142" s="3">
        <v>1</v>
      </c>
      <c r="M142" s="3">
        <v>1</v>
      </c>
      <c r="N142" s="3">
        <v>1</v>
      </c>
      <c r="O142" s="3">
        <v>1</v>
      </c>
      <c r="P142" s="4">
        <v>1</v>
      </c>
      <c r="Q142" s="3">
        <v>96</v>
      </c>
      <c r="R142" s="3">
        <v>112</v>
      </c>
      <c r="S142" s="3">
        <v>119</v>
      </c>
      <c r="T142" s="3">
        <v>108</v>
      </c>
      <c r="U142" s="3">
        <v>112</v>
      </c>
      <c r="V142" s="3">
        <v>97</v>
      </c>
      <c r="W142" s="3">
        <v>112</v>
      </c>
      <c r="X142" s="3">
        <v>125</v>
      </c>
      <c r="Y142" s="3">
        <v>122</v>
      </c>
      <c r="Z142" s="3">
        <v>344</v>
      </c>
      <c r="AA142" s="3">
        <v>388</v>
      </c>
      <c r="AB142" s="3">
        <v>438</v>
      </c>
      <c r="AC142" s="3">
        <v>434</v>
      </c>
      <c r="AD142" s="3">
        <v>401</v>
      </c>
      <c r="AE142" s="3">
        <v>391</v>
      </c>
      <c r="AF142" s="3">
        <v>428</v>
      </c>
      <c r="AG142" s="3">
        <v>423</v>
      </c>
      <c r="AH142" s="3">
        <v>419</v>
      </c>
      <c r="AI142" s="4">
        <v>390</v>
      </c>
      <c r="AJ142" s="4">
        <v>408.67</v>
      </c>
      <c r="AK142" s="4">
        <v>423.33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9">
        <f t="shared" ref="AX142:BC142" si="70">AL142+AL143+AL144+AL145</f>
        <v>0</v>
      </c>
      <c r="AY142" s="19">
        <f t="shared" si="70"/>
        <v>0</v>
      </c>
      <c r="AZ142" s="19">
        <f t="shared" si="70"/>
        <v>0</v>
      </c>
      <c r="BA142" s="19">
        <f t="shared" si="70"/>
        <v>0</v>
      </c>
      <c r="BB142" s="19">
        <f t="shared" si="70"/>
        <v>0</v>
      </c>
      <c r="BC142" s="19">
        <f t="shared" si="70"/>
        <v>0</v>
      </c>
      <c r="BD142" s="1">
        <f>AX142*3</f>
        <v>0</v>
      </c>
      <c r="BE142" s="1">
        <f t="shared" ref="BE142:BI142" si="71">AY142*3</f>
        <v>0</v>
      </c>
      <c r="BF142" s="1">
        <f t="shared" si="71"/>
        <v>0</v>
      </c>
      <c r="BG142" s="1">
        <f t="shared" si="71"/>
        <v>0</v>
      </c>
      <c r="BH142" s="1">
        <f t="shared" si="71"/>
        <v>0</v>
      </c>
      <c r="BI142" s="1">
        <f t="shared" si="71"/>
        <v>0</v>
      </c>
      <c r="BJ142" s="1">
        <f>AX142+AY142+AZ142</f>
        <v>0</v>
      </c>
      <c r="BK142" s="1">
        <f>BA142+BB142+BC142</f>
        <v>0</v>
      </c>
      <c r="BL142" s="1">
        <f>BJ142*3</f>
        <v>0</v>
      </c>
      <c r="BM142" s="1">
        <f>BK142*3</f>
        <v>0</v>
      </c>
      <c r="BN142" s="1">
        <f>BL142/3</f>
        <v>0</v>
      </c>
      <c r="BO142" s="1">
        <f>BM142/3</f>
        <v>0</v>
      </c>
      <c r="BP142" s="4">
        <v>390</v>
      </c>
      <c r="BQ142" s="4">
        <v>408.66666666666669</v>
      </c>
      <c r="BR142" s="4">
        <v>423.33333333333331</v>
      </c>
      <c r="BS142" s="4">
        <v>390</v>
      </c>
      <c r="BT142" s="4">
        <v>408.67</v>
      </c>
      <c r="BU142" s="4">
        <v>3.5</v>
      </c>
      <c r="BV142" s="3">
        <v>1</v>
      </c>
      <c r="BW142" s="3">
        <v>1</v>
      </c>
      <c r="BX142" s="3">
        <v>1</v>
      </c>
      <c r="BY142" s="3">
        <v>1</v>
      </c>
      <c r="BZ142" s="3">
        <v>1</v>
      </c>
      <c r="CA142" s="3"/>
      <c r="CB142" s="3">
        <v>1</v>
      </c>
      <c r="CC142" s="3">
        <v>1</v>
      </c>
      <c r="CD142" s="3">
        <v>1</v>
      </c>
      <c r="CE142" s="3">
        <v>1</v>
      </c>
      <c r="CF142" s="3">
        <v>1</v>
      </c>
      <c r="CG142" s="3">
        <v>1</v>
      </c>
      <c r="CH142" s="3">
        <v>0</v>
      </c>
      <c r="CI142" s="1">
        <v>7</v>
      </c>
      <c r="CJ142" s="1">
        <v>7</v>
      </c>
      <c r="CK142" s="1">
        <v>7</v>
      </c>
      <c r="CL142" s="1">
        <v>6</v>
      </c>
      <c r="CM142" s="1">
        <v>5</v>
      </c>
      <c r="CN142" s="1">
        <v>6</v>
      </c>
      <c r="CO142" s="1">
        <v>6</v>
      </c>
      <c r="CP142" s="1">
        <v>1</v>
      </c>
      <c r="CQ142" s="1">
        <v>7</v>
      </c>
      <c r="CR142" s="1">
        <v>7</v>
      </c>
      <c r="CS142" s="1">
        <v>7</v>
      </c>
      <c r="CT142" s="1">
        <v>7</v>
      </c>
      <c r="CU142" s="1">
        <v>6</v>
      </c>
      <c r="CV142" s="1">
        <v>7</v>
      </c>
      <c r="CW142" s="1">
        <v>4</v>
      </c>
      <c r="CX142" s="1">
        <v>6</v>
      </c>
      <c r="CY142" s="1">
        <v>7</v>
      </c>
      <c r="CZ142" s="1">
        <v>7</v>
      </c>
      <c r="DA142" s="1">
        <v>7</v>
      </c>
      <c r="DB142" s="1">
        <v>7</v>
      </c>
      <c r="DC142" s="1">
        <v>7</v>
      </c>
      <c r="DD142" s="1">
        <v>7</v>
      </c>
      <c r="DE142" s="1">
        <v>6</v>
      </c>
      <c r="DF142" s="1">
        <v>5</v>
      </c>
      <c r="DG142" s="1">
        <v>6</v>
      </c>
      <c r="DH142" s="1">
        <v>7</v>
      </c>
      <c r="DI142" s="1">
        <v>5</v>
      </c>
      <c r="DJ142" s="1">
        <v>2</v>
      </c>
      <c r="DK142" s="1">
        <v>2</v>
      </c>
      <c r="DL142" s="1">
        <v>7</v>
      </c>
      <c r="DM142" s="19">
        <v>7</v>
      </c>
      <c r="DN142" s="19">
        <v>5</v>
      </c>
      <c r="DO142" s="1">
        <v>1</v>
      </c>
      <c r="DP142" s="1">
        <v>6</v>
      </c>
      <c r="DQ142" s="1">
        <v>7</v>
      </c>
      <c r="DR142" s="1">
        <v>7</v>
      </c>
      <c r="DS142" s="1">
        <v>7</v>
      </c>
      <c r="DT142" s="1">
        <v>6</v>
      </c>
      <c r="DU142" s="27">
        <v>7</v>
      </c>
      <c r="DV142" s="27">
        <v>7</v>
      </c>
      <c r="DW142" s="27">
        <v>3</v>
      </c>
      <c r="DX142" s="27">
        <v>3</v>
      </c>
      <c r="DY142" s="27">
        <v>4</v>
      </c>
      <c r="DZ142" s="27">
        <v>1</v>
      </c>
      <c r="EA142" s="27">
        <v>1</v>
      </c>
      <c r="EB142" s="27">
        <v>2</v>
      </c>
      <c r="EC142" s="27">
        <v>4</v>
      </c>
      <c r="ED142" s="27">
        <v>6</v>
      </c>
      <c r="EE142" s="27">
        <v>7</v>
      </c>
      <c r="EF142" s="27">
        <v>2</v>
      </c>
      <c r="EG142" s="27">
        <v>4</v>
      </c>
      <c r="EH142" s="27">
        <v>7</v>
      </c>
      <c r="EI142" s="27">
        <v>7</v>
      </c>
      <c r="EJ142" s="27">
        <v>7</v>
      </c>
      <c r="EK142" s="27">
        <v>7</v>
      </c>
      <c r="EL142" s="27">
        <v>7</v>
      </c>
      <c r="EM142" s="27">
        <v>1</v>
      </c>
      <c r="EN142" s="27">
        <v>1</v>
      </c>
      <c r="EO142" s="27">
        <v>6</v>
      </c>
      <c r="EP142" s="27">
        <v>6</v>
      </c>
      <c r="EQ142" s="27">
        <v>6</v>
      </c>
      <c r="ER142" s="27">
        <v>7</v>
      </c>
      <c r="ES142" s="27">
        <v>4</v>
      </c>
      <c r="ET142" s="27">
        <v>4</v>
      </c>
      <c r="EU142" s="27">
        <v>4</v>
      </c>
      <c r="EV142" s="1">
        <v>18</v>
      </c>
      <c r="EW142" s="1">
        <v>2</v>
      </c>
      <c r="EY142" s="1">
        <v>1</v>
      </c>
      <c r="EZ142" s="9"/>
      <c r="FA142" s="1">
        <v>1</v>
      </c>
      <c r="FB142" s="9" t="s">
        <v>868</v>
      </c>
      <c r="FC142" s="1">
        <v>0</v>
      </c>
      <c r="FD142" s="1">
        <v>1</v>
      </c>
      <c r="FE142" s="4">
        <v>6.54</v>
      </c>
      <c r="FF142" s="4">
        <v>6.94</v>
      </c>
      <c r="FG142" s="4">
        <v>8.3800000000000008</v>
      </c>
      <c r="FH142" s="4">
        <v>7</v>
      </c>
      <c r="FI142" s="4">
        <v>7</v>
      </c>
      <c r="FJ142" s="23">
        <v>6.5</v>
      </c>
      <c r="FK142" s="4">
        <v>4.46</v>
      </c>
      <c r="FL142" s="4">
        <v>7</v>
      </c>
      <c r="FM142" s="4">
        <v>5.63</v>
      </c>
      <c r="FN142" s="4">
        <v>6.63</v>
      </c>
      <c r="FO142" s="4">
        <v>6.5</v>
      </c>
      <c r="FP142" s="4">
        <v>6.42</v>
      </c>
      <c r="FQ142" s="4">
        <v>4.38</v>
      </c>
      <c r="FR142" s="4">
        <v>1.75</v>
      </c>
      <c r="FS142" s="4">
        <v>5.75</v>
      </c>
      <c r="FT142" s="4">
        <v>6.25</v>
      </c>
      <c r="FU142" s="4">
        <v>5.25</v>
      </c>
      <c r="FV142" s="4">
        <v>6.25</v>
      </c>
      <c r="FW142" s="4">
        <v>5</v>
      </c>
      <c r="FX142" s="4">
        <v>6.25</v>
      </c>
      <c r="FY142" s="4">
        <v>6.25</v>
      </c>
      <c r="FZ142" s="4">
        <v>6.25</v>
      </c>
      <c r="GA142" s="4">
        <v>2.13</v>
      </c>
      <c r="GB142" s="4">
        <v>6.75</v>
      </c>
      <c r="GC142" s="4">
        <v>5.88</v>
      </c>
      <c r="GD142" s="4">
        <v>5.25</v>
      </c>
      <c r="GE142" s="26"/>
      <c r="GF142" s="26"/>
      <c r="GG142" s="4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S142" s="3"/>
      <c r="HU142" s="3"/>
      <c r="HX142" s="3"/>
      <c r="IA142" s="3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3"/>
      <c r="JP142" s="3"/>
      <c r="JQ142" s="4"/>
      <c r="JR142" s="5"/>
      <c r="JS142" s="5"/>
      <c r="JT142" s="8"/>
      <c r="JU142" s="8"/>
      <c r="JV142" s="8"/>
      <c r="JW142" s="8"/>
      <c r="JX142" s="8"/>
      <c r="JY142" s="8"/>
      <c r="JZ142" s="8"/>
      <c r="KA142" s="8"/>
      <c r="KB142" s="8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</row>
    <row r="143" spans="1:374" s="1" customFormat="1" x14ac:dyDescent="0.35">
      <c r="A143" s="2">
        <v>43727</v>
      </c>
      <c r="B143" s="15" t="s">
        <v>124</v>
      </c>
      <c r="C143" s="15" t="s">
        <v>304</v>
      </c>
      <c r="D143" s="1">
        <v>142</v>
      </c>
      <c r="E143" s="3">
        <v>3</v>
      </c>
      <c r="F143" s="3">
        <v>1</v>
      </c>
      <c r="G143" s="3"/>
      <c r="H143" s="3">
        <v>36</v>
      </c>
      <c r="I143" s="3">
        <v>2</v>
      </c>
      <c r="J143" s="3"/>
      <c r="K143" s="3">
        <v>0</v>
      </c>
      <c r="L143" s="3">
        <v>1</v>
      </c>
      <c r="M143" s="3">
        <v>1</v>
      </c>
      <c r="N143" s="3">
        <v>1</v>
      </c>
      <c r="O143" s="3">
        <v>0</v>
      </c>
      <c r="P143" s="4">
        <v>0.6</v>
      </c>
      <c r="Q143" s="3">
        <v>83</v>
      </c>
      <c r="R143" s="3">
        <v>81</v>
      </c>
      <c r="S143" s="3">
        <v>94</v>
      </c>
      <c r="T143" s="3">
        <v>104</v>
      </c>
      <c r="U143" s="3">
        <v>98</v>
      </c>
      <c r="V143" s="3">
        <v>99</v>
      </c>
      <c r="W143" s="3">
        <v>91</v>
      </c>
      <c r="X143" s="3">
        <v>92</v>
      </c>
      <c r="Y143" s="3">
        <v>90</v>
      </c>
      <c r="Z143" s="3"/>
      <c r="AA143" s="3"/>
      <c r="AB143" s="3"/>
      <c r="AC143" s="3"/>
      <c r="AD143" s="3"/>
      <c r="AE143" s="3"/>
      <c r="AF143" s="3"/>
      <c r="AG143" s="3"/>
      <c r="AH143" s="3"/>
      <c r="AI143" s="4"/>
      <c r="AJ143" s="4"/>
      <c r="AK143" s="4"/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9"/>
      <c r="AY143"/>
      <c r="AZ143"/>
      <c r="BA143"/>
      <c r="BB143"/>
      <c r="BC143"/>
      <c r="BP143" s="4"/>
      <c r="BQ143" s="4"/>
      <c r="BR143" s="4"/>
      <c r="BS143" s="4"/>
      <c r="BT143" s="4"/>
      <c r="BU143" s="4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1">
        <v>7</v>
      </c>
      <c r="CJ143" s="1">
        <v>7</v>
      </c>
      <c r="CK143" s="1">
        <v>7</v>
      </c>
      <c r="CL143" s="1">
        <v>7</v>
      </c>
      <c r="CM143" s="1">
        <v>6</v>
      </c>
      <c r="CN143" s="1">
        <v>4</v>
      </c>
      <c r="CO143" s="1">
        <v>4</v>
      </c>
      <c r="CP143" s="1">
        <v>1</v>
      </c>
      <c r="CQ143" s="1">
        <v>7</v>
      </c>
      <c r="CR143" s="1">
        <v>7</v>
      </c>
      <c r="CS143" s="1">
        <v>7</v>
      </c>
      <c r="CT143" s="1">
        <v>7</v>
      </c>
      <c r="CU143" s="1">
        <v>7</v>
      </c>
      <c r="CV143" s="1">
        <v>7</v>
      </c>
      <c r="CW143" s="1">
        <v>7</v>
      </c>
      <c r="CX143" s="1">
        <v>7</v>
      </c>
      <c r="CY143" s="1">
        <v>7</v>
      </c>
      <c r="CZ143" s="1">
        <v>7</v>
      </c>
      <c r="DA143" s="1">
        <v>7</v>
      </c>
      <c r="DB143" s="1">
        <v>7</v>
      </c>
      <c r="DC143" s="1">
        <v>7</v>
      </c>
      <c r="DD143" s="1">
        <v>7</v>
      </c>
      <c r="DE143" s="1">
        <v>6</v>
      </c>
      <c r="DF143" s="1">
        <v>1</v>
      </c>
      <c r="DG143" s="1">
        <v>1</v>
      </c>
      <c r="DH143" s="1">
        <v>4</v>
      </c>
      <c r="DI143" s="1">
        <v>7</v>
      </c>
      <c r="DJ143" s="1">
        <v>7</v>
      </c>
      <c r="DK143" s="1">
        <v>5</v>
      </c>
      <c r="DL143" s="1">
        <v>7</v>
      </c>
      <c r="DM143" s="19">
        <v>7</v>
      </c>
      <c r="DN143" s="19">
        <v>7</v>
      </c>
      <c r="DO143" s="1">
        <v>7</v>
      </c>
      <c r="DP143" s="1">
        <v>7</v>
      </c>
      <c r="DQ143" s="1">
        <v>7</v>
      </c>
      <c r="DR143" s="1">
        <v>7</v>
      </c>
      <c r="DS143" s="1">
        <v>7</v>
      </c>
      <c r="DT143" s="1">
        <v>7</v>
      </c>
      <c r="DU143" s="27">
        <v>7</v>
      </c>
      <c r="DV143" s="27">
        <v>7</v>
      </c>
      <c r="DW143" s="27">
        <v>7</v>
      </c>
      <c r="DX143" s="27">
        <v>7</v>
      </c>
      <c r="DY143" s="27">
        <v>1</v>
      </c>
      <c r="DZ143" s="27">
        <v>7</v>
      </c>
      <c r="EA143" s="27">
        <v>1</v>
      </c>
      <c r="EB143" s="27">
        <v>7</v>
      </c>
      <c r="EC143" s="27">
        <v>7</v>
      </c>
      <c r="ED143" s="27">
        <v>1</v>
      </c>
      <c r="EE143" s="27">
        <v>7</v>
      </c>
      <c r="EF143" s="27">
        <v>7</v>
      </c>
      <c r="EG143" s="27">
        <v>7</v>
      </c>
      <c r="EH143" s="27">
        <v>7</v>
      </c>
      <c r="EI143" s="27">
        <v>7</v>
      </c>
      <c r="EJ143" s="27">
        <v>7</v>
      </c>
      <c r="EK143" s="27">
        <v>7</v>
      </c>
      <c r="EL143" s="27">
        <v>7</v>
      </c>
      <c r="EM143" s="27">
        <v>4</v>
      </c>
      <c r="EN143" s="27">
        <v>1</v>
      </c>
      <c r="EO143" s="27">
        <v>7</v>
      </c>
      <c r="EP143" s="27">
        <v>7</v>
      </c>
      <c r="EQ143" s="27">
        <v>7</v>
      </c>
      <c r="ER143" s="27">
        <v>7</v>
      </c>
      <c r="ES143" s="27">
        <v>7</v>
      </c>
      <c r="ET143" s="27">
        <v>7</v>
      </c>
      <c r="EU143" s="27">
        <v>7</v>
      </c>
      <c r="EV143" s="1">
        <v>18</v>
      </c>
      <c r="EW143" s="1">
        <v>2</v>
      </c>
      <c r="EY143" s="1">
        <v>1</v>
      </c>
      <c r="EZ143" s="9"/>
      <c r="FA143" s="1">
        <v>1</v>
      </c>
      <c r="FB143" s="9" t="s">
        <v>869</v>
      </c>
      <c r="FC143" s="1">
        <v>1</v>
      </c>
      <c r="FD143" s="1">
        <v>2</v>
      </c>
      <c r="FE143" s="4"/>
      <c r="FF143" s="4"/>
      <c r="FG143" s="4"/>
      <c r="FH143" s="4"/>
      <c r="FI143" s="4"/>
      <c r="FJ143" s="23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26"/>
      <c r="GF143" s="26"/>
      <c r="GG143" s="4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S143" s="3"/>
      <c r="HU143" s="3"/>
      <c r="HX143" s="3"/>
      <c r="IA143" s="3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6"/>
      <c r="JP143" s="6"/>
      <c r="JQ143" s="6"/>
      <c r="JR143" s="6"/>
      <c r="JS143" s="6"/>
      <c r="JT143" s="8"/>
      <c r="JU143" s="8"/>
      <c r="JV143" s="8"/>
      <c r="JW143" s="8"/>
      <c r="JX143" s="8"/>
      <c r="JY143" s="8"/>
      <c r="JZ143" s="8"/>
      <c r="KA143" s="8"/>
      <c r="KB143" s="8"/>
      <c r="KC143" s="6"/>
      <c r="KD143" s="6"/>
      <c r="KE143" s="6"/>
      <c r="KF143" s="6"/>
      <c r="KG143" s="6"/>
      <c r="KH143" s="6"/>
      <c r="KI143" s="6"/>
      <c r="KJ143" s="6"/>
      <c r="KK143" s="6"/>
      <c r="KL143" s="4"/>
      <c r="KM143" s="4"/>
      <c r="KN143" s="6"/>
      <c r="KO143" s="4"/>
      <c r="KP143" s="4"/>
      <c r="KQ143" s="6"/>
      <c r="KR143" s="6"/>
      <c r="KS143" s="4"/>
      <c r="KU143" s="4"/>
      <c r="KV143" s="4"/>
      <c r="KW143" s="4"/>
      <c r="KX143" s="6"/>
      <c r="KY143" s="6"/>
      <c r="KZ143" s="6"/>
      <c r="LA143" s="4"/>
      <c r="LB143" s="6"/>
      <c r="LC143" s="6"/>
      <c r="LD143" s="4"/>
      <c r="LE143" s="4"/>
      <c r="LF143" s="6"/>
      <c r="LG143" s="6"/>
      <c r="LH143" s="6"/>
      <c r="LI143" s="6"/>
      <c r="LJ143" s="6"/>
      <c r="LK143" s="6"/>
      <c r="LL143" s="6"/>
      <c r="LM143" s="6"/>
      <c r="LN143" s="6"/>
      <c r="LO143" s="6"/>
      <c r="LP143" s="6"/>
      <c r="LQ143" s="6"/>
      <c r="LR143" s="6"/>
      <c r="LS143" s="6"/>
      <c r="LT143" s="6"/>
      <c r="LU143" s="6"/>
      <c r="LV143" s="6"/>
      <c r="LW143" s="6"/>
      <c r="LX143" s="6"/>
      <c r="LY143" s="6"/>
      <c r="LZ143" s="6"/>
      <c r="MA143" s="6"/>
      <c r="MB143" s="6"/>
      <c r="MC143" s="6"/>
      <c r="MD143" s="6"/>
      <c r="ME143" s="6"/>
      <c r="MF143" s="6"/>
      <c r="MG143" s="6"/>
      <c r="MH143" s="6"/>
      <c r="MI143" s="6"/>
      <c r="MJ143" s="6"/>
      <c r="MK143" s="6"/>
      <c r="ML143" s="6"/>
      <c r="MM143" s="6"/>
      <c r="MN143" s="6"/>
      <c r="MO143" s="6"/>
      <c r="MP143" s="6"/>
      <c r="MQ143" s="6"/>
      <c r="MR143" s="6"/>
      <c r="MS143" s="6"/>
      <c r="MT143" s="6"/>
      <c r="MU143" s="6"/>
      <c r="MV143" s="6"/>
      <c r="MW143" s="6"/>
      <c r="MX143" s="6"/>
      <c r="MY143" s="6"/>
      <c r="MZ143" s="6"/>
      <c r="NA143" s="6"/>
      <c r="NB143" s="6"/>
      <c r="NC143" s="6"/>
      <c r="ND143" s="6"/>
      <c r="NE143" s="6"/>
      <c r="NF143" s="6"/>
      <c r="NG143" s="6"/>
      <c r="NH143" s="6"/>
      <c r="NI143" s="6"/>
      <c r="NJ143" s="4"/>
    </row>
    <row r="144" spans="1:374" s="1" customFormat="1" x14ac:dyDescent="0.35">
      <c r="A144" s="2">
        <v>43727</v>
      </c>
      <c r="B144" s="15" t="s">
        <v>124</v>
      </c>
      <c r="C144" s="15" t="s">
        <v>305</v>
      </c>
      <c r="D144" s="1">
        <v>143</v>
      </c>
      <c r="E144" s="3">
        <v>3</v>
      </c>
      <c r="F144" s="3">
        <v>1</v>
      </c>
      <c r="G144" s="3"/>
      <c r="H144" s="3">
        <v>36</v>
      </c>
      <c r="I144" s="3">
        <v>3</v>
      </c>
      <c r="J144" s="3"/>
      <c r="K144" s="3">
        <v>0</v>
      </c>
      <c r="L144" s="3">
        <v>1</v>
      </c>
      <c r="M144" s="3">
        <v>0</v>
      </c>
      <c r="N144" s="3">
        <v>1</v>
      </c>
      <c r="O144" s="3">
        <v>1</v>
      </c>
      <c r="P144" s="4">
        <v>0.6</v>
      </c>
      <c r="Q144" s="3">
        <v>101</v>
      </c>
      <c r="R144" s="3">
        <v>97</v>
      </c>
      <c r="S144" s="3">
        <v>124</v>
      </c>
      <c r="T144" s="3">
        <v>117</v>
      </c>
      <c r="U144" s="3">
        <v>98</v>
      </c>
      <c r="V144" s="3">
        <v>99</v>
      </c>
      <c r="W144" s="3">
        <v>129</v>
      </c>
      <c r="X144" s="3">
        <v>97</v>
      </c>
      <c r="Y144" s="3">
        <v>100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4"/>
      <c r="AJ144" s="4"/>
      <c r="AK144" s="4"/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9"/>
      <c r="AY144"/>
      <c r="AZ144"/>
      <c r="BA144"/>
      <c r="BB144"/>
      <c r="BC144"/>
      <c r="BP144" s="4"/>
      <c r="BQ144" s="4"/>
      <c r="BR144" s="4"/>
      <c r="BS144" s="4"/>
      <c r="BT144" s="4"/>
      <c r="BU144" s="4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1">
        <v>7</v>
      </c>
      <c r="CJ144" s="1">
        <v>7</v>
      </c>
      <c r="CK144" s="1">
        <v>7</v>
      </c>
      <c r="CL144" s="1">
        <v>7</v>
      </c>
      <c r="CM144" s="1">
        <v>7</v>
      </c>
      <c r="CN144" s="1">
        <v>7</v>
      </c>
      <c r="CO144" s="1">
        <v>7</v>
      </c>
      <c r="CP144" s="1">
        <v>1</v>
      </c>
      <c r="CQ144" s="1">
        <v>7</v>
      </c>
      <c r="CR144" s="1">
        <v>7</v>
      </c>
      <c r="CS144" s="1">
        <v>7</v>
      </c>
      <c r="CT144" s="1">
        <v>7</v>
      </c>
      <c r="CU144" s="1">
        <v>7</v>
      </c>
      <c r="CV144" s="1">
        <v>7</v>
      </c>
      <c r="CW144" s="1">
        <v>7</v>
      </c>
      <c r="CX144" s="1">
        <v>7</v>
      </c>
      <c r="CY144" s="1">
        <v>7</v>
      </c>
      <c r="CZ144" s="1">
        <v>7</v>
      </c>
      <c r="DA144" s="1">
        <v>7</v>
      </c>
      <c r="DB144" s="1">
        <v>7</v>
      </c>
      <c r="DC144" s="1">
        <v>7</v>
      </c>
      <c r="DD144" s="1">
        <v>7</v>
      </c>
      <c r="DE144" s="1">
        <v>7</v>
      </c>
      <c r="DF144" s="1">
        <v>7</v>
      </c>
      <c r="DG144" s="1">
        <v>1</v>
      </c>
      <c r="DH144" s="1">
        <v>7</v>
      </c>
      <c r="DI144" s="1">
        <v>7</v>
      </c>
      <c r="DJ144" s="1">
        <v>7</v>
      </c>
      <c r="DK144" s="1">
        <v>7</v>
      </c>
      <c r="DL144" s="1">
        <v>7</v>
      </c>
      <c r="DM144" s="19">
        <v>7</v>
      </c>
      <c r="DN144" s="19">
        <v>7</v>
      </c>
      <c r="DO144" s="1">
        <v>7</v>
      </c>
      <c r="DP144" s="1">
        <v>7</v>
      </c>
      <c r="DQ144" s="1">
        <v>7</v>
      </c>
      <c r="DR144" s="1">
        <v>7</v>
      </c>
      <c r="DS144" s="1">
        <v>7</v>
      </c>
      <c r="DT144" s="1">
        <v>7</v>
      </c>
      <c r="DU144" s="27">
        <v>7</v>
      </c>
      <c r="DV144" s="27">
        <v>7</v>
      </c>
      <c r="DW144" s="27">
        <v>4</v>
      </c>
      <c r="DX144" s="27">
        <v>4</v>
      </c>
      <c r="DY144" s="27">
        <v>4</v>
      </c>
      <c r="DZ144" s="27">
        <v>4</v>
      </c>
      <c r="EA144" s="27">
        <v>4</v>
      </c>
      <c r="EB144" s="27">
        <v>7</v>
      </c>
      <c r="EC144" s="27">
        <v>7</v>
      </c>
      <c r="ED144" s="27">
        <v>7</v>
      </c>
      <c r="EE144" s="27">
        <v>4</v>
      </c>
      <c r="EF144" s="27">
        <v>7</v>
      </c>
      <c r="EG144" s="27">
        <v>7</v>
      </c>
      <c r="EH144" s="27">
        <v>4</v>
      </c>
      <c r="EI144" s="27">
        <v>4</v>
      </c>
      <c r="EJ144" s="27">
        <v>4</v>
      </c>
      <c r="EK144" s="27">
        <v>4</v>
      </c>
      <c r="EL144" s="27">
        <v>4</v>
      </c>
      <c r="EM144" s="27">
        <v>4</v>
      </c>
      <c r="EN144" s="27">
        <v>4</v>
      </c>
      <c r="EO144" s="27">
        <v>7</v>
      </c>
      <c r="EP144" s="27">
        <v>7</v>
      </c>
      <c r="EQ144" s="27">
        <v>7</v>
      </c>
      <c r="ER144" s="27">
        <v>4</v>
      </c>
      <c r="ES144" s="27">
        <v>4</v>
      </c>
      <c r="ET144" s="27">
        <v>4</v>
      </c>
      <c r="EU144" s="27">
        <v>4</v>
      </c>
      <c r="EV144" s="1">
        <v>20</v>
      </c>
      <c r="EW144" s="1">
        <v>1</v>
      </c>
      <c r="EY144" s="1">
        <v>1</v>
      </c>
      <c r="EZ144" s="9"/>
      <c r="FA144" s="1">
        <v>3</v>
      </c>
      <c r="FB144" s="9" t="s">
        <v>838</v>
      </c>
      <c r="FC144" s="1">
        <v>1</v>
      </c>
      <c r="FD144" s="1">
        <v>3</v>
      </c>
      <c r="FE144" s="4"/>
      <c r="FF144" s="4"/>
      <c r="FG144" s="4"/>
      <c r="FH144" s="4"/>
      <c r="FI144" s="4"/>
      <c r="FJ144" s="23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26"/>
      <c r="GF144" s="26"/>
      <c r="GG144" s="4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S144" s="3"/>
      <c r="HU144" s="3"/>
      <c r="HX144" s="3"/>
      <c r="IA144" s="3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6"/>
      <c r="JP144" s="6"/>
      <c r="JQ144" s="6"/>
      <c r="JR144" s="6"/>
      <c r="JS144" s="6"/>
      <c r="JT144" s="8"/>
      <c r="JU144" s="8"/>
      <c r="JV144" s="8"/>
      <c r="JW144" s="8"/>
      <c r="JX144" s="8"/>
      <c r="JY144" s="8"/>
      <c r="JZ144" s="8"/>
      <c r="KA144" s="8"/>
      <c r="KB144" s="8"/>
      <c r="KC144" s="6"/>
      <c r="KD144" s="6"/>
      <c r="KE144" s="6"/>
      <c r="KF144" s="6"/>
      <c r="KG144" s="6"/>
      <c r="KH144" s="6"/>
      <c r="KI144" s="6"/>
      <c r="KJ144" s="6"/>
      <c r="KK144" s="6"/>
      <c r="KL144" s="4"/>
      <c r="KM144" s="4"/>
      <c r="KN144" s="6"/>
      <c r="KO144" s="4"/>
      <c r="KP144" s="4"/>
      <c r="KQ144" s="6"/>
      <c r="KR144" s="6"/>
      <c r="KS144" s="4"/>
      <c r="KU144" s="4"/>
      <c r="KV144" s="4"/>
      <c r="KW144" s="4"/>
      <c r="KX144" s="6"/>
      <c r="KY144" s="6"/>
      <c r="KZ144" s="6"/>
      <c r="LA144" s="4"/>
      <c r="LB144" s="6"/>
      <c r="LC144" s="6"/>
      <c r="LD144" s="4"/>
      <c r="LE144" s="4"/>
      <c r="LF144" s="6"/>
      <c r="LG144" s="6"/>
      <c r="LH144" s="6"/>
      <c r="LI144" s="6"/>
      <c r="LJ144" s="6"/>
      <c r="LK144" s="6"/>
      <c r="LL144" s="6"/>
      <c r="LM144" s="6"/>
      <c r="LN144" s="6"/>
      <c r="LO144" s="6"/>
      <c r="LP144" s="6"/>
      <c r="LQ144" s="6"/>
      <c r="LR144" s="6"/>
      <c r="LS144" s="6"/>
      <c r="LT144" s="6"/>
      <c r="LU144" s="6"/>
      <c r="LV144" s="6"/>
      <c r="LW144" s="6"/>
      <c r="LX144" s="6"/>
      <c r="LY144" s="6"/>
      <c r="LZ144" s="6"/>
      <c r="MA144" s="6"/>
      <c r="MB144" s="6"/>
      <c r="MC144" s="6"/>
      <c r="MD144" s="6"/>
      <c r="ME144" s="6"/>
      <c r="MF144" s="6"/>
      <c r="MG144" s="6"/>
      <c r="MH144" s="6"/>
      <c r="MI144" s="6"/>
      <c r="MJ144" s="6"/>
      <c r="MK144" s="6"/>
      <c r="ML144" s="6"/>
      <c r="MM144" s="6"/>
      <c r="MN144" s="6"/>
      <c r="MO144" s="6"/>
      <c r="MP144" s="6"/>
      <c r="MQ144" s="6"/>
      <c r="MR144" s="6"/>
      <c r="MS144" s="6"/>
      <c r="MT144" s="6"/>
      <c r="MU144" s="6"/>
      <c r="MV144" s="6"/>
      <c r="MW144" s="6"/>
      <c r="MX144" s="6"/>
      <c r="MY144" s="6"/>
      <c r="MZ144" s="6"/>
      <c r="NA144" s="6"/>
      <c r="NB144" s="6"/>
      <c r="NC144" s="6"/>
      <c r="ND144" s="6"/>
      <c r="NE144" s="6"/>
      <c r="NF144" s="6"/>
      <c r="NG144" s="6"/>
      <c r="NH144" s="6"/>
      <c r="NI144" s="6"/>
      <c r="NJ144" s="4"/>
    </row>
    <row r="145" spans="1:374" s="1" customFormat="1" x14ac:dyDescent="0.35">
      <c r="A145" s="2">
        <v>43727</v>
      </c>
      <c r="B145" s="15" t="s">
        <v>124</v>
      </c>
      <c r="C145" s="15" t="s">
        <v>306</v>
      </c>
      <c r="D145" s="1">
        <v>144</v>
      </c>
      <c r="E145" s="3">
        <v>3</v>
      </c>
      <c r="F145" s="3">
        <v>1</v>
      </c>
      <c r="G145" s="3"/>
      <c r="H145" s="3">
        <v>36</v>
      </c>
      <c r="I145" s="3">
        <v>4</v>
      </c>
      <c r="J145" s="3"/>
      <c r="K145" s="3">
        <v>1</v>
      </c>
      <c r="L145" s="3">
        <v>1</v>
      </c>
      <c r="M145" s="3">
        <v>0</v>
      </c>
      <c r="N145" s="3">
        <v>1</v>
      </c>
      <c r="O145" s="3">
        <v>0</v>
      </c>
      <c r="P145" s="4">
        <v>0.6</v>
      </c>
      <c r="Q145" s="3">
        <v>64</v>
      </c>
      <c r="R145" s="3">
        <v>98</v>
      </c>
      <c r="S145" s="3">
        <v>101</v>
      </c>
      <c r="T145" s="3">
        <v>105</v>
      </c>
      <c r="U145" s="3">
        <v>93</v>
      </c>
      <c r="V145" s="3">
        <v>96</v>
      </c>
      <c r="W145" s="3">
        <v>96</v>
      </c>
      <c r="X145" s="3">
        <v>109</v>
      </c>
      <c r="Y145" s="3">
        <v>107</v>
      </c>
      <c r="Z145" s="3"/>
      <c r="AA145" s="3"/>
      <c r="AB145" s="3"/>
      <c r="AC145" s="3"/>
      <c r="AD145" s="3"/>
      <c r="AE145" s="3"/>
      <c r="AF145" s="3"/>
      <c r="AG145" s="3"/>
      <c r="AH145" s="3"/>
      <c r="AI145" s="4"/>
      <c r="AJ145" s="4"/>
      <c r="AK145" s="4"/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9"/>
      <c r="AY145"/>
      <c r="AZ145"/>
      <c r="BA145"/>
      <c r="BB145"/>
      <c r="BC145"/>
      <c r="BP145" s="4"/>
      <c r="BQ145" s="4"/>
      <c r="BR145" s="4"/>
      <c r="BS145" s="4"/>
      <c r="BT145" s="4"/>
      <c r="BU145" s="4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1">
        <v>7</v>
      </c>
      <c r="CJ145" s="1">
        <v>7</v>
      </c>
      <c r="CK145" s="1">
        <v>7</v>
      </c>
      <c r="CL145" s="1">
        <v>7</v>
      </c>
      <c r="CM145" s="1">
        <v>6</v>
      </c>
      <c r="CN145" s="1">
        <v>7</v>
      </c>
      <c r="CO145" s="1">
        <v>7</v>
      </c>
      <c r="CP145" s="1">
        <v>2</v>
      </c>
      <c r="CQ145" s="1">
        <v>7</v>
      </c>
      <c r="CR145" s="1">
        <v>7</v>
      </c>
      <c r="CS145" s="1">
        <v>7</v>
      </c>
      <c r="CT145" s="1">
        <v>6</v>
      </c>
      <c r="CU145" s="1">
        <v>7</v>
      </c>
      <c r="CV145" s="1">
        <v>7</v>
      </c>
      <c r="CW145" s="1">
        <v>7</v>
      </c>
      <c r="CX145" s="1">
        <v>7</v>
      </c>
      <c r="CY145" s="1">
        <v>6</v>
      </c>
      <c r="CZ145" s="1">
        <v>7</v>
      </c>
      <c r="DA145" s="1">
        <v>7</v>
      </c>
      <c r="DB145" s="1">
        <v>7</v>
      </c>
      <c r="DC145" s="1">
        <v>7</v>
      </c>
      <c r="DD145" s="1">
        <v>7</v>
      </c>
      <c r="DE145" s="1">
        <v>7</v>
      </c>
      <c r="DF145" s="1">
        <v>3</v>
      </c>
      <c r="DG145" s="1">
        <v>2</v>
      </c>
      <c r="DH145" s="1">
        <v>2</v>
      </c>
      <c r="DI145" s="1">
        <v>6</v>
      </c>
      <c r="DJ145" s="1">
        <v>1</v>
      </c>
      <c r="DK145" s="1">
        <v>5</v>
      </c>
      <c r="DL145" s="1">
        <v>7</v>
      </c>
      <c r="DM145" s="19">
        <v>7</v>
      </c>
      <c r="DN145" s="19">
        <v>5</v>
      </c>
      <c r="DO145" s="1">
        <v>6</v>
      </c>
      <c r="DP145" s="1">
        <v>5</v>
      </c>
      <c r="DQ145" s="1">
        <v>7</v>
      </c>
      <c r="DR145" s="1">
        <v>4</v>
      </c>
      <c r="DS145" s="1">
        <v>6</v>
      </c>
      <c r="DT145" s="1">
        <v>6</v>
      </c>
      <c r="DU145" s="27">
        <v>7</v>
      </c>
      <c r="DV145" s="27">
        <v>7</v>
      </c>
      <c r="DW145" s="27">
        <v>7</v>
      </c>
      <c r="DX145" s="27">
        <v>7</v>
      </c>
      <c r="DY145" s="27">
        <v>5</v>
      </c>
      <c r="DZ145" s="27">
        <v>1</v>
      </c>
      <c r="EA145" s="27">
        <v>1</v>
      </c>
      <c r="EB145" s="27">
        <v>7</v>
      </c>
      <c r="EC145" s="27">
        <v>7</v>
      </c>
      <c r="ED145" s="27">
        <v>7</v>
      </c>
      <c r="EE145" s="27">
        <v>7</v>
      </c>
      <c r="EF145" s="27">
        <v>4</v>
      </c>
      <c r="EG145" s="27">
        <v>7</v>
      </c>
      <c r="EH145" s="27">
        <v>7</v>
      </c>
      <c r="EI145" s="27">
        <v>7</v>
      </c>
      <c r="EJ145" s="27">
        <v>7</v>
      </c>
      <c r="EK145" s="27">
        <v>7</v>
      </c>
      <c r="EL145" s="27">
        <v>7</v>
      </c>
      <c r="EM145" s="27">
        <v>1</v>
      </c>
      <c r="EN145" s="27">
        <v>1</v>
      </c>
      <c r="EO145" s="27">
        <v>7</v>
      </c>
      <c r="EP145" s="27">
        <v>7</v>
      </c>
      <c r="EQ145" s="27">
        <v>7</v>
      </c>
      <c r="ER145" s="27">
        <v>7</v>
      </c>
      <c r="ES145" s="27">
        <v>7</v>
      </c>
      <c r="ET145" s="27">
        <v>6</v>
      </c>
      <c r="EU145" s="27">
        <v>6</v>
      </c>
      <c r="EV145" s="1">
        <v>18</v>
      </c>
      <c r="EW145" s="1">
        <v>1</v>
      </c>
      <c r="EY145" s="1">
        <v>1</v>
      </c>
      <c r="EZ145" s="9"/>
      <c r="FA145" s="1">
        <v>1</v>
      </c>
      <c r="FB145" s="9" t="s">
        <v>809</v>
      </c>
      <c r="FC145" s="1">
        <v>0</v>
      </c>
      <c r="FD145" s="1">
        <v>4</v>
      </c>
      <c r="FE145" s="4"/>
      <c r="FF145" s="4"/>
      <c r="FG145" s="4"/>
      <c r="FH145" s="4"/>
      <c r="FI145" s="4"/>
      <c r="FJ145" s="23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26"/>
      <c r="GF145" s="26"/>
      <c r="GG145" s="4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S145" s="3"/>
      <c r="HU145" s="3"/>
      <c r="HX145" s="3"/>
      <c r="IA145" s="3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6"/>
      <c r="JP145" s="6"/>
      <c r="JQ145" s="6"/>
      <c r="JR145" s="6"/>
      <c r="JS145" s="6"/>
      <c r="JT145" s="8"/>
      <c r="JU145" s="8"/>
      <c r="JV145" s="8"/>
      <c r="JW145" s="8"/>
      <c r="JX145" s="8"/>
      <c r="JY145" s="8"/>
      <c r="JZ145" s="8"/>
      <c r="KA145" s="8"/>
      <c r="KB145" s="8"/>
      <c r="KC145" s="6"/>
      <c r="KD145" s="6"/>
      <c r="KE145" s="6"/>
      <c r="KF145" s="6"/>
      <c r="KG145" s="6"/>
      <c r="KH145" s="6"/>
      <c r="KI145" s="6"/>
      <c r="KJ145" s="6"/>
      <c r="KK145" s="6"/>
      <c r="KL145" s="4"/>
      <c r="KM145" s="4"/>
      <c r="KN145" s="6"/>
      <c r="KO145" s="4"/>
      <c r="KP145" s="4"/>
      <c r="KQ145" s="6"/>
      <c r="KR145" s="6"/>
      <c r="KS145" s="4"/>
      <c r="KU145" s="4"/>
      <c r="KV145" s="4"/>
      <c r="KW145" s="4"/>
      <c r="KX145" s="6"/>
      <c r="KY145" s="6"/>
      <c r="KZ145" s="6"/>
      <c r="LA145" s="4"/>
      <c r="LB145" s="6"/>
      <c r="LC145" s="6"/>
      <c r="LD145" s="4"/>
      <c r="LE145" s="4"/>
      <c r="LF145" s="6"/>
      <c r="LG145" s="6"/>
      <c r="LH145" s="6"/>
      <c r="LI145" s="6"/>
      <c r="LJ145" s="6"/>
      <c r="LK145" s="6"/>
      <c r="LL145" s="6"/>
      <c r="LM145" s="6"/>
      <c r="LN145" s="6"/>
      <c r="LO145" s="6"/>
      <c r="LP145" s="6"/>
      <c r="LQ145" s="6"/>
      <c r="LR145" s="6"/>
      <c r="LS145" s="6"/>
      <c r="LT145" s="6"/>
      <c r="LU145" s="6"/>
      <c r="LV145" s="6"/>
      <c r="LW145" s="6"/>
      <c r="LX145" s="6"/>
      <c r="LY145" s="6"/>
      <c r="LZ145" s="6"/>
      <c r="MA145" s="6"/>
      <c r="MB145" s="6"/>
      <c r="MC145" s="6"/>
      <c r="MD145" s="6"/>
      <c r="ME145" s="6"/>
      <c r="MF145" s="6"/>
      <c r="MG145" s="6"/>
      <c r="MH145" s="6"/>
      <c r="MI145" s="6"/>
      <c r="MJ145" s="6"/>
      <c r="MK145" s="6"/>
      <c r="ML145" s="6"/>
      <c r="MM145" s="6"/>
      <c r="MN145" s="6"/>
      <c r="MO145" s="6"/>
      <c r="MP145" s="6"/>
      <c r="MQ145" s="6"/>
      <c r="MR145" s="6"/>
      <c r="MS145" s="6"/>
      <c r="MT145" s="6"/>
      <c r="MU145" s="6"/>
      <c r="MV145" s="6"/>
      <c r="MW145" s="6"/>
      <c r="MX145" s="6"/>
      <c r="MY145" s="6"/>
      <c r="MZ145" s="6"/>
      <c r="NA145" s="6"/>
      <c r="NB145" s="6"/>
      <c r="NC145" s="6"/>
      <c r="ND145" s="6"/>
      <c r="NE145" s="6"/>
      <c r="NF145" s="6"/>
      <c r="NG145" s="6"/>
      <c r="NH145" s="6"/>
      <c r="NI145" s="6"/>
      <c r="NJ145" s="4"/>
    </row>
    <row r="146" spans="1:374" s="1" customFormat="1" x14ac:dyDescent="0.35">
      <c r="A146" s="2">
        <v>43354</v>
      </c>
      <c r="B146" s="15" t="s">
        <v>125</v>
      </c>
      <c r="C146" s="15" t="s">
        <v>307</v>
      </c>
      <c r="D146" s="1">
        <v>145</v>
      </c>
      <c r="E146" s="3">
        <v>4</v>
      </c>
      <c r="F146" s="3">
        <v>3</v>
      </c>
      <c r="G146" s="3">
        <v>0</v>
      </c>
      <c r="H146" s="3">
        <v>37</v>
      </c>
      <c r="I146" s="3">
        <v>1</v>
      </c>
      <c r="J146" s="3">
        <v>1</v>
      </c>
      <c r="K146" s="18">
        <v>0</v>
      </c>
      <c r="L146" s="18">
        <v>1</v>
      </c>
      <c r="M146" s="18">
        <v>1</v>
      </c>
      <c r="N146" s="18">
        <v>1</v>
      </c>
      <c r="O146" s="18">
        <v>1</v>
      </c>
      <c r="P146" s="4">
        <v>0.8</v>
      </c>
      <c r="Q146" s="3">
        <v>41</v>
      </c>
      <c r="R146" s="3">
        <v>48</v>
      </c>
      <c r="S146" s="3">
        <v>62</v>
      </c>
      <c r="T146" s="3">
        <v>117</v>
      </c>
      <c r="U146" s="3">
        <v>111</v>
      </c>
      <c r="V146" s="3">
        <v>109</v>
      </c>
      <c r="W146" s="3">
        <v>112</v>
      </c>
      <c r="X146" s="3">
        <v>97</v>
      </c>
      <c r="Y146" s="3">
        <v>90</v>
      </c>
      <c r="Z146" s="3">
        <v>226</v>
      </c>
      <c r="AA146" s="3">
        <v>188</v>
      </c>
      <c r="AB146" s="3">
        <v>197</v>
      </c>
      <c r="AC146" s="3">
        <v>392</v>
      </c>
      <c r="AD146" s="3">
        <v>346</v>
      </c>
      <c r="AE146" s="3">
        <v>376</v>
      </c>
      <c r="AF146" s="3">
        <v>414</v>
      </c>
      <c r="AG146" s="3">
        <v>347</v>
      </c>
      <c r="AH146" s="3">
        <v>353</v>
      </c>
      <c r="AI146" s="4">
        <v>203.67</v>
      </c>
      <c r="AJ146" s="4">
        <v>371.33</v>
      </c>
      <c r="AK146" s="4">
        <v>371.33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9">
        <v>0</v>
      </c>
      <c r="AT146" s="19">
        <v>0</v>
      </c>
      <c r="AU146" s="19">
        <v>0</v>
      </c>
      <c r="AV146" s="19">
        <v>0</v>
      </c>
      <c r="AW146" s="19">
        <v>0</v>
      </c>
      <c r="AX146" s="19">
        <f t="shared" ref="AX146:BC146" si="72">AL146+AL147+AL148+AL149</f>
        <v>0</v>
      </c>
      <c r="AY146" s="19">
        <f t="shared" si="72"/>
        <v>0</v>
      </c>
      <c r="AZ146" s="19">
        <f t="shared" si="72"/>
        <v>0</v>
      </c>
      <c r="BA146" s="19">
        <f t="shared" si="72"/>
        <v>0</v>
      </c>
      <c r="BB146" s="19">
        <f t="shared" si="72"/>
        <v>0</v>
      </c>
      <c r="BC146" s="19">
        <f t="shared" si="72"/>
        <v>0</v>
      </c>
      <c r="BD146" s="1">
        <f>AX146*3</f>
        <v>0</v>
      </c>
      <c r="BE146" s="1">
        <f t="shared" ref="BE146:BI146" si="73">AY146*3</f>
        <v>0</v>
      </c>
      <c r="BF146" s="1">
        <f t="shared" si="73"/>
        <v>0</v>
      </c>
      <c r="BG146" s="1">
        <f t="shared" si="73"/>
        <v>0</v>
      </c>
      <c r="BH146" s="1">
        <f t="shared" si="73"/>
        <v>0</v>
      </c>
      <c r="BI146" s="1">
        <f t="shared" si="73"/>
        <v>0</v>
      </c>
      <c r="BJ146" s="1">
        <f>AX146+AY146+AZ146</f>
        <v>0</v>
      </c>
      <c r="BK146" s="1">
        <f>BA146+BB146+BC146</f>
        <v>0</v>
      </c>
      <c r="BL146" s="1">
        <f>BJ146*3</f>
        <v>0</v>
      </c>
      <c r="BM146" s="1">
        <f>BK146*3</f>
        <v>0</v>
      </c>
      <c r="BN146" s="1">
        <f>BL146/3</f>
        <v>0</v>
      </c>
      <c r="BO146" s="1">
        <f>BM146/3</f>
        <v>0</v>
      </c>
      <c r="BP146" s="4">
        <v>203.66666666666666</v>
      </c>
      <c r="BQ146" s="4">
        <v>371.33333333333331</v>
      </c>
      <c r="BR146" s="4">
        <v>371.33333333333331</v>
      </c>
      <c r="BS146" s="4">
        <v>371.33</v>
      </c>
      <c r="BT146" s="4">
        <v>371.33</v>
      </c>
      <c r="BU146" s="4">
        <v>3</v>
      </c>
      <c r="BV146" s="3">
        <v>4</v>
      </c>
      <c r="BW146" s="3">
        <v>4</v>
      </c>
      <c r="BX146" s="3">
        <v>4</v>
      </c>
      <c r="BY146" s="3">
        <v>4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1">
        <v>7</v>
      </c>
      <c r="CJ146" s="1">
        <v>7</v>
      </c>
      <c r="CK146" s="1">
        <v>7</v>
      </c>
      <c r="CL146" s="1">
        <v>6</v>
      </c>
      <c r="CM146" s="1">
        <v>4</v>
      </c>
      <c r="CN146" s="1">
        <v>6</v>
      </c>
      <c r="CO146" s="1">
        <v>6</v>
      </c>
      <c r="CP146" s="1">
        <v>2</v>
      </c>
      <c r="CQ146" s="1">
        <v>6</v>
      </c>
      <c r="CR146" s="1">
        <v>6</v>
      </c>
      <c r="CS146" s="1">
        <v>6</v>
      </c>
      <c r="CT146" s="1">
        <v>6</v>
      </c>
      <c r="CU146" s="1">
        <v>6</v>
      </c>
      <c r="CV146" s="1">
        <v>6</v>
      </c>
      <c r="CW146" s="1">
        <v>6</v>
      </c>
      <c r="CX146" s="1">
        <v>6</v>
      </c>
      <c r="CY146" s="1">
        <v>6</v>
      </c>
      <c r="CZ146" s="1">
        <v>7</v>
      </c>
      <c r="DA146" s="1">
        <v>7</v>
      </c>
      <c r="DB146" s="1">
        <v>7</v>
      </c>
      <c r="DC146" s="1">
        <v>7</v>
      </c>
      <c r="DD146" s="1">
        <v>7</v>
      </c>
      <c r="DE146" s="1">
        <v>7</v>
      </c>
      <c r="DF146" s="1">
        <v>7</v>
      </c>
      <c r="DG146" s="1">
        <v>5</v>
      </c>
      <c r="DH146" s="1">
        <v>7</v>
      </c>
      <c r="DI146" s="1">
        <v>7</v>
      </c>
      <c r="DJ146" s="1">
        <v>7</v>
      </c>
      <c r="DK146" s="1">
        <v>7</v>
      </c>
      <c r="DL146" s="1">
        <v>7</v>
      </c>
      <c r="DM146" s="19">
        <v>7</v>
      </c>
      <c r="DN146" s="19">
        <v>7</v>
      </c>
      <c r="DO146" s="1">
        <v>7</v>
      </c>
      <c r="DP146" s="1">
        <v>7</v>
      </c>
      <c r="DQ146" s="1">
        <v>7</v>
      </c>
      <c r="DR146" s="1">
        <v>7</v>
      </c>
      <c r="DS146" s="1">
        <v>6</v>
      </c>
      <c r="DT146" s="1">
        <v>6</v>
      </c>
      <c r="DU146" s="27">
        <v>6</v>
      </c>
      <c r="DV146" s="27">
        <v>7</v>
      </c>
      <c r="DW146" s="27">
        <v>6</v>
      </c>
      <c r="DX146" s="27">
        <v>6</v>
      </c>
      <c r="DY146" s="27">
        <v>7</v>
      </c>
      <c r="DZ146" s="27">
        <v>2</v>
      </c>
      <c r="EA146" s="27">
        <v>2</v>
      </c>
      <c r="EB146" s="27">
        <v>6</v>
      </c>
      <c r="EC146" s="27">
        <v>7</v>
      </c>
      <c r="ED146" s="27">
        <v>1</v>
      </c>
      <c r="EE146" s="27">
        <v>6</v>
      </c>
      <c r="EF146" s="27">
        <v>1</v>
      </c>
      <c r="EG146" s="27">
        <v>7</v>
      </c>
      <c r="EH146" s="27">
        <v>6</v>
      </c>
      <c r="EI146" s="27">
        <v>6</v>
      </c>
      <c r="EJ146" s="27">
        <v>4</v>
      </c>
      <c r="EK146" s="27">
        <v>4</v>
      </c>
      <c r="EL146" s="27">
        <v>4</v>
      </c>
      <c r="EM146" s="27">
        <v>4</v>
      </c>
      <c r="EN146" s="27">
        <v>4</v>
      </c>
      <c r="EO146" s="27">
        <v>6</v>
      </c>
      <c r="EP146" s="27">
        <v>6</v>
      </c>
      <c r="EQ146" s="27">
        <v>6</v>
      </c>
      <c r="ER146" s="27">
        <v>4</v>
      </c>
      <c r="ES146" s="27">
        <v>4</v>
      </c>
      <c r="ET146" s="27">
        <v>4</v>
      </c>
      <c r="EU146" s="27">
        <v>4</v>
      </c>
      <c r="EV146" s="1">
        <v>18</v>
      </c>
      <c r="EW146" s="1">
        <v>1</v>
      </c>
      <c r="EY146" s="1">
        <v>1</v>
      </c>
      <c r="EZ146" s="9"/>
      <c r="FA146" s="1">
        <v>1</v>
      </c>
      <c r="FB146" s="9" t="s">
        <v>817</v>
      </c>
      <c r="FC146" s="1">
        <v>1</v>
      </c>
      <c r="FD146" s="1">
        <v>7</v>
      </c>
      <c r="FE146" s="4">
        <v>6.04</v>
      </c>
      <c r="FF146" s="4">
        <v>6.38</v>
      </c>
      <c r="FG146" s="4">
        <v>7.5</v>
      </c>
      <c r="FH146" s="4">
        <v>6.83</v>
      </c>
      <c r="FI146" s="4">
        <v>6.63</v>
      </c>
      <c r="FJ146" s="23">
        <v>7</v>
      </c>
      <c r="FK146" s="4">
        <v>5.33</v>
      </c>
      <c r="FL146" s="4">
        <v>7</v>
      </c>
      <c r="FM146" s="4">
        <v>6.5</v>
      </c>
      <c r="FN146" s="4">
        <v>6</v>
      </c>
      <c r="FO146" s="4">
        <v>6.25</v>
      </c>
      <c r="FP146" s="4">
        <v>5.75</v>
      </c>
      <c r="FQ146" s="4">
        <v>4.75</v>
      </c>
      <c r="FR146" s="4">
        <v>1.25</v>
      </c>
      <c r="FS146" s="4">
        <v>5.25</v>
      </c>
      <c r="FT146" s="4">
        <v>5.5</v>
      </c>
      <c r="FU146" s="4">
        <v>2.75</v>
      </c>
      <c r="FV146" s="4">
        <v>6</v>
      </c>
      <c r="FW146" s="4">
        <v>3.25</v>
      </c>
      <c r="FX146" s="4">
        <v>5.5</v>
      </c>
      <c r="FY146" s="4">
        <v>6.13</v>
      </c>
      <c r="FZ146" s="4">
        <v>5</v>
      </c>
      <c r="GA146" s="4">
        <v>2.88</v>
      </c>
      <c r="GB146" s="4">
        <v>6.25</v>
      </c>
      <c r="GC146" s="4">
        <v>4.88</v>
      </c>
      <c r="GD146" s="4">
        <v>4.75</v>
      </c>
      <c r="GE146" s="26"/>
      <c r="GF146" s="26"/>
      <c r="GG146" s="4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S146" s="3"/>
      <c r="HU146" s="3"/>
      <c r="HX146" s="3"/>
      <c r="IA146" s="3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3"/>
      <c r="JP146" s="3"/>
      <c r="JQ146" s="4"/>
      <c r="JR146" s="5"/>
      <c r="JS146" s="5"/>
      <c r="JT146" s="8"/>
      <c r="JU146" s="8"/>
      <c r="JV146" s="8"/>
      <c r="JW146" s="8"/>
      <c r="JX146" s="8"/>
      <c r="JY146" s="8"/>
      <c r="JZ146" s="8"/>
      <c r="KA146" s="8"/>
      <c r="KB146" s="8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</row>
    <row r="147" spans="1:374" s="1" customFormat="1" x14ac:dyDescent="0.35">
      <c r="A147" s="2">
        <v>43354</v>
      </c>
      <c r="B147" s="15" t="s">
        <v>125</v>
      </c>
      <c r="C147" s="15" t="s">
        <v>308</v>
      </c>
      <c r="D147" s="1">
        <v>146</v>
      </c>
      <c r="E147" s="3">
        <v>4</v>
      </c>
      <c r="F147" s="3">
        <v>3</v>
      </c>
      <c r="G147" s="3"/>
      <c r="H147" s="3">
        <v>37</v>
      </c>
      <c r="I147" s="3">
        <v>2</v>
      </c>
      <c r="J147" s="3"/>
      <c r="K147" s="18">
        <v>1</v>
      </c>
      <c r="L147" s="18">
        <v>0</v>
      </c>
      <c r="M147" s="18">
        <v>1</v>
      </c>
      <c r="N147" s="18">
        <v>1</v>
      </c>
      <c r="O147" s="18">
        <v>0</v>
      </c>
      <c r="P147" s="4">
        <v>0.6</v>
      </c>
      <c r="Q147" s="3">
        <v>47</v>
      </c>
      <c r="R147" s="3">
        <v>27</v>
      </c>
      <c r="S147" s="3">
        <v>22</v>
      </c>
      <c r="T147" s="3">
        <v>91</v>
      </c>
      <c r="U147" s="3">
        <v>75</v>
      </c>
      <c r="V147" s="3">
        <v>56</v>
      </c>
      <c r="W147" s="3">
        <v>98</v>
      </c>
      <c r="X147" s="3">
        <v>97</v>
      </c>
      <c r="Y147" s="3">
        <v>68</v>
      </c>
      <c r="Z147" s="3"/>
      <c r="AA147" s="3"/>
      <c r="AB147" s="3"/>
      <c r="AC147" s="3"/>
      <c r="AD147" s="3"/>
      <c r="AE147" s="3"/>
      <c r="AF147" s="3"/>
      <c r="AG147" s="3"/>
      <c r="AH147" s="3"/>
      <c r="AI147" s="4"/>
      <c r="AJ147" s="4"/>
      <c r="AK147" s="4"/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9">
        <v>0</v>
      </c>
      <c r="AT147" s="19">
        <v>0</v>
      </c>
      <c r="AU147" s="19">
        <v>0</v>
      </c>
      <c r="AV147" s="19">
        <v>0</v>
      </c>
      <c r="AW147" s="19">
        <v>0</v>
      </c>
      <c r="AX147" s="19"/>
      <c r="AY147"/>
      <c r="AZ147"/>
      <c r="BA147"/>
      <c r="BB147"/>
      <c r="BC147"/>
      <c r="BP147" s="4"/>
      <c r="BQ147" s="4"/>
      <c r="BR147" s="4"/>
      <c r="BS147" s="4"/>
      <c r="BT147" s="4"/>
      <c r="BU147" s="4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1">
        <v>7</v>
      </c>
      <c r="CJ147" s="1">
        <v>7</v>
      </c>
      <c r="CK147" s="1">
        <v>1</v>
      </c>
      <c r="CL147" s="1">
        <v>7</v>
      </c>
      <c r="CM147" s="1">
        <v>6</v>
      </c>
      <c r="CN147" s="1">
        <v>6</v>
      </c>
      <c r="CO147" s="1">
        <v>6</v>
      </c>
      <c r="CP147" s="1">
        <v>1</v>
      </c>
      <c r="CQ147" s="1">
        <v>7</v>
      </c>
      <c r="CR147" s="1">
        <v>7</v>
      </c>
      <c r="CS147" s="1">
        <v>7</v>
      </c>
      <c r="CT147" s="1">
        <v>7</v>
      </c>
      <c r="CU147" s="1">
        <v>7</v>
      </c>
      <c r="CV147" s="1">
        <v>7</v>
      </c>
      <c r="CW147" s="1">
        <v>7</v>
      </c>
      <c r="CX147" s="1">
        <v>7</v>
      </c>
      <c r="CY147" s="1">
        <v>7</v>
      </c>
      <c r="CZ147" s="1">
        <v>7</v>
      </c>
      <c r="DA147" s="1">
        <v>7</v>
      </c>
      <c r="DB147" s="1">
        <v>7</v>
      </c>
      <c r="DC147" s="1">
        <v>6</v>
      </c>
      <c r="DD147" s="1">
        <v>7</v>
      </c>
      <c r="DE147" s="1">
        <v>7</v>
      </c>
      <c r="DF147" s="1">
        <v>5</v>
      </c>
      <c r="DG147" s="1">
        <v>4</v>
      </c>
      <c r="DH147" s="1">
        <v>5</v>
      </c>
      <c r="DI147" s="1">
        <v>5</v>
      </c>
      <c r="DJ147" s="1">
        <v>5</v>
      </c>
      <c r="DK147" s="1">
        <v>5</v>
      </c>
      <c r="DL147" s="1">
        <v>7</v>
      </c>
      <c r="DM147" s="19">
        <v>7</v>
      </c>
      <c r="DN147" s="19">
        <v>6</v>
      </c>
      <c r="DO147" s="1">
        <v>6</v>
      </c>
      <c r="DP147" s="1">
        <v>7</v>
      </c>
      <c r="DQ147" s="1">
        <v>6</v>
      </c>
      <c r="DR147" s="1">
        <v>7</v>
      </c>
      <c r="DS147" s="1">
        <v>7</v>
      </c>
      <c r="DT147" s="1">
        <v>7</v>
      </c>
      <c r="DU147" s="27">
        <v>7</v>
      </c>
      <c r="DV147" s="27">
        <v>7</v>
      </c>
      <c r="DW147" s="27">
        <v>6</v>
      </c>
      <c r="DX147" s="27">
        <v>4</v>
      </c>
      <c r="DY147" s="27">
        <v>1</v>
      </c>
      <c r="DZ147" s="27">
        <v>2</v>
      </c>
      <c r="EA147" s="27">
        <v>1</v>
      </c>
      <c r="EB147" s="27">
        <v>4</v>
      </c>
      <c r="EC147" s="27">
        <v>4</v>
      </c>
      <c r="ED147" s="27">
        <v>4</v>
      </c>
      <c r="EE147" s="27">
        <v>5</v>
      </c>
      <c r="EF147" s="27">
        <v>5</v>
      </c>
      <c r="EG147" s="27">
        <v>4</v>
      </c>
      <c r="EH147" s="27">
        <v>6</v>
      </c>
      <c r="EI147" s="27">
        <v>6</v>
      </c>
      <c r="EJ147" s="27">
        <v>6</v>
      </c>
      <c r="EK147" s="27">
        <v>6</v>
      </c>
      <c r="EL147" s="27">
        <v>6</v>
      </c>
      <c r="EM147" s="27">
        <v>1</v>
      </c>
      <c r="EN147" s="27">
        <v>4</v>
      </c>
      <c r="EO147" s="27">
        <v>7</v>
      </c>
      <c r="EP147" s="27">
        <v>7</v>
      </c>
      <c r="EQ147" s="27">
        <v>4</v>
      </c>
      <c r="ER147" s="27">
        <v>6</v>
      </c>
      <c r="ES147" s="27">
        <v>7</v>
      </c>
      <c r="ET147" s="27">
        <v>4</v>
      </c>
      <c r="EU147" s="27">
        <v>4</v>
      </c>
      <c r="EV147" s="1">
        <v>25</v>
      </c>
      <c r="EW147" s="1">
        <v>2</v>
      </c>
      <c r="EY147" s="1">
        <v>1</v>
      </c>
      <c r="EZ147" s="9"/>
      <c r="FA147" s="1">
        <v>2</v>
      </c>
      <c r="FB147" s="9" t="s">
        <v>870</v>
      </c>
      <c r="FC147" s="1">
        <v>1</v>
      </c>
      <c r="FD147" s="1">
        <v>4</v>
      </c>
      <c r="FE147" s="4"/>
      <c r="FF147" s="4"/>
      <c r="FG147" s="4"/>
      <c r="FH147" s="4"/>
      <c r="FI147" s="4"/>
      <c r="FJ147" s="23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26"/>
      <c r="GF147" s="26"/>
      <c r="GG147" s="4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S147" s="3"/>
      <c r="HU147" s="3"/>
      <c r="HX147" s="3"/>
      <c r="IA147" s="3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6"/>
      <c r="JP147" s="6"/>
      <c r="JQ147" s="6"/>
      <c r="JR147" s="6"/>
      <c r="JS147" s="6"/>
      <c r="JT147" s="8"/>
      <c r="JU147" s="8"/>
      <c r="JV147" s="8"/>
      <c r="JW147" s="8"/>
      <c r="JX147" s="8"/>
      <c r="JY147" s="8"/>
      <c r="JZ147" s="8"/>
      <c r="KA147" s="8"/>
      <c r="KB147" s="8"/>
      <c r="KC147" s="6"/>
      <c r="KD147" s="6"/>
      <c r="KE147" s="6"/>
      <c r="KF147" s="6"/>
      <c r="KG147" s="6"/>
      <c r="KH147" s="6"/>
      <c r="KI147" s="6"/>
      <c r="KJ147" s="6"/>
      <c r="KK147" s="6"/>
      <c r="KL147" s="4"/>
      <c r="KM147" s="4"/>
      <c r="KN147" s="6"/>
      <c r="KO147" s="4"/>
      <c r="KP147" s="4"/>
      <c r="KQ147" s="6"/>
      <c r="KR147" s="6"/>
      <c r="KS147" s="4"/>
      <c r="KU147" s="4"/>
      <c r="KV147" s="4"/>
      <c r="KW147" s="4"/>
      <c r="KX147" s="6"/>
      <c r="KY147" s="6"/>
      <c r="KZ147" s="6"/>
      <c r="LA147" s="4"/>
      <c r="LB147" s="6"/>
      <c r="LC147" s="6"/>
      <c r="LD147" s="4"/>
      <c r="LE147" s="4"/>
      <c r="LF147" s="6"/>
      <c r="LG147" s="6"/>
      <c r="LH147" s="6"/>
      <c r="LI147" s="6"/>
      <c r="LJ147" s="6"/>
      <c r="LK147" s="6"/>
      <c r="LL147" s="6"/>
      <c r="LM147" s="6"/>
      <c r="LN147" s="6"/>
      <c r="LO147" s="6"/>
      <c r="LP147" s="6"/>
      <c r="LQ147" s="6"/>
      <c r="LR147" s="6"/>
      <c r="LS147" s="6"/>
      <c r="LT147" s="6"/>
      <c r="LU147" s="6"/>
      <c r="LV147" s="6"/>
      <c r="LW147" s="6"/>
      <c r="LX147" s="6"/>
      <c r="LY147" s="6"/>
      <c r="LZ147" s="6"/>
      <c r="MA147" s="6"/>
      <c r="MB147" s="6"/>
      <c r="MC147" s="6"/>
      <c r="MD147" s="6"/>
      <c r="ME147" s="6"/>
      <c r="MF147" s="6"/>
      <c r="MG147" s="6"/>
      <c r="MH147" s="6"/>
      <c r="MI147" s="6"/>
      <c r="MJ147" s="6"/>
      <c r="MK147" s="6"/>
      <c r="ML147" s="6"/>
      <c r="MM147" s="6"/>
      <c r="MN147" s="6"/>
      <c r="MO147" s="6"/>
      <c r="MP147" s="6"/>
      <c r="MQ147" s="6"/>
      <c r="MR147" s="6"/>
      <c r="MS147" s="6"/>
      <c r="MT147" s="6"/>
      <c r="MU147" s="6"/>
      <c r="MV147" s="6"/>
      <c r="MW147" s="6"/>
      <c r="MX147" s="6"/>
      <c r="MY147" s="6"/>
      <c r="MZ147" s="6"/>
      <c r="NA147" s="6"/>
      <c r="NB147" s="6"/>
      <c r="NC147" s="6"/>
      <c r="ND147" s="6"/>
      <c r="NE147" s="6"/>
      <c r="NF147" s="6"/>
      <c r="NG147" s="6"/>
      <c r="NH147" s="6"/>
      <c r="NI147" s="6"/>
      <c r="NJ147" s="4"/>
    </row>
    <row r="148" spans="1:374" s="1" customFormat="1" x14ac:dyDescent="0.35">
      <c r="A148" s="2">
        <v>43354</v>
      </c>
      <c r="B148" s="15" t="s">
        <v>125</v>
      </c>
      <c r="C148" s="15" t="s">
        <v>309</v>
      </c>
      <c r="D148" s="1">
        <v>147</v>
      </c>
      <c r="E148" s="3">
        <v>4</v>
      </c>
      <c r="F148" s="3">
        <v>3</v>
      </c>
      <c r="G148" s="3"/>
      <c r="H148" s="3">
        <v>37</v>
      </c>
      <c r="I148" s="3">
        <v>3</v>
      </c>
      <c r="J148" s="3"/>
      <c r="K148" s="18">
        <v>0</v>
      </c>
      <c r="L148" s="18">
        <v>1</v>
      </c>
      <c r="M148" s="18">
        <v>0</v>
      </c>
      <c r="N148" s="18">
        <v>1</v>
      </c>
      <c r="O148" s="18">
        <v>0</v>
      </c>
      <c r="P148" s="4">
        <v>0.4</v>
      </c>
      <c r="Q148" s="3">
        <v>79</v>
      </c>
      <c r="R148" s="3">
        <v>53</v>
      </c>
      <c r="S148" s="3">
        <v>51</v>
      </c>
      <c r="T148" s="3">
        <v>81</v>
      </c>
      <c r="U148" s="3">
        <v>77</v>
      </c>
      <c r="V148" s="3">
        <v>106</v>
      </c>
      <c r="W148" s="3">
        <v>89</v>
      </c>
      <c r="X148" s="3">
        <v>66</v>
      </c>
      <c r="Y148" s="3">
        <v>85</v>
      </c>
      <c r="Z148" s="3"/>
      <c r="AA148" s="3"/>
      <c r="AB148" s="3"/>
      <c r="AC148" s="3"/>
      <c r="AD148" s="3"/>
      <c r="AE148" s="3"/>
      <c r="AF148" s="3"/>
      <c r="AG148" s="3"/>
      <c r="AH148" s="3"/>
      <c r="AI148" s="4"/>
      <c r="AJ148" s="4"/>
      <c r="AK148" s="4"/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9">
        <v>0</v>
      </c>
      <c r="AT148" s="19">
        <v>0</v>
      </c>
      <c r="AU148" s="19">
        <v>0</v>
      </c>
      <c r="AV148" s="19">
        <v>0</v>
      </c>
      <c r="AW148" s="19">
        <v>0</v>
      </c>
      <c r="AX148" s="19"/>
      <c r="AY148"/>
      <c r="AZ148"/>
      <c r="BA148"/>
      <c r="BB148"/>
      <c r="BC148"/>
      <c r="BP148" s="4"/>
      <c r="BQ148" s="4"/>
      <c r="BR148" s="4"/>
      <c r="BS148" s="4"/>
      <c r="BT148" s="4"/>
      <c r="BU148" s="4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1">
        <v>7</v>
      </c>
      <c r="CJ148" s="1">
        <v>7</v>
      </c>
      <c r="CK148" s="1">
        <v>7</v>
      </c>
      <c r="CL148" s="1">
        <v>6</v>
      </c>
      <c r="CM148" s="1">
        <v>7</v>
      </c>
      <c r="CN148" s="1">
        <v>6</v>
      </c>
      <c r="CO148" s="1">
        <v>6</v>
      </c>
      <c r="CP148" s="1">
        <v>2</v>
      </c>
      <c r="CQ148" s="1">
        <v>4</v>
      </c>
      <c r="CR148" s="1">
        <v>7</v>
      </c>
      <c r="CS148" s="1">
        <v>6</v>
      </c>
      <c r="CT148" s="1">
        <v>6</v>
      </c>
      <c r="CU148" s="1">
        <v>4</v>
      </c>
      <c r="CV148" s="1">
        <v>4</v>
      </c>
      <c r="CW148" s="1">
        <v>4</v>
      </c>
      <c r="CX148" s="1">
        <v>4</v>
      </c>
      <c r="CY148" s="1">
        <v>4</v>
      </c>
      <c r="CZ148" s="1">
        <v>6</v>
      </c>
      <c r="DA148" s="1">
        <v>6</v>
      </c>
      <c r="DB148" s="1">
        <v>7</v>
      </c>
      <c r="DC148" s="1">
        <v>6</v>
      </c>
      <c r="DD148" s="1">
        <v>6</v>
      </c>
      <c r="DE148" s="1">
        <v>7</v>
      </c>
      <c r="DF148" s="1">
        <v>4</v>
      </c>
      <c r="DG148" s="1">
        <v>2</v>
      </c>
      <c r="DH148" s="1">
        <v>5</v>
      </c>
      <c r="DI148" s="1">
        <v>3</v>
      </c>
      <c r="DJ148" s="1">
        <v>5</v>
      </c>
      <c r="DK148" s="1">
        <v>7</v>
      </c>
      <c r="DL148" s="1">
        <v>7</v>
      </c>
      <c r="DM148" s="19">
        <v>7</v>
      </c>
      <c r="DN148" s="19">
        <v>6</v>
      </c>
      <c r="DO148" s="1">
        <v>6</v>
      </c>
      <c r="DP148" s="1">
        <v>4</v>
      </c>
      <c r="DQ148" s="1">
        <v>4</v>
      </c>
      <c r="DR148" s="1">
        <v>5</v>
      </c>
      <c r="DS148" s="1">
        <v>7</v>
      </c>
      <c r="DT148" s="1">
        <v>7</v>
      </c>
      <c r="DU148" s="27">
        <v>4</v>
      </c>
      <c r="DV148" s="27">
        <v>4</v>
      </c>
      <c r="DW148" s="27">
        <v>6</v>
      </c>
      <c r="DX148" s="27">
        <v>4</v>
      </c>
      <c r="DY148" s="27">
        <v>4</v>
      </c>
      <c r="DZ148" s="27">
        <v>4</v>
      </c>
      <c r="EA148" s="27">
        <v>1</v>
      </c>
      <c r="EB148" s="27">
        <v>7</v>
      </c>
      <c r="EC148" s="27">
        <v>4</v>
      </c>
      <c r="ED148" s="27">
        <v>4</v>
      </c>
      <c r="EE148" s="27">
        <v>6</v>
      </c>
      <c r="EF148" s="27">
        <v>4</v>
      </c>
      <c r="EG148" s="27">
        <v>4</v>
      </c>
      <c r="EH148" s="27">
        <v>7</v>
      </c>
      <c r="EI148" s="27">
        <v>7</v>
      </c>
      <c r="EJ148" s="27">
        <v>7</v>
      </c>
      <c r="EK148" s="27">
        <v>6</v>
      </c>
      <c r="EL148" s="27">
        <v>6</v>
      </c>
      <c r="EM148" s="27">
        <v>4</v>
      </c>
      <c r="EN148" s="27">
        <v>4</v>
      </c>
      <c r="EO148" s="27">
        <v>7</v>
      </c>
      <c r="EP148" s="27">
        <v>7</v>
      </c>
      <c r="EQ148" s="27">
        <v>7</v>
      </c>
      <c r="ER148" s="27">
        <v>6</v>
      </c>
      <c r="ES148" s="27">
        <v>4</v>
      </c>
      <c r="ET148" s="27">
        <v>7</v>
      </c>
      <c r="EU148" s="27">
        <v>7</v>
      </c>
      <c r="EV148" s="1">
        <v>18</v>
      </c>
      <c r="EW148" s="1">
        <v>2</v>
      </c>
      <c r="EY148" s="1">
        <v>1</v>
      </c>
      <c r="EZ148" s="9"/>
      <c r="FA148" s="1">
        <v>1</v>
      </c>
      <c r="FB148" s="9" t="s">
        <v>800</v>
      </c>
      <c r="FC148" s="1">
        <v>1</v>
      </c>
      <c r="FD148" s="1">
        <v>2</v>
      </c>
      <c r="FE148" s="4"/>
      <c r="FF148" s="4"/>
      <c r="FG148" s="4"/>
      <c r="FH148" s="4"/>
      <c r="FI148" s="4"/>
      <c r="FJ148" s="23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26"/>
      <c r="GF148" s="26"/>
      <c r="GG148" s="4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S148" s="3"/>
      <c r="HU148" s="3"/>
      <c r="HX148" s="3"/>
      <c r="IA148" s="3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6"/>
      <c r="JP148" s="6"/>
      <c r="JQ148" s="6"/>
      <c r="JR148" s="6"/>
      <c r="JS148" s="6"/>
      <c r="JT148" s="8"/>
      <c r="JU148" s="8"/>
      <c r="JV148" s="8"/>
      <c r="JW148" s="8"/>
      <c r="JX148" s="8"/>
      <c r="JY148" s="8"/>
      <c r="JZ148" s="8"/>
      <c r="KA148" s="8"/>
      <c r="KB148" s="8"/>
      <c r="KC148" s="6"/>
      <c r="KD148" s="6"/>
      <c r="KE148" s="6"/>
      <c r="KF148" s="6"/>
      <c r="KG148" s="6"/>
      <c r="KH148" s="6"/>
      <c r="KI148" s="6"/>
      <c r="KJ148" s="6"/>
      <c r="KK148" s="6"/>
      <c r="KL148" s="4"/>
      <c r="KM148" s="4"/>
      <c r="KN148" s="6"/>
      <c r="KO148" s="4"/>
      <c r="KP148" s="4"/>
      <c r="KQ148" s="6"/>
      <c r="KR148" s="6"/>
      <c r="KS148" s="4"/>
      <c r="KU148" s="4"/>
      <c r="KV148" s="4"/>
      <c r="KW148" s="4"/>
      <c r="KX148" s="6"/>
      <c r="KY148" s="6"/>
      <c r="KZ148" s="6"/>
      <c r="LA148" s="4"/>
      <c r="LB148" s="6"/>
      <c r="LC148" s="6"/>
      <c r="LD148" s="4"/>
      <c r="LE148" s="4"/>
      <c r="LF148" s="6"/>
      <c r="LG148" s="6"/>
      <c r="LH148" s="6"/>
      <c r="LI148" s="6"/>
      <c r="LJ148" s="6"/>
      <c r="LK148" s="6"/>
      <c r="LL148" s="6"/>
      <c r="LM148" s="6"/>
      <c r="LN148" s="6"/>
      <c r="LO148" s="6"/>
      <c r="LP148" s="6"/>
      <c r="LQ148" s="6"/>
      <c r="LR148" s="6"/>
      <c r="LS148" s="6"/>
      <c r="LT148" s="6"/>
      <c r="LU148" s="6"/>
      <c r="LV148" s="6"/>
      <c r="LW148" s="6"/>
      <c r="LX148" s="6"/>
      <c r="LY148" s="6"/>
      <c r="LZ148" s="6"/>
      <c r="MA148" s="6"/>
      <c r="MB148" s="6"/>
      <c r="MC148" s="6"/>
      <c r="MD148" s="6"/>
      <c r="ME148" s="6"/>
      <c r="MF148" s="6"/>
      <c r="MG148" s="6"/>
      <c r="MH148" s="6"/>
      <c r="MI148" s="6"/>
      <c r="MJ148" s="6"/>
      <c r="MK148" s="6"/>
      <c r="ML148" s="6"/>
      <c r="MM148" s="6"/>
      <c r="MN148" s="6"/>
      <c r="MO148" s="6"/>
      <c r="MP148" s="6"/>
      <c r="MQ148" s="6"/>
      <c r="MR148" s="6"/>
      <c r="MS148" s="6"/>
      <c r="MT148" s="6"/>
      <c r="MU148" s="6"/>
      <c r="MV148" s="6"/>
      <c r="MW148" s="6"/>
      <c r="MX148" s="6"/>
      <c r="MY148" s="6"/>
      <c r="MZ148" s="6"/>
      <c r="NA148" s="6"/>
      <c r="NB148" s="6"/>
      <c r="NC148" s="6"/>
      <c r="ND148" s="6"/>
      <c r="NE148" s="6"/>
      <c r="NF148" s="6"/>
      <c r="NG148" s="6"/>
      <c r="NH148" s="6"/>
      <c r="NI148" s="6"/>
      <c r="NJ148" s="4"/>
    </row>
    <row r="149" spans="1:374" s="1" customFormat="1" x14ac:dyDescent="0.35">
      <c r="A149" s="2">
        <v>43354</v>
      </c>
      <c r="B149" s="15" t="s">
        <v>125</v>
      </c>
      <c r="C149" s="15" t="s">
        <v>310</v>
      </c>
      <c r="D149" s="1">
        <v>148</v>
      </c>
      <c r="E149" s="3">
        <v>4</v>
      </c>
      <c r="F149" s="3">
        <v>3</v>
      </c>
      <c r="G149" s="3"/>
      <c r="H149" s="3">
        <v>37</v>
      </c>
      <c r="I149" s="3">
        <v>4</v>
      </c>
      <c r="J149" s="3"/>
      <c r="K149" s="18">
        <v>1</v>
      </c>
      <c r="L149" s="18">
        <v>1</v>
      </c>
      <c r="M149" s="18">
        <v>1</v>
      </c>
      <c r="N149" s="18">
        <v>1</v>
      </c>
      <c r="O149" s="18">
        <v>0</v>
      </c>
      <c r="P149" s="4">
        <v>0.8</v>
      </c>
      <c r="Q149" s="3">
        <v>59</v>
      </c>
      <c r="R149" s="3">
        <v>60</v>
      </c>
      <c r="S149" s="3">
        <v>62</v>
      </c>
      <c r="T149" s="3">
        <v>103</v>
      </c>
      <c r="U149" s="3">
        <v>83</v>
      </c>
      <c r="V149" s="3">
        <v>105</v>
      </c>
      <c r="W149" s="3">
        <v>115</v>
      </c>
      <c r="X149" s="3">
        <v>87</v>
      </c>
      <c r="Y149" s="3">
        <v>110</v>
      </c>
      <c r="Z149" s="3"/>
      <c r="AA149" s="3"/>
      <c r="AB149" s="3"/>
      <c r="AC149" s="3"/>
      <c r="AD149" s="3"/>
      <c r="AE149" s="3"/>
      <c r="AF149" s="3"/>
      <c r="AG149" s="3"/>
      <c r="AH149" s="3"/>
      <c r="AI149" s="4"/>
      <c r="AJ149" s="4"/>
      <c r="AK149" s="4"/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9">
        <v>0</v>
      </c>
      <c r="AT149" s="19">
        <v>0</v>
      </c>
      <c r="AU149" s="19">
        <v>0</v>
      </c>
      <c r="AV149" s="19">
        <v>0</v>
      </c>
      <c r="AW149" s="19">
        <v>0</v>
      </c>
      <c r="AX149" s="19"/>
      <c r="AY149"/>
      <c r="AZ149"/>
      <c r="BA149"/>
      <c r="BB149"/>
      <c r="BC149"/>
      <c r="BP149" s="4"/>
      <c r="BQ149" s="4"/>
      <c r="BR149" s="4"/>
      <c r="BS149" s="4"/>
      <c r="BT149" s="4"/>
      <c r="BU149" s="4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1">
        <v>7</v>
      </c>
      <c r="CJ149" s="1">
        <v>7</v>
      </c>
      <c r="CK149" s="1">
        <v>7</v>
      </c>
      <c r="CL149" s="1">
        <v>6</v>
      </c>
      <c r="CM149" s="1">
        <v>5</v>
      </c>
      <c r="CN149" s="1">
        <v>4</v>
      </c>
      <c r="CO149" s="1">
        <v>4</v>
      </c>
      <c r="CP149" s="1">
        <v>2</v>
      </c>
      <c r="CQ149" s="1">
        <v>7</v>
      </c>
      <c r="CR149" s="1">
        <v>7</v>
      </c>
      <c r="CS149" s="1">
        <v>7</v>
      </c>
      <c r="CT149" s="1">
        <v>6</v>
      </c>
      <c r="CU149" s="1">
        <v>7</v>
      </c>
      <c r="CV149" s="1">
        <v>7</v>
      </c>
      <c r="CW149" s="1">
        <v>7</v>
      </c>
      <c r="CX149" s="1">
        <v>7</v>
      </c>
      <c r="CY149" s="1">
        <v>7</v>
      </c>
      <c r="CZ149" s="1">
        <v>7</v>
      </c>
      <c r="DA149" s="1">
        <v>7</v>
      </c>
      <c r="DB149" s="1">
        <v>7</v>
      </c>
      <c r="DC149" s="1">
        <v>7</v>
      </c>
      <c r="DD149" s="1">
        <v>7</v>
      </c>
      <c r="DE149" s="1">
        <v>7</v>
      </c>
      <c r="DF149" s="1">
        <v>4</v>
      </c>
      <c r="DG149" s="1">
        <v>2</v>
      </c>
      <c r="DH149" s="1">
        <v>7</v>
      </c>
      <c r="DI149" s="1">
        <v>7</v>
      </c>
      <c r="DJ149" s="1">
        <v>7</v>
      </c>
      <c r="DK149" s="1">
        <v>6</v>
      </c>
      <c r="DL149" s="1">
        <v>7</v>
      </c>
      <c r="DM149" s="19">
        <v>7</v>
      </c>
      <c r="DN149" s="19">
        <v>7</v>
      </c>
      <c r="DO149" s="1">
        <v>7</v>
      </c>
      <c r="DP149" s="1">
        <v>6</v>
      </c>
      <c r="DQ149" s="1">
        <v>7</v>
      </c>
      <c r="DR149" s="1">
        <v>2</v>
      </c>
      <c r="DS149" s="1">
        <v>7</v>
      </c>
      <c r="DT149" s="1">
        <v>7</v>
      </c>
      <c r="DU149" s="27">
        <v>7</v>
      </c>
      <c r="DV149" s="27">
        <v>7</v>
      </c>
      <c r="DW149" s="27">
        <v>2</v>
      </c>
      <c r="DX149" s="27">
        <v>5</v>
      </c>
      <c r="DY149" s="27">
        <v>7</v>
      </c>
      <c r="DZ149" s="27">
        <v>1</v>
      </c>
      <c r="EA149" s="27">
        <v>1</v>
      </c>
      <c r="EB149" s="27">
        <v>4</v>
      </c>
      <c r="EC149" s="27">
        <v>7</v>
      </c>
      <c r="ED149" s="27">
        <v>2</v>
      </c>
      <c r="EE149" s="27">
        <v>7</v>
      </c>
      <c r="EF149" s="27">
        <v>3</v>
      </c>
      <c r="EG149" s="27">
        <v>7</v>
      </c>
      <c r="EH149" s="27">
        <v>6</v>
      </c>
      <c r="EI149" s="27">
        <v>5</v>
      </c>
      <c r="EJ149" s="27">
        <v>1</v>
      </c>
      <c r="EK149" s="27">
        <v>4</v>
      </c>
      <c r="EL149" s="27">
        <v>6</v>
      </c>
      <c r="EM149" s="27">
        <v>1</v>
      </c>
      <c r="EN149" s="27">
        <v>1</v>
      </c>
      <c r="EO149" s="27">
        <v>7</v>
      </c>
      <c r="EP149" s="27">
        <v>7</v>
      </c>
      <c r="EQ149" s="27">
        <v>4</v>
      </c>
      <c r="ER149" s="27">
        <v>4</v>
      </c>
      <c r="ES149" s="27">
        <v>4</v>
      </c>
      <c r="ET149" s="27">
        <v>4</v>
      </c>
      <c r="EU149" s="27">
        <v>4</v>
      </c>
      <c r="EV149" s="1">
        <v>18</v>
      </c>
      <c r="EW149" s="1">
        <v>2</v>
      </c>
      <c r="EY149" s="1">
        <v>2</v>
      </c>
      <c r="EZ149" s="9"/>
      <c r="FA149" s="1">
        <v>1</v>
      </c>
      <c r="FB149" s="9" t="s">
        <v>871</v>
      </c>
      <c r="FC149" s="1">
        <v>1</v>
      </c>
      <c r="FD149" s="1">
        <v>9</v>
      </c>
      <c r="FE149" s="4"/>
      <c r="FF149" s="4"/>
      <c r="FG149" s="4"/>
      <c r="FH149" s="4"/>
      <c r="FI149" s="4"/>
      <c r="FJ149" s="23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26"/>
      <c r="GF149" s="26"/>
      <c r="GG149" s="4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S149" s="3"/>
      <c r="HU149" s="3"/>
      <c r="HX149" s="3"/>
      <c r="IA149" s="3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6"/>
      <c r="JP149" s="6"/>
      <c r="JQ149" s="6"/>
      <c r="JR149" s="6"/>
      <c r="JS149" s="6"/>
      <c r="JT149" s="8"/>
      <c r="JU149" s="8"/>
      <c r="JV149" s="8"/>
      <c r="JW149" s="8"/>
      <c r="JX149" s="8"/>
      <c r="JY149" s="8"/>
      <c r="JZ149" s="8"/>
      <c r="KA149" s="8"/>
      <c r="KB149" s="8"/>
      <c r="KC149" s="6"/>
      <c r="KD149" s="6"/>
      <c r="KE149" s="6"/>
      <c r="KF149" s="6"/>
      <c r="KG149" s="6"/>
      <c r="KH149" s="6"/>
      <c r="KI149" s="6"/>
      <c r="KJ149" s="6"/>
      <c r="KK149" s="6"/>
      <c r="KL149" s="4"/>
      <c r="KM149" s="4"/>
      <c r="KN149" s="6"/>
      <c r="KO149" s="4"/>
      <c r="KP149" s="4"/>
      <c r="KQ149" s="6"/>
      <c r="KR149" s="6"/>
      <c r="KS149" s="4"/>
      <c r="KU149" s="4"/>
      <c r="KV149" s="4"/>
      <c r="KW149" s="4"/>
      <c r="KX149" s="6"/>
      <c r="KY149" s="6"/>
      <c r="KZ149" s="6"/>
      <c r="LA149" s="4"/>
      <c r="LB149" s="6"/>
      <c r="LC149" s="6"/>
      <c r="LD149" s="4"/>
      <c r="LE149" s="4"/>
      <c r="LF149" s="6"/>
      <c r="LG149" s="6"/>
      <c r="LH149" s="6"/>
      <c r="LI149" s="6"/>
      <c r="LJ149" s="6"/>
      <c r="LK149" s="6"/>
      <c r="LL149" s="6"/>
      <c r="LM149" s="6"/>
      <c r="LN149" s="6"/>
      <c r="LO149" s="6"/>
      <c r="LP149" s="6"/>
      <c r="LQ149" s="6"/>
      <c r="LR149" s="6"/>
      <c r="LS149" s="6"/>
      <c r="LT149" s="6"/>
      <c r="LU149" s="6"/>
      <c r="LV149" s="6"/>
      <c r="LW149" s="6"/>
      <c r="LX149" s="6"/>
      <c r="LY149" s="6"/>
      <c r="LZ149" s="6"/>
      <c r="MA149" s="6"/>
      <c r="MB149" s="6"/>
      <c r="MC149" s="6"/>
      <c r="MD149" s="6"/>
      <c r="ME149" s="6"/>
      <c r="MF149" s="6"/>
      <c r="MG149" s="6"/>
      <c r="MH149" s="6"/>
      <c r="MI149" s="6"/>
      <c r="MJ149" s="6"/>
      <c r="MK149" s="6"/>
      <c r="ML149" s="6"/>
      <c r="MM149" s="6"/>
      <c r="MN149" s="6"/>
      <c r="MO149" s="6"/>
      <c r="MP149" s="6"/>
      <c r="MQ149" s="6"/>
      <c r="MR149" s="6"/>
      <c r="MS149" s="6"/>
      <c r="MT149" s="6"/>
      <c r="MU149" s="6"/>
      <c r="MV149" s="6"/>
      <c r="MW149" s="6"/>
      <c r="MX149" s="6"/>
      <c r="MY149" s="6"/>
      <c r="MZ149" s="6"/>
      <c r="NA149" s="6"/>
      <c r="NB149" s="6"/>
      <c r="NC149" s="6"/>
      <c r="ND149" s="6"/>
      <c r="NE149" s="6"/>
      <c r="NF149" s="6"/>
      <c r="NG149" s="6"/>
      <c r="NH149" s="6"/>
      <c r="NI149" s="6"/>
      <c r="NJ149" s="4"/>
    </row>
    <row r="150" spans="1:374" s="1" customFormat="1" x14ac:dyDescent="0.35">
      <c r="A150" s="2">
        <v>43354</v>
      </c>
      <c r="B150" s="15" t="s">
        <v>126</v>
      </c>
      <c r="C150" s="15" t="s">
        <v>311</v>
      </c>
      <c r="D150" s="1">
        <v>149</v>
      </c>
      <c r="E150" s="3">
        <v>4</v>
      </c>
      <c r="F150" s="3">
        <v>3</v>
      </c>
      <c r="G150" s="3">
        <v>0</v>
      </c>
      <c r="H150" s="3">
        <v>38</v>
      </c>
      <c r="I150" s="3">
        <v>1</v>
      </c>
      <c r="J150" s="3">
        <v>1</v>
      </c>
      <c r="K150" s="18">
        <v>1</v>
      </c>
      <c r="L150" s="18">
        <v>1</v>
      </c>
      <c r="M150" s="18">
        <v>1</v>
      </c>
      <c r="N150" s="18">
        <v>1</v>
      </c>
      <c r="O150" s="18">
        <v>0</v>
      </c>
      <c r="P150" s="4">
        <v>0.8</v>
      </c>
      <c r="Q150" s="3">
        <v>68</v>
      </c>
      <c r="R150" s="3">
        <v>63</v>
      </c>
      <c r="S150" s="3">
        <v>50</v>
      </c>
      <c r="T150" s="3">
        <v>96</v>
      </c>
      <c r="U150" s="3">
        <v>72</v>
      </c>
      <c r="V150" s="3">
        <v>99</v>
      </c>
      <c r="W150" s="3">
        <v>81</v>
      </c>
      <c r="X150" s="3">
        <v>85</v>
      </c>
      <c r="Y150" s="3">
        <v>106</v>
      </c>
      <c r="Z150" s="3">
        <v>216</v>
      </c>
      <c r="AA150" s="3">
        <v>207</v>
      </c>
      <c r="AB150" s="3">
        <v>190</v>
      </c>
      <c r="AC150" s="3">
        <v>225</v>
      </c>
      <c r="AD150" s="3">
        <v>331</v>
      </c>
      <c r="AE150" s="3">
        <v>406</v>
      </c>
      <c r="AF150" s="3">
        <v>371</v>
      </c>
      <c r="AG150" s="3">
        <v>396</v>
      </c>
      <c r="AH150" s="3">
        <v>403</v>
      </c>
      <c r="AI150" s="4">
        <v>204.33</v>
      </c>
      <c r="AJ150" s="4">
        <v>320.67</v>
      </c>
      <c r="AK150" s="4">
        <v>390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9">
        <v>0</v>
      </c>
      <c r="AT150" s="19">
        <v>0</v>
      </c>
      <c r="AU150" s="19">
        <v>0</v>
      </c>
      <c r="AV150" s="19">
        <v>0</v>
      </c>
      <c r="AW150" s="19">
        <v>0</v>
      </c>
      <c r="AX150" s="19">
        <f t="shared" ref="AX150:BC150" si="74">AL150+AL151+AL152+AL153</f>
        <v>0</v>
      </c>
      <c r="AY150" s="19">
        <f t="shared" si="74"/>
        <v>0</v>
      </c>
      <c r="AZ150" s="19">
        <f t="shared" si="74"/>
        <v>0</v>
      </c>
      <c r="BA150" s="19">
        <f t="shared" si="74"/>
        <v>1</v>
      </c>
      <c r="BB150" s="19">
        <f t="shared" si="74"/>
        <v>1</v>
      </c>
      <c r="BC150" s="19">
        <f t="shared" si="74"/>
        <v>0</v>
      </c>
      <c r="BD150" s="1">
        <f>AX150*3</f>
        <v>0</v>
      </c>
      <c r="BE150" s="1">
        <f t="shared" ref="BE150:BI150" si="75">AY150*3</f>
        <v>0</v>
      </c>
      <c r="BF150" s="1">
        <f t="shared" si="75"/>
        <v>0</v>
      </c>
      <c r="BG150" s="1">
        <f t="shared" si="75"/>
        <v>3</v>
      </c>
      <c r="BH150" s="1">
        <f t="shared" si="75"/>
        <v>3</v>
      </c>
      <c r="BI150" s="1">
        <f t="shared" si="75"/>
        <v>0</v>
      </c>
      <c r="BJ150" s="1">
        <f>AX150+AY150+AZ150</f>
        <v>0</v>
      </c>
      <c r="BK150" s="1">
        <f>BA150+BB150+BC150</f>
        <v>2</v>
      </c>
      <c r="BL150" s="1">
        <f>BJ150*3</f>
        <v>0</v>
      </c>
      <c r="BM150" s="1">
        <f>BK150*3</f>
        <v>6</v>
      </c>
      <c r="BN150" s="1">
        <f>BL150/3</f>
        <v>0</v>
      </c>
      <c r="BO150" s="1">
        <f>BM150/3</f>
        <v>2</v>
      </c>
      <c r="BP150" s="4">
        <v>204.33333333333334</v>
      </c>
      <c r="BQ150" s="4">
        <v>318.66666666666669</v>
      </c>
      <c r="BR150" s="4">
        <v>390</v>
      </c>
      <c r="BS150" s="4">
        <v>318.67</v>
      </c>
      <c r="BT150" s="4">
        <v>390</v>
      </c>
      <c r="BU150" s="4">
        <v>3.13</v>
      </c>
      <c r="BV150" s="3">
        <v>4</v>
      </c>
      <c r="BW150" s="3">
        <v>4</v>
      </c>
      <c r="BX150" s="3">
        <v>4</v>
      </c>
      <c r="BY150" s="3">
        <v>4</v>
      </c>
      <c r="BZ150" s="3">
        <v>0</v>
      </c>
      <c r="CA150" s="3">
        <v>0</v>
      </c>
      <c r="CB150" s="3">
        <v>0</v>
      </c>
      <c r="CC150" s="3">
        <v>0</v>
      </c>
      <c r="CD150" s="3">
        <v>1</v>
      </c>
      <c r="CE150" s="3">
        <v>1</v>
      </c>
      <c r="CF150" s="3">
        <v>1</v>
      </c>
      <c r="CG150" s="3">
        <v>1</v>
      </c>
      <c r="CH150" s="3">
        <v>0</v>
      </c>
      <c r="CI150" s="1">
        <v>7</v>
      </c>
      <c r="CJ150" s="1">
        <v>5</v>
      </c>
      <c r="CK150" s="1">
        <v>6</v>
      </c>
      <c r="CL150" s="1">
        <v>6</v>
      </c>
      <c r="CM150" s="1">
        <v>6</v>
      </c>
      <c r="CN150" s="1">
        <v>7</v>
      </c>
      <c r="CO150" s="1">
        <v>5</v>
      </c>
      <c r="CP150" s="1">
        <v>3</v>
      </c>
      <c r="CQ150" s="1">
        <v>6</v>
      </c>
      <c r="CR150" s="1">
        <v>6</v>
      </c>
      <c r="CS150" s="1">
        <v>6</v>
      </c>
      <c r="CT150" s="1">
        <v>5</v>
      </c>
      <c r="CU150" s="1">
        <v>6</v>
      </c>
      <c r="CV150" s="1">
        <v>7</v>
      </c>
      <c r="CW150" s="1">
        <v>6</v>
      </c>
      <c r="CX150" s="1">
        <v>6</v>
      </c>
      <c r="CY150" s="1">
        <v>6</v>
      </c>
      <c r="CZ150" s="1">
        <v>6</v>
      </c>
      <c r="DA150" s="1">
        <v>7</v>
      </c>
      <c r="DB150" s="1">
        <v>7</v>
      </c>
      <c r="DC150" s="1">
        <v>6</v>
      </c>
      <c r="DD150" s="1">
        <v>5</v>
      </c>
      <c r="DE150" s="1">
        <v>6</v>
      </c>
      <c r="DF150" s="1">
        <v>4</v>
      </c>
      <c r="DG150" s="1">
        <v>4</v>
      </c>
      <c r="DH150" s="1">
        <v>4</v>
      </c>
      <c r="DI150" s="1">
        <v>5</v>
      </c>
      <c r="DJ150" s="1">
        <v>6</v>
      </c>
      <c r="DK150" s="1">
        <v>3</v>
      </c>
      <c r="DL150" s="1">
        <v>7</v>
      </c>
      <c r="DM150" s="19">
        <v>6</v>
      </c>
      <c r="DN150" s="19">
        <v>6</v>
      </c>
      <c r="DO150" s="1">
        <v>2</v>
      </c>
      <c r="DP150" s="1">
        <v>5</v>
      </c>
      <c r="DQ150" s="1">
        <v>5</v>
      </c>
      <c r="DR150" s="1">
        <v>4</v>
      </c>
      <c r="DS150" s="1">
        <v>6</v>
      </c>
      <c r="DT150" s="1">
        <v>4</v>
      </c>
      <c r="DU150" s="27">
        <v>7</v>
      </c>
      <c r="DV150" s="27">
        <v>6</v>
      </c>
      <c r="DW150" s="27">
        <v>4</v>
      </c>
      <c r="DX150" s="27">
        <v>2</v>
      </c>
      <c r="DY150" s="27">
        <v>2</v>
      </c>
      <c r="DZ150" s="27">
        <v>2</v>
      </c>
      <c r="EA150" s="27">
        <v>1</v>
      </c>
      <c r="EB150" s="27">
        <v>2</v>
      </c>
      <c r="EC150" s="27">
        <v>7</v>
      </c>
      <c r="ED150" s="27">
        <v>6</v>
      </c>
      <c r="EE150" s="27">
        <v>7</v>
      </c>
      <c r="EF150" s="27">
        <v>6</v>
      </c>
      <c r="EG150" s="27">
        <v>7</v>
      </c>
      <c r="EH150" s="27">
        <v>6</v>
      </c>
      <c r="EI150" s="27">
        <v>7</v>
      </c>
      <c r="EJ150" s="27">
        <v>7</v>
      </c>
      <c r="EK150" s="27">
        <v>7</v>
      </c>
      <c r="EL150" s="27">
        <v>6</v>
      </c>
      <c r="EM150" s="27">
        <v>1</v>
      </c>
      <c r="EN150" s="27">
        <v>2</v>
      </c>
      <c r="EO150" s="27">
        <v>7</v>
      </c>
      <c r="EP150" s="27">
        <v>7</v>
      </c>
      <c r="EQ150" s="27">
        <v>6</v>
      </c>
      <c r="ER150" s="27">
        <v>6</v>
      </c>
      <c r="ES150" s="27">
        <v>7</v>
      </c>
      <c r="ET150" s="27">
        <v>6</v>
      </c>
      <c r="EU150" s="27">
        <v>7</v>
      </c>
      <c r="EV150" s="1">
        <v>19</v>
      </c>
      <c r="EW150" s="1">
        <v>2</v>
      </c>
      <c r="EY150" s="1">
        <v>1</v>
      </c>
      <c r="EZ150" s="9"/>
      <c r="FA150" s="1">
        <v>1</v>
      </c>
      <c r="FB150" s="9" t="s">
        <v>872</v>
      </c>
      <c r="FC150" s="1">
        <v>0</v>
      </c>
      <c r="FD150" s="1">
        <v>2</v>
      </c>
      <c r="FE150" s="4">
        <v>6.36</v>
      </c>
      <c r="FF150" s="4">
        <v>6.31</v>
      </c>
      <c r="FG150" s="4">
        <v>7.69</v>
      </c>
      <c r="FH150" s="4">
        <v>6.75</v>
      </c>
      <c r="FI150" s="4">
        <v>6.5</v>
      </c>
      <c r="FJ150" s="23">
        <v>6.25</v>
      </c>
      <c r="FK150" s="4">
        <v>5.92</v>
      </c>
      <c r="FL150" s="4">
        <v>6.63</v>
      </c>
      <c r="FM150" s="4">
        <v>5.88</v>
      </c>
      <c r="FN150" s="4">
        <v>6.25</v>
      </c>
      <c r="FO150" s="4">
        <v>6.08</v>
      </c>
      <c r="FP150" s="4">
        <v>5.42</v>
      </c>
      <c r="FQ150" s="4">
        <v>3.38</v>
      </c>
      <c r="FR150" s="4">
        <v>1.75</v>
      </c>
      <c r="FS150" s="4">
        <v>4.75</v>
      </c>
      <c r="FT150" s="4">
        <v>5.75</v>
      </c>
      <c r="FU150" s="4">
        <v>4.25</v>
      </c>
      <c r="FV150" s="4">
        <v>5.75</v>
      </c>
      <c r="FW150" s="4">
        <v>4.5</v>
      </c>
      <c r="FX150" s="4">
        <v>6</v>
      </c>
      <c r="FY150" s="4">
        <v>6.13</v>
      </c>
      <c r="FZ150" s="4">
        <v>4.5</v>
      </c>
      <c r="GA150" s="4">
        <v>2.25</v>
      </c>
      <c r="GB150" s="4">
        <v>6.25</v>
      </c>
      <c r="GC150" s="4">
        <v>4.13</v>
      </c>
      <c r="GD150" s="4">
        <v>5.5</v>
      </c>
      <c r="GE150" s="26"/>
      <c r="GF150" s="26"/>
      <c r="GG150" s="4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S150" s="3"/>
      <c r="HU150" s="3"/>
      <c r="HX150" s="3"/>
      <c r="IA150" s="3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3"/>
      <c r="JP150" s="3"/>
      <c r="JQ150" s="4"/>
      <c r="JR150" s="5"/>
      <c r="JS150" s="5"/>
      <c r="JT150" s="8"/>
      <c r="JU150" s="8"/>
      <c r="JV150" s="8"/>
      <c r="JW150" s="8"/>
      <c r="JX150" s="8"/>
      <c r="JY150" s="8"/>
      <c r="JZ150" s="8"/>
      <c r="KA150" s="8"/>
      <c r="KB150" s="8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</row>
    <row r="151" spans="1:374" s="1" customFormat="1" x14ac:dyDescent="0.35">
      <c r="A151" s="2">
        <v>43354</v>
      </c>
      <c r="B151" s="15" t="s">
        <v>126</v>
      </c>
      <c r="C151" s="15" t="s">
        <v>312</v>
      </c>
      <c r="D151" s="1">
        <v>150</v>
      </c>
      <c r="E151" s="3">
        <v>4</v>
      </c>
      <c r="F151" s="3">
        <v>3</v>
      </c>
      <c r="G151" s="3"/>
      <c r="H151" s="3">
        <v>38</v>
      </c>
      <c r="I151" s="3">
        <v>2</v>
      </c>
      <c r="J151" s="3"/>
      <c r="K151" s="18">
        <v>0</v>
      </c>
      <c r="L151" s="18">
        <v>0</v>
      </c>
      <c r="M151" s="18">
        <v>0</v>
      </c>
      <c r="N151" s="18">
        <v>1</v>
      </c>
      <c r="O151" s="18">
        <v>1</v>
      </c>
      <c r="P151" s="4">
        <v>0.4</v>
      </c>
      <c r="Q151" s="3">
        <v>49</v>
      </c>
      <c r="R151" s="3">
        <v>56</v>
      </c>
      <c r="S151" s="3">
        <v>43</v>
      </c>
      <c r="T151" s="3">
        <v>46</v>
      </c>
      <c r="U151" s="3">
        <v>78</v>
      </c>
      <c r="V151" s="3">
        <v>85</v>
      </c>
      <c r="W151" s="3">
        <v>86</v>
      </c>
      <c r="X151" s="3">
        <v>98</v>
      </c>
      <c r="Y151" s="3">
        <v>101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4"/>
      <c r="AJ151" s="4"/>
      <c r="AK151" s="4"/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9">
        <v>0</v>
      </c>
      <c r="AT151" s="19">
        <v>0</v>
      </c>
      <c r="AU151" s="19">
        <v>0</v>
      </c>
      <c r="AV151" s="19">
        <v>2</v>
      </c>
      <c r="AW151" s="19">
        <v>0</v>
      </c>
      <c r="AX151" s="19"/>
      <c r="AY151"/>
      <c r="AZ151"/>
      <c r="BA151"/>
      <c r="BB151"/>
      <c r="BC151"/>
      <c r="BP151" s="4"/>
      <c r="BQ151" s="4"/>
      <c r="BR151" s="4"/>
      <c r="BS151" s="4"/>
      <c r="BT151" s="4"/>
      <c r="BU151" s="4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1">
        <v>7</v>
      </c>
      <c r="CJ151" s="1">
        <v>7</v>
      </c>
      <c r="CK151" s="1">
        <v>7</v>
      </c>
      <c r="CL151" s="1">
        <v>6</v>
      </c>
      <c r="CM151" s="1">
        <v>7</v>
      </c>
      <c r="CN151" s="1">
        <v>7</v>
      </c>
      <c r="CO151" s="1">
        <v>7</v>
      </c>
      <c r="CP151" s="1">
        <v>5</v>
      </c>
      <c r="CQ151" s="1">
        <v>7</v>
      </c>
      <c r="CR151" s="1">
        <v>7</v>
      </c>
      <c r="CS151" s="1">
        <v>7</v>
      </c>
      <c r="CT151" s="1">
        <v>3</v>
      </c>
      <c r="CU151" s="1">
        <v>7</v>
      </c>
      <c r="CV151" s="1">
        <v>7</v>
      </c>
      <c r="CW151" s="1">
        <v>7</v>
      </c>
      <c r="CX151" s="1">
        <v>7</v>
      </c>
      <c r="CY151" s="1">
        <v>7</v>
      </c>
      <c r="CZ151" s="1">
        <v>7</v>
      </c>
      <c r="DA151" s="1">
        <v>7</v>
      </c>
      <c r="DB151" s="1">
        <v>7</v>
      </c>
      <c r="DC151" s="1">
        <v>7</v>
      </c>
      <c r="DD151" s="1">
        <v>7</v>
      </c>
      <c r="DE151" s="1">
        <v>6</v>
      </c>
      <c r="DF151" s="1">
        <v>7</v>
      </c>
      <c r="DG151" s="1">
        <v>7</v>
      </c>
      <c r="DH151" s="1">
        <v>7</v>
      </c>
      <c r="DI151" s="1">
        <v>7</v>
      </c>
      <c r="DJ151" s="1">
        <v>7</v>
      </c>
      <c r="DK151" s="1">
        <v>7</v>
      </c>
      <c r="DL151" s="1">
        <v>7</v>
      </c>
      <c r="DM151" s="19">
        <v>7</v>
      </c>
      <c r="DN151" s="19">
        <v>7</v>
      </c>
      <c r="DO151" s="1">
        <v>5</v>
      </c>
      <c r="DP151" s="1">
        <v>7</v>
      </c>
      <c r="DQ151" s="1">
        <v>7</v>
      </c>
      <c r="DR151" s="1">
        <v>7</v>
      </c>
      <c r="DS151" s="1">
        <v>7</v>
      </c>
      <c r="DT151" s="1">
        <v>7</v>
      </c>
      <c r="DU151" s="27">
        <v>7</v>
      </c>
      <c r="DV151" s="27">
        <v>7</v>
      </c>
      <c r="DW151" s="27">
        <v>4</v>
      </c>
      <c r="DX151" s="27">
        <v>4</v>
      </c>
      <c r="DY151" s="27">
        <v>2</v>
      </c>
      <c r="DZ151" s="27">
        <v>2</v>
      </c>
      <c r="EA151" s="27">
        <v>1</v>
      </c>
      <c r="EB151" s="27">
        <v>7</v>
      </c>
      <c r="EC151" s="27">
        <v>6</v>
      </c>
      <c r="ED151" s="27">
        <v>4</v>
      </c>
      <c r="EE151" s="27">
        <v>7</v>
      </c>
      <c r="EF151" s="27">
        <v>6</v>
      </c>
      <c r="EG151" s="27">
        <v>7</v>
      </c>
      <c r="EH151" s="27">
        <v>7</v>
      </c>
      <c r="EI151" s="27">
        <v>7</v>
      </c>
      <c r="EJ151" s="27">
        <v>4</v>
      </c>
      <c r="EK151" s="27">
        <v>6</v>
      </c>
      <c r="EL151" s="27">
        <v>4</v>
      </c>
      <c r="EM151" s="27">
        <v>3</v>
      </c>
      <c r="EN151" s="27">
        <v>1</v>
      </c>
      <c r="EO151" s="27">
        <v>7</v>
      </c>
      <c r="EP151" s="27">
        <v>7</v>
      </c>
      <c r="EQ151" s="27">
        <v>7</v>
      </c>
      <c r="ER151" s="27">
        <v>5</v>
      </c>
      <c r="ES151" s="27">
        <v>4</v>
      </c>
      <c r="ET151" s="27">
        <v>7</v>
      </c>
      <c r="EU151" s="27">
        <v>7</v>
      </c>
      <c r="EV151" s="1">
        <v>20</v>
      </c>
      <c r="EW151" s="1">
        <v>2</v>
      </c>
      <c r="EY151" s="1">
        <v>1</v>
      </c>
      <c r="EZ151" s="9"/>
      <c r="FA151" s="1">
        <v>3</v>
      </c>
      <c r="FB151" s="9" t="s">
        <v>873</v>
      </c>
      <c r="FC151" s="1">
        <v>0</v>
      </c>
      <c r="FD151" s="1">
        <v>6</v>
      </c>
      <c r="FE151" s="4"/>
      <c r="FF151" s="4"/>
      <c r="FG151" s="4"/>
      <c r="FH151" s="4"/>
      <c r="FI151" s="4"/>
      <c r="FJ151" s="23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26"/>
      <c r="GF151" s="26"/>
      <c r="GG151" s="4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S151" s="3"/>
      <c r="HU151" s="3"/>
      <c r="HX151" s="3"/>
      <c r="IA151" s="3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6"/>
      <c r="JP151" s="6"/>
      <c r="JQ151" s="6"/>
      <c r="JR151" s="6"/>
      <c r="JS151" s="6"/>
      <c r="JT151" s="8"/>
      <c r="JU151" s="8"/>
      <c r="JV151" s="8"/>
      <c r="JW151" s="8"/>
      <c r="JX151" s="8"/>
      <c r="JY151" s="8"/>
      <c r="JZ151" s="8"/>
      <c r="KA151" s="8"/>
      <c r="KB151" s="8"/>
      <c r="KC151" s="6"/>
      <c r="KD151" s="6"/>
      <c r="KE151" s="6"/>
      <c r="KF151" s="6"/>
      <c r="KG151" s="6"/>
      <c r="KH151" s="6"/>
      <c r="KI151" s="6"/>
      <c r="KJ151" s="6"/>
      <c r="KK151" s="6"/>
      <c r="KL151" s="4"/>
      <c r="KM151" s="4"/>
      <c r="KN151" s="6"/>
      <c r="KO151" s="4"/>
      <c r="KP151" s="4"/>
      <c r="KQ151" s="6"/>
      <c r="KR151" s="6"/>
      <c r="KS151" s="4"/>
      <c r="KU151" s="4"/>
      <c r="KV151" s="4"/>
      <c r="KW151" s="4"/>
      <c r="KX151" s="6"/>
      <c r="KY151" s="6"/>
      <c r="KZ151" s="6"/>
      <c r="LA151" s="4"/>
      <c r="LB151" s="6"/>
      <c r="LC151" s="6"/>
      <c r="LD151" s="4"/>
      <c r="LE151" s="4"/>
      <c r="LF151" s="6"/>
      <c r="LG151" s="6"/>
      <c r="LH151" s="6"/>
      <c r="LI151" s="6"/>
      <c r="LJ151" s="6"/>
      <c r="LK151" s="6"/>
      <c r="LL151" s="6"/>
      <c r="LM151" s="6"/>
      <c r="LN151" s="6"/>
      <c r="LO151" s="6"/>
      <c r="LP151" s="6"/>
      <c r="LQ151" s="6"/>
      <c r="LR151" s="6"/>
      <c r="LS151" s="6"/>
      <c r="LT151" s="6"/>
      <c r="LU151" s="6"/>
      <c r="LV151" s="6"/>
      <c r="LW151" s="6"/>
      <c r="LX151" s="6"/>
      <c r="LY151" s="6"/>
      <c r="LZ151" s="6"/>
      <c r="MA151" s="6"/>
      <c r="MB151" s="6"/>
      <c r="MC151" s="6"/>
      <c r="MD151" s="6"/>
      <c r="ME151" s="6"/>
      <c r="MF151" s="6"/>
      <c r="MG151" s="6"/>
      <c r="MH151" s="6"/>
      <c r="MI151" s="6"/>
      <c r="MJ151" s="6"/>
      <c r="MK151" s="6"/>
      <c r="ML151" s="6"/>
      <c r="MM151" s="6"/>
      <c r="MN151" s="6"/>
      <c r="MO151" s="6"/>
      <c r="MP151" s="6"/>
      <c r="MQ151" s="6"/>
      <c r="MR151" s="6"/>
      <c r="MS151" s="6"/>
      <c r="MT151" s="6"/>
      <c r="MU151" s="6"/>
      <c r="MV151" s="6"/>
      <c r="MW151" s="6"/>
      <c r="MX151" s="6"/>
      <c r="MY151" s="6"/>
      <c r="MZ151" s="6"/>
      <c r="NA151" s="6"/>
      <c r="NB151" s="6"/>
      <c r="NC151" s="6"/>
      <c r="ND151" s="6"/>
      <c r="NE151" s="6"/>
      <c r="NF151" s="6"/>
      <c r="NG151" s="6"/>
      <c r="NH151" s="6"/>
      <c r="NI151" s="6"/>
      <c r="NJ151" s="4"/>
    </row>
    <row r="152" spans="1:374" s="1" customFormat="1" x14ac:dyDescent="0.35">
      <c r="A152" s="2">
        <v>43354</v>
      </c>
      <c r="B152" s="15" t="s">
        <v>126</v>
      </c>
      <c r="C152" s="15" t="s">
        <v>313</v>
      </c>
      <c r="D152" s="1">
        <v>151</v>
      </c>
      <c r="E152" s="3">
        <v>4</v>
      </c>
      <c r="F152" s="3">
        <v>3</v>
      </c>
      <c r="G152" s="3"/>
      <c r="H152" s="3">
        <v>38</v>
      </c>
      <c r="I152" s="3">
        <v>3</v>
      </c>
      <c r="J152" s="3"/>
      <c r="K152" s="18">
        <v>1</v>
      </c>
      <c r="L152" s="18">
        <v>1</v>
      </c>
      <c r="M152" s="18">
        <v>1</v>
      </c>
      <c r="N152" s="18">
        <v>1</v>
      </c>
      <c r="O152" s="18">
        <v>0</v>
      </c>
      <c r="P152" s="4">
        <v>0.8</v>
      </c>
      <c r="Q152" s="3">
        <v>43</v>
      </c>
      <c r="R152" s="3">
        <v>50</v>
      </c>
      <c r="S152" s="3">
        <v>51</v>
      </c>
      <c r="T152" s="3">
        <v>61</v>
      </c>
      <c r="U152" s="3">
        <v>108</v>
      </c>
      <c r="V152" s="3">
        <v>115</v>
      </c>
      <c r="W152" s="3">
        <v>97</v>
      </c>
      <c r="X152" s="3">
        <v>113</v>
      </c>
      <c r="Y152" s="3">
        <v>98</v>
      </c>
      <c r="Z152" s="3"/>
      <c r="AA152" s="3"/>
      <c r="AB152" s="3"/>
      <c r="AC152" s="3"/>
      <c r="AD152" s="3"/>
      <c r="AE152" s="3"/>
      <c r="AF152" s="3"/>
      <c r="AG152" s="3"/>
      <c r="AH152" s="3"/>
      <c r="AI152" s="4"/>
      <c r="AJ152" s="4"/>
      <c r="AK152" s="4"/>
      <c r="AL152" s="1">
        <v>0</v>
      </c>
      <c r="AM152" s="1">
        <v>0</v>
      </c>
      <c r="AN152" s="1">
        <v>0</v>
      </c>
      <c r="AO152" s="1">
        <v>1</v>
      </c>
      <c r="AP152" s="1">
        <v>1</v>
      </c>
      <c r="AQ152" s="1">
        <v>0</v>
      </c>
      <c r="AR152" s="1">
        <v>0</v>
      </c>
      <c r="AS152" s="19">
        <v>0</v>
      </c>
      <c r="AT152" s="19">
        <v>0</v>
      </c>
      <c r="AU152" s="19">
        <v>0</v>
      </c>
      <c r="AV152" s="19">
        <v>0</v>
      </c>
      <c r="AW152" s="19">
        <v>0</v>
      </c>
      <c r="AX152" s="19"/>
      <c r="AY152"/>
      <c r="AZ152"/>
      <c r="BA152"/>
      <c r="BB152"/>
      <c r="BC152"/>
      <c r="BP152" s="4"/>
      <c r="BQ152" s="4"/>
      <c r="BR152" s="4"/>
      <c r="BS152" s="4"/>
      <c r="BT152" s="4"/>
      <c r="BU152" s="4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1">
        <v>7</v>
      </c>
      <c r="CJ152" s="1">
        <v>7</v>
      </c>
      <c r="CK152" s="1">
        <v>7</v>
      </c>
      <c r="CL152" s="1">
        <v>5</v>
      </c>
      <c r="CM152" s="1">
        <v>5</v>
      </c>
      <c r="CN152" s="1">
        <v>6</v>
      </c>
      <c r="CO152" s="1">
        <v>7</v>
      </c>
      <c r="CP152" s="1">
        <v>1</v>
      </c>
      <c r="CQ152" s="1">
        <v>6</v>
      </c>
      <c r="CR152" s="1">
        <v>7</v>
      </c>
      <c r="CS152" s="1">
        <v>7</v>
      </c>
      <c r="CT152" s="1">
        <v>7</v>
      </c>
      <c r="CU152" s="1">
        <v>7</v>
      </c>
      <c r="CV152" s="1">
        <v>6</v>
      </c>
      <c r="CW152" s="1">
        <v>6</v>
      </c>
      <c r="CX152" s="1">
        <v>4</v>
      </c>
      <c r="CY152" s="1">
        <v>6</v>
      </c>
      <c r="CZ152" s="1">
        <v>7</v>
      </c>
      <c r="DA152" s="1">
        <v>7</v>
      </c>
      <c r="DB152" s="1">
        <v>7</v>
      </c>
      <c r="DC152" s="1">
        <v>7</v>
      </c>
      <c r="DD152" s="1">
        <v>7</v>
      </c>
      <c r="DE152" s="1">
        <v>7</v>
      </c>
      <c r="DF152" s="1">
        <v>5</v>
      </c>
      <c r="DG152" s="1">
        <v>6</v>
      </c>
      <c r="DH152" s="1">
        <v>7</v>
      </c>
      <c r="DI152" s="1">
        <v>6</v>
      </c>
      <c r="DJ152" s="1">
        <v>7</v>
      </c>
      <c r="DK152" s="1">
        <v>7</v>
      </c>
      <c r="DL152" s="1">
        <v>7</v>
      </c>
      <c r="DM152" s="19">
        <v>7</v>
      </c>
      <c r="DN152" s="19">
        <v>7</v>
      </c>
      <c r="DO152" s="1">
        <v>7</v>
      </c>
      <c r="DP152" s="1">
        <v>7</v>
      </c>
      <c r="DQ152" s="1">
        <v>7</v>
      </c>
      <c r="DR152" s="1">
        <v>6</v>
      </c>
      <c r="DS152" s="1">
        <v>7</v>
      </c>
      <c r="DT152" s="1">
        <v>7</v>
      </c>
      <c r="DU152" s="27">
        <v>7</v>
      </c>
      <c r="DV152" s="27">
        <v>4</v>
      </c>
      <c r="DW152" s="27">
        <v>4</v>
      </c>
      <c r="DX152" s="27">
        <v>4</v>
      </c>
      <c r="DY152" s="27">
        <v>4</v>
      </c>
      <c r="DZ152" s="27">
        <v>4</v>
      </c>
      <c r="EA152" s="27">
        <v>4</v>
      </c>
      <c r="EB152" s="27">
        <v>4</v>
      </c>
      <c r="EC152" s="27">
        <v>4</v>
      </c>
      <c r="ED152" s="27">
        <v>4</v>
      </c>
      <c r="EE152" s="27">
        <v>5</v>
      </c>
      <c r="EF152" s="27">
        <v>4</v>
      </c>
      <c r="EG152" s="27">
        <v>4</v>
      </c>
      <c r="EH152" s="27">
        <v>4</v>
      </c>
      <c r="EI152" s="27">
        <v>4</v>
      </c>
      <c r="EJ152" s="27">
        <v>4</v>
      </c>
      <c r="EK152" s="27">
        <v>4</v>
      </c>
      <c r="EL152" s="27">
        <v>4</v>
      </c>
      <c r="EM152" s="27">
        <v>4</v>
      </c>
      <c r="EN152" s="27">
        <v>4</v>
      </c>
      <c r="EO152" s="27">
        <v>6</v>
      </c>
      <c r="EP152" s="27">
        <v>4</v>
      </c>
      <c r="EQ152" s="27">
        <v>4</v>
      </c>
      <c r="ER152" s="27">
        <v>4</v>
      </c>
      <c r="ES152" s="27">
        <v>4</v>
      </c>
      <c r="ET152" s="27">
        <v>4</v>
      </c>
      <c r="EU152" s="27">
        <v>4</v>
      </c>
      <c r="EV152" s="1">
        <v>18</v>
      </c>
      <c r="EW152" s="1">
        <v>2</v>
      </c>
      <c r="EY152" s="1">
        <v>4</v>
      </c>
      <c r="EZ152" s="9"/>
      <c r="FA152" s="1">
        <v>1</v>
      </c>
      <c r="FB152" s="9" t="s">
        <v>874</v>
      </c>
      <c r="FC152" s="1">
        <v>0</v>
      </c>
      <c r="FD152" s="1">
        <v>7</v>
      </c>
      <c r="FE152" s="4"/>
      <c r="FF152" s="4"/>
      <c r="FG152" s="4"/>
      <c r="FH152" s="4"/>
      <c r="FI152" s="4"/>
      <c r="FJ152" s="23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26"/>
      <c r="GF152" s="26"/>
      <c r="GG152" s="4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S152" s="3"/>
      <c r="HU152" s="3"/>
      <c r="HX152" s="3"/>
      <c r="IA152" s="3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6"/>
      <c r="JP152" s="6"/>
      <c r="JQ152" s="6"/>
      <c r="JR152" s="6"/>
      <c r="JS152" s="6"/>
      <c r="JT152" s="8"/>
      <c r="JU152" s="8"/>
      <c r="JV152" s="8"/>
      <c r="JW152" s="8"/>
      <c r="JX152" s="8"/>
      <c r="JY152" s="8"/>
      <c r="JZ152" s="8"/>
      <c r="KA152" s="8"/>
      <c r="KB152" s="8"/>
      <c r="KC152" s="6"/>
      <c r="KD152" s="6"/>
      <c r="KE152" s="6"/>
      <c r="KF152" s="6"/>
      <c r="KG152" s="6"/>
      <c r="KH152" s="6"/>
      <c r="KI152" s="6"/>
      <c r="KJ152" s="6"/>
      <c r="KK152" s="6"/>
      <c r="KL152" s="4"/>
      <c r="KM152" s="4"/>
      <c r="KN152" s="6"/>
      <c r="KO152" s="4"/>
      <c r="KP152" s="4"/>
      <c r="KQ152" s="6"/>
      <c r="KR152" s="6"/>
      <c r="KS152" s="4"/>
      <c r="KU152" s="4"/>
      <c r="KV152" s="4"/>
      <c r="KW152" s="4"/>
      <c r="KX152" s="6"/>
      <c r="KY152" s="6"/>
      <c r="KZ152" s="6"/>
      <c r="LA152" s="4"/>
      <c r="LB152" s="6"/>
      <c r="LC152" s="6"/>
      <c r="LD152" s="4"/>
      <c r="LE152" s="4"/>
      <c r="LF152" s="6"/>
      <c r="LG152" s="6"/>
      <c r="LH152" s="6"/>
      <c r="LI152" s="6"/>
      <c r="LJ152" s="6"/>
      <c r="LK152" s="6"/>
      <c r="LL152" s="6"/>
      <c r="LM152" s="6"/>
      <c r="LN152" s="6"/>
      <c r="LO152" s="6"/>
      <c r="LP152" s="6"/>
      <c r="LQ152" s="6"/>
      <c r="LR152" s="6"/>
      <c r="LS152" s="6"/>
      <c r="LT152" s="6"/>
      <c r="LU152" s="6"/>
      <c r="LV152" s="6"/>
      <c r="LW152" s="6"/>
      <c r="LX152" s="6"/>
      <c r="LY152" s="6"/>
      <c r="LZ152" s="6"/>
      <c r="MA152" s="6"/>
      <c r="MB152" s="6"/>
      <c r="MC152" s="6"/>
      <c r="MD152" s="6"/>
      <c r="ME152" s="6"/>
      <c r="MF152" s="6"/>
      <c r="MG152" s="6"/>
      <c r="MH152" s="6"/>
      <c r="MI152" s="6"/>
      <c r="MJ152" s="6"/>
      <c r="MK152" s="6"/>
      <c r="ML152" s="6"/>
      <c r="MM152" s="6"/>
      <c r="MN152" s="6"/>
      <c r="MO152" s="6"/>
      <c r="MP152" s="6"/>
      <c r="MQ152" s="6"/>
      <c r="MR152" s="6"/>
      <c r="MS152" s="6"/>
      <c r="MT152" s="6"/>
      <c r="MU152" s="6"/>
      <c r="MV152" s="6"/>
      <c r="MW152" s="6"/>
      <c r="MX152" s="6"/>
      <c r="MY152" s="6"/>
      <c r="MZ152" s="6"/>
      <c r="NA152" s="6"/>
      <c r="NB152" s="6"/>
      <c r="NC152" s="6"/>
      <c r="ND152" s="6"/>
      <c r="NE152" s="6"/>
      <c r="NF152" s="6"/>
      <c r="NG152" s="6"/>
      <c r="NH152" s="6"/>
      <c r="NI152" s="6"/>
      <c r="NJ152" s="4"/>
    </row>
    <row r="153" spans="1:374" s="1" customFormat="1" x14ac:dyDescent="0.35">
      <c r="A153" s="2">
        <v>43354</v>
      </c>
      <c r="B153" s="15" t="s">
        <v>126</v>
      </c>
      <c r="C153" s="15" t="s">
        <v>314</v>
      </c>
      <c r="D153" s="1">
        <v>152</v>
      </c>
      <c r="E153" s="3">
        <v>4</v>
      </c>
      <c r="F153" s="3">
        <v>3</v>
      </c>
      <c r="G153" s="3"/>
      <c r="H153" s="3">
        <v>38</v>
      </c>
      <c r="I153" s="3">
        <v>4</v>
      </c>
      <c r="J153" s="3"/>
      <c r="K153" s="18">
        <v>1</v>
      </c>
      <c r="L153" s="18">
        <v>1</v>
      </c>
      <c r="M153" s="18">
        <v>1</v>
      </c>
      <c r="N153" s="18">
        <v>1</v>
      </c>
      <c r="O153" s="18">
        <v>0</v>
      </c>
      <c r="P153" s="4">
        <v>0.8</v>
      </c>
      <c r="Q153" s="3">
        <v>56</v>
      </c>
      <c r="R153" s="3">
        <v>38</v>
      </c>
      <c r="S153" s="3">
        <v>46</v>
      </c>
      <c r="T153" s="3">
        <v>22</v>
      </c>
      <c r="U153" s="3">
        <v>73</v>
      </c>
      <c r="V153" s="3">
        <v>107</v>
      </c>
      <c r="W153" s="3">
        <v>107</v>
      </c>
      <c r="X153" s="3">
        <v>100</v>
      </c>
      <c r="Y153" s="3">
        <v>98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4"/>
      <c r="AJ153" s="4"/>
      <c r="AK153" s="4"/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9">
        <v>0</v>
      </c>
      <c r="AT153" s="19">
        <v>0</v>
      </c>
      <c r="AU153" s="19">
        <v>2</v>
      </c>
      <c r="AV153" s="19">
        <v>0</v>
      </c>
      <c r="AW153" s="19">
        <v>0</v>
      </c>
      <c r="AX153" s="19"/>
      <c r="AY153"/>
      <c r="AZ153"/>
      <c r="BA153"/>
      <c r="BB153"/>
      <c r="BC153"/>
      <c r="BP153" s="4"/>
      <c r="BQ153" s="4"/>
      <c r="BR153" s="4"/>
      <c r="BS153" s="4"/>
      <c r="BT153" s="4"/>
      <c r="BU153" s="4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1">
        <v>7</v>
      </c>
      <c r="CJ153" s="1">
        <v>6</v>
      </c>
      <c r="CK153" s="1">
        <v>7</v>
      </c>
      <c r="CL153" s="1">
        <v>6</v>
      </c>
      <c r="CM153" s="1">
        <v>6</v>
      </c>
      <c r="CN153" s="1">
        <v>7</v>
      </c>
      <c r="CO153" s="1">
        <v>5</v>
      </c>
      <c r="CP153" s="1">
        <v>2</v>
      </c>
      <c r="CQ153" s="1">
        <v>7</v>
      </c>
      <c r="CR153" s="1">
        <v>7</v>
      </c>
      <c r="CS153" s="1">
        <v>7</v>
      </c>
      <c r="CT153" s="1">
        <v>6</v>
      </c>
      <c r="CU153" s="1">
        <v>7</v>
      </c>
      <c r="CV153" s="1">
        <v>6</v>
      </c>
      <c r="CW153" s="1">
        <v>3</v>
      </c>
      <c r="CX153" s="1">
        <v>6</v>
      </c>
      <c r="CY153" s="1">
        <v>6</v>
      </c>
      <c r="CZ153" s="1">
        <v>7</v>
      </c>
      <c r="DA153" s="1">
        <v>6</v>
      </c>
      <c r="DB153" s="1">
        <v>6</v>
      </c>
      <c r="DC153" s="1">
        <v>6</v>
      </c>
      <c r="DD153" s="1">
        <v>7</v>
      </c>
      <c r="DE153" s="1">
        <v>6</v>
      </c>
      <c r="DF153" s="1">
        <v>6</v>
      </c>
      <c r="DG153" s="1">
        <v>7</v>
      </c>
      <c r="DH153" s="1">
        <v>5</v>
      </c>
      <c r="DI153" s="1">
        <v>7</v>
      </c>
      <c r="DJ153" s="1">
        <v>6</v>
      </c>
      <c r="DK153" s="1">
        <v>5</v>
      </c>
      <c r="DL153" s="1">
        <v>5</v>
      </c>
      <c r="DM153" s="19">
        <v>7</v>
      </c>
      <c r="DN153" s="19">
        <v>7</v>
      </c>
      <c r="DO153" s="1">
        <v>6</v>
      </c>
      <c r="DP153" s="1">
        <v>5</v>
      </c>
      <c r="DQ153" s="1">
        <v>7</v>
      </c>
      <c r="DR153" s="1">
        <v>5</v>
      </c>
      <c r="DS153" s="1">
        <v>7</v>
      </c>
      <c r="DT153" s="1">
        <v>6</v>
      </c>
      <c r="DU153" s="27">
        <v>6</v>
      </c>
      <c r="DV153" s="27">
        <v>6</v>
      </c>
      <c r="DW153" s="27">
        <v>3</v>
      </c>
      <c r="DX153" s="27">
        <v>7</v>
      </c>
      <c r="DY153" s="27">
        <v>2</v>
      </c>
      <c r="DZ153" s="27">
        <v>2</v>
      </c>
      <c r="EA153" s="27">
        <v>1</v>
      </c>
      <c r="EB153" s="27">
        <v>6</v>
      </c>
      <c r="EC153" s="27">
        <v>6</v>
      </c>
      <c r="ED153" s="27">
        <v>3</v>
      </c>
      <c r="EE153" s="27">
        <v>4</v>
      </c>
      <c r="EF153" s="27">
        <v>2</v>
      </c>
      <c r="EG153" s="27">
        <v>6</v>
      </c>
      <c r="EH153" s="27">
        <v>7</v>
      </c>
      <c r="EI153" s="27">
        <v>7</v>
      </c>
      <c r="EJ153" s="27">
        <v>2</v>
      </c>
      <c r="EK153" s="27">
        <v>3</v>
      </c>
      <c r="EL153" s="27">
        <v>3</v>
      </c>
      <c r="EM153" s="27">
        <v>2</v>
      </c>
      <c r="EN153" s="27">
        <v>1</v>
      </c>
      <c r="EO153" s="27">
        <v>7</v>
      </c>
      <c r="EP153" s="27">
        <v>7</v>
      </c>
      <c r="EQ153" s="27">
        <v>6</v>
      </c>
      <c r="ER153" s="27">
        <v>2</v>
      </c>
      <c r="ES153" s="27">
        <v>1</v>
      </c>
      <c r="ET153" s="27">
        <v>4</v>
      </c>
      <c r="EU153" s="27">
        <v>5</v>
      </c>
      <c r="EV153" s="1">
        <v>18</v>
      </c>
      <c r="EW153" s="1">
        <v>2</v>
      </c>
      <c r="EY153" s="1">
        <v>1</v>
      </c>
      <c r="EZ153" s="9"/>
      <c r="FA153" s="1">
        <v>1</v>
      </c>
      <c r="FB153" s="9" t="s">
        <v>801</v>
      </c>
      <c r="FC153" s="1">
        <v>0</v>
      </c>
      <c r="FD153" s="1">
        <v>6</v>
      </c>
      <c r="FE153" s="4"/>
      <c r="FF153" s="4"/>
      <c r="FG153" s="4"/>
      <c r="FH153" s="4"/>
      <c r="FI153" s="4"/>
      <c r="FJ153" s="23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26"/>
      <c r="GF153" s="26"/>
      <c r="GG153" s="4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S153" s="3"/>
      <c r="HU153" s="3"/>
      <c r="HX153" s="3"/>
      <c r="IA153" s="3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6"/>
      <c r="JP153" s="6"/>
      <c r="JQ153" s="6"/>
      <c r="JR153" s="6"/>
      <c r="JS153" s="6"/>
      <c r="JT153" s="8"/>
      <c r="JU153" s="8"/>
      <c r="JV153" s="8"/>
      <c r="JW153" s="8"/>
      <c r="JX153" s="8"/>
      <c r="JY153" s="8"/>
      <c r="JZ153" s="8"/>
      <c r="KA153" s="8"/>
      <c r="KB153" s="8"/>
      <c r="KC153" s="6"/>
      <c r="KD153" s="6"/>
      <c r="KE153" s="6"/>
      <c r="KF153" s="6"/>
      <c r="KG153" s="6"/>
      <c r="KH153" s="6"/>
      <c r="KI153" s="6"/>
      <c r="KJ153" s="6"/>
      <c r="KK153" s="6"/>
      <c r="KL153" s="4"/>
      <c r="KM153" s="4"/>
      <c r="KN153" s="6"/>
      <c r="KO153" s="4"/>
      <c r="KP153" s="4"/>
      <c r="KQ153" s="6"/>
      <c r="KR153" s="6"/>
      <c r="KS153" s="4"/>
      <c r="KU153" s="4"/>
      <c r="KV153" s="4"/>
      <c r="KW153" s="4"/>
      <c r="KX153" s="6"/>
      <c r="KY153" s="6"/>
      <c r="KZ153" s="6"/>
      <c r="LA153" s="4"/>
      <c r="LB153" s="6"/>
      <c r="LC153" s="6"/>
      <c r="LD153" s="4"/>
      <c r="LE153" s="4"/>
      <c r="LF153" s="6"/>
      <c r="LG153" s="6"/>
      <c r="LH153" s="6"/>
      <c r="LI153" s="6"/>
      <c r="LJ153" s="6"/>
      <c r="LK153" s="6"/>
      <c r="LL153" s="6"/>
      <c r="LM153" s="6"/>
      <c r="LN153" s="6"/>
      <c r="LO153" s="6"/>
      <c r="LP153" s="6"/>
      <c r="LQ153" s="6"/>
      <c r="LR153" s="6"/>
      <c r="LS153" s="6"/>
      <c r="LT153" s="6"/>
      <c r="LU153" s="6"/>
      <c r="LV153" s="6"/>
      <c r="LW153" s="6"/>
      <c r="LX153" s="6"/>
      <c r="LY153" s="6"/>
      <c r="LZ153" s="6"/>
      <c r="MA153" s="6"/>
      <c r="MB153" s="6"/>
      <c r="MC153" s="6"/>
      <c r="MD153" s="6"/>
      <c r="ME153" s="6"/>
      <c r="MF153" s="6"/>
      <c r="MG153" s="6"/>
      <c r="MH153" s="6"/>
      <c r="MI153" s="6"/>
      <c r="MJ153" s="6"/>
      <c r="MK153" s="6"/>
      <c r="ML153" s="6"/>
      <c r="MM153" s="6"/>
      <c r="MN153" s="6"/>
      <c r="MO153" s="6"/>
      <c r="MP153" s="6"/>
      <c r="MQ153" s="6"/>
      <c r="MR153" s="6"/>
      <c r="MS153" s="6"/>
      <c r="MT153" s="6"/>
      <c r="MU153" s="6"/>
      <c r="MV153" s="6"/>
      <c r="MW153" s="6"/>
      <c r="MX153" s="6"/>
      <c r="MY153" s="6"/>
      <c r="MZ153" s="6"/>
      <c r="NA153" s="6"/>
      <c r="NB153" s="6"/>
      <c r="NC153" s="6"/>
      <c r="ND153" s="6"/>
      <c r="NE153" s="6"/>
      <c r="NF153" s="6"/>
      <c r="NG153" s="6"/>
      <c r="NH153" s="6"/>
      <c r="NI153" s="6"/>
      <c r="NJ153" s="4"/>
    </row>
    <row r="154" spans="1:374" s="1" customFormat="1" x14ac:dyDescent="0.35">
      <c r="A154" s="2">
        <v>43354</v>
      </c>
      <c r="B154" s="15" t="s">
        <v>127</v>
      </c>
      <c r="C154" s="15" t="s">
        <v>315</v>
      </c>
      <c r="D154" s="1">
        <v>153</v>
      </c>
      <c r="E154" s="3">
        <v>4</v>
      </c>
      <c r="F154" s="3">
        <v>3</v>
      </c>
      <c r="G154" s="3">
        <v>0</v>
      </c>
      <c r="H154" s="3">
        <v>39</v>
      </c>
      <c r="I154" s="3">
        <v>1</v>
      </c>
      <c r="J154" s="3">
        <v>1</v>
      </c>
      <c r="K154" s="18">
        <v>0</v>
      </c>
      <c r="L154" s="18">
        <v>1</v>
      </c>
      <c r="M154" s="18">
        <v>1</v>
      </c>
      <c r="N154" s="18">
        <v>1</v>
      </c>
      <c r="O154" s="18">
        <v>0</v>
      </c>
      <c r="P154" s="4">
        <v>0.6</v>
      </c>
      <c r="Q154" s="3">
        <v>55</v>
      </c>
      <c r="R154" s="3">
        <v>52</v>
      </c>
      <c r="S154" s="3">
        <v>46</v>
      </c>
      <c r="T154" s="3">
        <v>89</v>
      </c>
      <c r="U154" s="3">
        <v>118</v>
      </c>
      <c r="V154" s="3">
        <v>105</v>
      </c>
      <c r="W154" s="3">
        <v>93</v>
      </c>
      <c r="X154" s="3">
        <v>102</v>
      </c>
      <c r="Y154" s="3">
        <v>84</v>
      </c>
      <c r="Z154" s="3">
        <v>200</v>
      </c>
      <c r="AA154" s="3">
        <v>200</v>
      </c>
      <c r="AB154" s="3">
        <v>205</v>
      </c>
      <c r="AC154" s="3">
        <v>322</v>
      </c>
      <c r="AD154" s="3">
        <v>351</v>
      </c>
      <c r="AE154" s="3">
        <v>412</v>
      </c>
      <c r="AF154" s="3">
        <v>398</v>
      </c>
      <c r="AG154" s="3">
        <v>400</v>
      </c>
      <c r="AH154" s="3">
        <v>429</v>
      </c>
      <c r="AI154" s="4">
        <v>201.67</v>
      </c>
      <c r="AJ154" s="4">
        <v>361.67</v>
      </c>
      <c r="AK154" s="4">
        <v>409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9">
        <v>0</v>
      </c>
      <c r="AT154" s="19">
        <v>0</v>
      </c>
      <c r="AU154" s="19">
        <v>0</v>
      </c>
      <c r="AV154" s="19">
        <v>0</v>
      </c>
      <c r="AW154" s="19">
        <v>0</v>
      </c>
      <c r="AX154" s="19">
        <f t="shared" ref="AX154:BC154" si="76">AL154+AL155+AL156+AL157</f>
        <v>0</v>
      </c>
      <c r="AY154" s="19">
        <f t="shared" si="76"/>
        <v>0</v>
      </c>
      <c r="AZ154" s="19">
        <f t="shared" si="76"/>
        <v>0</v>
      </c>
      <c r="BA154" s="19">
        <f t="shared" si="76"/>
        <v>0</v>
      </c>
      <c r="BB154" s="19">
        <f t="shared" si="76"/>
        <v>0</v>
      </c>
      <c r="BC154" s="19">
        <f t="shared" si="76"/>
        <v>0</v>
      </c>
      <c r="BD154" s="1">
        <f>AX154*3</f>
        <v>0</v>
      </c>
      <c r="BE154" s="1">
        <f t="shared" ref="BE154:BI154" si="77">AY154*3</f>
        <v>0</v>
      </c>
      <c r="BF154" s="1">
        <f t="shared" si="77"/>
        <v>0</v>
      </c>
      <c r="BG154" s="1">
        <f t="shared" si="77"/>
        <v>0</v>
      </c>
      <c r="BH154" s="1">
        <f t="shared" si="77"/>
        <v>0</v>
      </c>
      <c r="BI154" s="1">
        <f t="shared" si="77"/>
        <v>0</v>
      </c>
      <c r="BJ154" s="1">
        <f>AX154+AY154+AZ154</f>
        <v>0</v>
      </c>
      <c r="BK154" s="1">
        <f>BA154+BB154+BC154</f>
        <v>0</v>
      </c>
      <c r="BL154" s="1">
        <f>BJ154*3</f>
        <v>0</v>
      </c>
      <c r="BM154" s="1">
        <f>BK154*3</f>
        <v>0</v>
      </c>
      <c r="BN154" s="1">
        <f>BL154/3</f>
        <v>0</v>
      </c>
      <c r="BO154" s="1">
        <f>BM154/3</f>
        <v>0</v>
      </c>
      <c r="BP154" s="4">
        <v>201.66666666666666</v>
      </c>
      <c r="BQ154" s="4">
        <v>361.66666666666669</v>
      </c>
      <c r="BR154" s="4">
        <v>409</v>
      </c>
      <c r="BS154" s="4">
        <v>361.67</v>
      </c>
      <c r="BT154" s="4">
        <v>409</v>
      </c>
      <c r="BU154" s="4">
        <v>3.71</v>
      </c>
      <c r="BV154" s="3">
        <v>2</v>
      </c>
      <c r="BW154" s="3">
        <v>2</v>
      </c>
      <c r="BX154" s="3">
        <v>2</v>
      </c>
      <c r="BY154" s="3">
        <v>2</v>
      </c>
      <c r="BZ154" s="3">
        <v>0</v>
      </c>
      <c r="CA154" s="3">
        <v>0</v>
      </c>
      <c r="CB154" s="3">
        <v>0</v>
      </c>
      <c r="CC154" s="3">
        <v>0</v>
      </c>
      <c r="CD154" s="3">
        <v>1</v>
      </c>
      <c r="CE154" s="3">
        <v>1</v>
      </c>
      <c r="CF154" s="3">
        <v>1</v>
      </c>
      <c r="CG154" s="3">
        <v>1</v>
      </c>
      <c r="CH154" s="3">
        <v>0</v>
      </c>
      <c r="CI154" s="1">
        <v>7</v>
      </c>
      <c r="CJ154" s="1">
        <v>7</v>
      </c>
      <c r="CK154" s="1">
        <v>7</v>
      </c>
      <c r="CL154" s="1">
        <v>7</v>
      </c>
      <c r="CM154" s="1">
        <v>6</v>
      </c>
      <c r="CN154" s="1">
        <v>7</v>
      </c>
      <c r="CO154" s="1">
        <v>7</v>
      </c>
      <c r="CP154" s="1">
        <v>3</v>
      </c>
      <c r="CQ154" s="1">
        <v>7</v>
      </c>
      <c r="CR154" s="1">
        <v>7</v>
      </c>
      <c r="CS154" s="1">
        <v>7</v>
      </c>
      <c r="CT154" s="1">
        <v>5</v>
      </c>
      <c r="CU154" s="1">
        <v>6</v>
      </c>
      <c r="CV154" s="1">
        <v>6</v>
      </c>
      <c r="CW154" s="1">
        <v>4</v>
      </c>
      <c r="CX154" s="1">
        <v>7</v>
      </c>
      <c r="CY154" s="1">
        <v>7</v>
      </c>
      <c r="CZ154" s="1">
        <v>7</v>
      </c>
      <c r="DA154" s="1">
        <v>7</v>
      </c>
      <c r="DB154" s="1">
        <v>7</v>
      </c>
      <c r="DC154" s="1">
        <v>7</v>
      </c>
      <c r="DD154" s="1">
        <v>7</v>
      </c>
      <c r="DE154" s="1">
        <v>7</v>
      </c>
      <c r="DF154" s="1">
        <v>1</v>
      </c>
      <c r="DG154" s="1">
        <v>1</v>
      </c>
      <c r="DH154" s="1">
        <v>1</v>
      </c>
      <c r="DI154" s="1">
        <v>2</v>
      </c>
      <c r="DJ154" s="1">
        <v>2</v>
      </c>
      <c r="DK154" s="1">
        <v>1</v>
      </c>
      <c r="DL154" s="1">
        <v>6</v>
      </c>
      <c r="DM154" s="19">
        <v>6</v>
      </c>
      <c r="DN154" s="19">
        <v>2</v>
      </c>
      <c r="DO154" s="1">
        <v>2</v>
      </c>
      <c r="DP154" s="1">
        <v>7</v>
      </c>
      <c r="DQ154" s="1">
        <v>7</v>
      </c>
      <c r="DR154" s="1">
        <v>4</v>
      </c>
      <c r="DS154" s="1">
        <v>7</v>
      </c>
      <c r="DT154" s="1">
        <v>6</v>
      </c>
      <c r="DU154" s="27">
        <v>6</v>
      </c>
      <c r="DV154" s="27">
        <v>6</v>
      </c>
      <c r="DW154" s="27">
        <v>3</v>
      </c>
      <c r="DX154" s="27">
        <v>2</v>
      </c>
      <c r="DY154" s="27">
        <v>2</v>
      </c>
      <c r="DZ154" s="27">
        <v>4</v>
      </c>
      <c r="EA154" s="27">
        <v>2</v>
      </c>
      <c r="EB154" s="27">
        <v>2</v>
      </c>
      <c r="EC154" s="27">
        <v>7</v>
      </c>
      <c r="ED154" s="27">
        <v>4</v>
      </c>
      <c r="EE154" s="27">
        <v>6</v>
      </c>
      <c r="EF154" s="27">
        <v>6</v>
      </c>
      <c r="EG154" s="27">
        <v>7</v>
      </c>
      <c r="EH154" s="27">
        <v>7</v>
      </c>
      <c r="EI154" s="27">
        <v>7</v>
      </c>
      <c r="EJ154" s="27">
        <v>6</v>
      </c>
      <c r="EK154" s="27">
        <v>6</v>
      </c>
      <c r="EL154" s="27">
        <v>6</v>
      </c>
      <c r="EM154" s="27">
        <v>3</v>
      </c>
      <c r="EN154" s="27">
        <v>4</v>
      </c>
      <c r="EO154" s="27">
        <v>7</v>
      </c>
      <c r="EP154" s="27">
        <v>7</v>
      </c>
      <c r="EQ154" s="27">
        <v>7</v>
      </c>
      <c r="ER154" s="27">
        <v>6</v>
      </c>
      <c r="ES154" s="27">
        <v>4</v>
      </c>
      <c r="ET154" s="27">
        <v>4</v>
      </c>
      <c r="EU154" s="27">
        <v>4</v>
      </c>
      <c r="EV154" s="1">
        <v>19</v>
      </c>
      <c r="EW154" s="1">
        <v>2</v>
      </c>
      <c r="EY154" s="1">
        <v>8</v>
      </c>
      <c r="EZ154" s="9" t="s">
        <v>762</v>
      </c>
      <c r="FA154" s="1">
        <v>2</v>
      </c>
      <c r="FB154" s="9" t="s">
        <v>801</v>
      </c>
      <c r="FC154" s="1">
        <v>0</v>
      </c>
      <c r="FD154" s="1">
        <v>9</v>
      </c>
      <c r="FE154" s="4">
        <v>6.5</v>
      </c>
      <c r="FF154" s="4">
        <v>6.56</v>
      </c>
      <c r="FG154" s="4">
        <v>8.31</v>
      </c>
      <c r="FH154" s="4">
        <v>6.5</v>
      </c>
      <c r="FI154" s="4">
        <v>6.88</v>
      </c>
      <c r="FJ154" s="23">
        <v>6.75</v>
      </c>
      <c r="FK154" s="4">
        <v>4.5</v>
      </c>
      <c r="FL154" s="4">
        <v>6.63</v>
      </c>
      <c r="FM154" s="4">
        <v>4.63</v>
      </c>
      <c r="FN154" s="4">
        <v>6</v>
      </c>
      <c r="FO154" s="4">
        <v>5.92</v>
      </c>
      <c r="FP154" s="4">
        <v>6.42</v>
      </c>
      <c r="FQ154" s="4">
        <v>1.5</v>
      </c>
      <c r="FR154" s="4">
        <v>1.25</v>
      </c>
      <c r="FS154" s="4">
        <v>5.75</v>
      </c>
      <c r="FT154" s="4">
        <v>6.25</v>
      </c>
      <c r="FU154" s="4">
        <v>5.5</v>
      </c>
      <c r="FV154" s="4">
        <v>4.25</v>
      </c>
      <c r="FW154" s="4">
        <v>6.25</v>
      </c>
      <c r="FX154" s="4">
        <v>6</v>
      </c>
      <c r="FY154" s="4">
        <v>7</v>
      </c>
      <c r="FZ154" s="4">
        <v>6.75</v>
      </c>
      <c r="GA154" s="4">
        <v>1.75</v>
      </c>
      <c r="GB154" s="4">
        <v>6.58</v>
      </c>
      <c r="GC154" s="4">
        <v>6.5</v>
      </c>
      <c r="GD154" s="4">
        <v>4</v>
      </c>
      <c r="GE154" s="26"/>
      <c r="GF154" s="26"/>
      <c r="GG154" s="4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S154" s="3"/>
      <c r="HU154" s="3"/>
      <c r="HX154" s="3"/>
      <c r="IA154" s="3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3"/>
      <c r="JP154" s="3"/>
      <c r="JQ154" s="4"/>
      <c r="JR154" s="5"/>
      <c r="JS154" s="5"/>
      <c r="JT154" s="8"/>
      <c r="JU154" s="8"/>
      <c r="JV154" s="8"/>
      <c r="JW154" s="8"/>
      <c r="JX154" s="8"/>
      <c r="JY154" s="8"/>
      <c r="JZ154" s="8"/>
      <c r="KA154" s="8"/>
      <c r="KB154" s="8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</row>
    <row r="155" spans="1:374" s="1" customFormat="1" x14ac:dyDescent="0.35">
      <c r="A155" s="2">
        <v>43354</v>
      </c>
      <c r="B155" s="15" t="s">
        <v>127</v>
      </c>
      <c r="C155" s="15" t="s">
        <v>316</v>
      </c>
      <c r="D155" s="1">
        <v>154</v>
      </c>
      <c r="E155" s="3">
        <v>4</v>
      </c>
      <c r="F155" s="3">
        <v>3</v>
      </c>
      <c r="G155" s="3"/>
      <c r="H155" s="3">
        <v>39</v>
      </c>
      <c r="I155" s="3">
        <v>2</v>
      </c>
      <c r="J155" s="3"/>
      <c r="K155" s="18">
        <v>0</v>
      </c>
      <c r="L155" s="18">
        <v>0</v>
      </c>
      <c r="M155" s="18">
        <v>1</v>
      </c>
      <c r="N155" s="18">
        <v>1</v>
      </c>
      <c r="O155" s="18">
        <v>0</v>
      </c>
      <c r="P155" s="4">
        <v>0.4</v>
      </c>
      <c r="Q155" s="3">
        <v>60</v>
      </c>
      <c r="R155" s="3">
        <v>56</v>
      </c>
      <c r="S155" s="3">
        <v>54</v>
      </c>
      <c r="T155" s="3">
        <v>53</v>
      </c>
      <c r="U155" s="3">
        <v>66</v>
      </c>
      <c r="V155" s="3">
        <v>96</v>
      </c>
      <c r="W155" s="3">
        <v>107</v>
      </c>
      <c r="X155" s="3">
        <v>90</v>
      </c>
      <c r="Y155" s="3">
        <v>108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4"/>
      <c r="AJ155" s="4"/>
      <c r="AK155" s="4"/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9">
        <v>0</v>
      </c>
      <c r="AT155" s="19">
        <v>0</v>
      </c>
      <c r="AU155" s="19">
        <v>0</v>
      </c>
      <c r="AV155" s="19">
        <v>0</v>
      </c>
      <c r="AW155" s="19">
        <v>0</v>
      </c>
      <c r="AX155" s="19"/>
      <c r="AY155"/>
      <c r="AZ155"/>
      <c r="BA155"/>
      <c r="BB155"/>
      <c r="BC155"/>
      <c r="BP155" s="4"/>
      <c r="BQ155" s="4"/>
      <c r="BR155" s="4"/>
      <c r="BS155" s="4"/>
      <c r="BT155" s="4"/>
      <c r="BU155" s="4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1">
        <v>7</v>
      </c>
      <c r="CJ155" s="1">
        <v>7</v>
      </c>
      <c r="CK155" s="1">
        <v>6</v>
      </c>
      <c r="CL155" s="1">
        <v>5</v>
      </c>
      <c r="CM155" s="1">
        <v>5</v>
      </c>
      <c r="CN155" s="1">
        <v>5</v>
      </c>
      <c r="CO155" s="1">
        <v>3</v>
      </c>
      <c r="CP155" s="1">
        <v>2</v>
      </c>
      <c r="CQ155" s="1">
        <v>6</v>
      </c>
      <c r="CR155" s="1">
        <v>7</v>
      </c>
      <c r="CS155" s="1">
        <v>7</v>
      </c>
      <c r="CT155" s="1">
        <v>6</v>
      </c>
      <c r="CU155" s="1">
        <v>7</v>
      </c>
      <c r="CV155" s="1">
        <v>7</v>
      </c>
      <c r="CW155" s="1">
        <v>7</v>
      </c>
      <c r="CX155" s="1">
        <v>7</v>
      </c>
      <c r="CY155" s="1">
        <v>7</v>
      </c>
      <c r="CZ155" s="1">
        <v>6</v>
      </c>
      <c r="DA155" s="1">
        <v>6</v>
      </c>
      <c r="DB155" s="1">
        <v>7</v>
      </c>
      <c r="DC155" s="1">
        <v>6</v>
      </c>
      <c r="DD155" s="1">
        <v>7</v>
      </c>
      <c r="DE155" s="1">
        <v>7</v>
      </c>
      <c r="DF155" s="1">
        <v>5</v>
      </c>
      <c r="DG155" s="1">
        <v>5</v>
      </c>
      <c r="DH155" s="1">
        <v>5</v>
      </c>
      <c r="DI155" s="1">
        <v>4</v>
      </c>
      <c r="DJ155" s="1">
        <v>3</v>
      </c>
      <c r="DK155" s="1">
        <v>4</v>
      </c>
      <c r="DL155" s="1">
        <v>6</v>
      </c>
      <c r="DM155" s="19">
        <v>7</v>
      </c>
      <c r="DN155" s="19">
        <v>5</v>
      </c>
      <c r="DO155" s="1">
        <v>5</v>
      </c>
      <c r="DP155" s="1">
        <v>3</v>
      </c>
      <c r="DQ155" s="1">
        <v>7</v>
      </c>
      <c r="DR155" s="1">
        <v>5</v>
      </c>
      <c r="DS155" s="1">
        <v>7</v>
      </c>
      <c r="DT155" s="1">
        <v>7</v>
      </c>
      <c r="DU155" s="27">
        <v>7</v>
      </c>
      <c r="DV155" s="27">
        <v>7</v>
      </c>
      <c r="DW155" s="27">
        <v>6</v>
      </c>
      <c r="DX155" s="27">
        <v>1</v>
      </c>
      <c r="DY155" s="27">
        <v>3</v>
      </c>
      <c r="DZ155" s="27">
        <v>2</v>
      </c>
      <c r="EA155" s="27">
        <v>1</v>
      </c>
      <c r="EB155" s="27">
        <v>7</v>
      </c>
      <c r="EC155" s="27">
        <v>4</v>
      </c>
      <c r="ED155" s="27">
        <v>4</v>
      </c>
      <c r="EE155" s="27">
        <v>4</v>
      </c>
      <c r="EF155" s="27">
        <v>5</v>
      </c>
      <c r="EG155" s="27">
        <v>7</v>
      </c>
      <c r="EH155" s="27">
        <v>7</v>
      </c>
      <c r="EI155" s="27">
        <v>7</v>
      </c>
      <c r="EJ155" s="27">
        <v>7</v>
      </c>
      <c r="EK155" s="27">
        <v>7</v>
      </c>
      <c r="EL155" s="27">
        <v>7</v>
      </c>
      <c r="EM155" s="27">
        <v>1</v>
      </c>
      <c r="EN155" s="27">
        <v>1</v>
      </c>
      <c r="EO155" s="27">
        <v>6</v>
      </c>
      <c r="EP155" s="27">
        <v>6</v>
      </c>
      <c r="EQ155" s="27">
        <v>4</v>
      </c>
      <c r="ER155" s="27">
        <v>7</v>
      </c>
      <c r="ES155" s="27">
        <v>7</v>
      </c>
      <c r="ET155" s="27">
        <v>4</v>
      </c>
      <c r="EU155" s="27">
        <v>4</v>
      </c>
      <c r="EV155" s="1">
        <v>20</v>
      </c>
      <c r="EW155" s="1">
        <v>2</v>
      </c>
      <c r="EY155" s="1">
        <v>1</v>
      </c>
      <c r="EZ155" s="9"/>
      <c r="FA155" s="1">
        <v>3</v>
      </c>
      <c r="FB155" s="9" t="s">
        <v>875</v>
      </c>
      <c r="FC155" s="1">
        <v>0</v>
      </c>
      <c r="FD155" s="1">
        <v>3</v>
      </c>
      <c r="FE155" s="4"/>
      <c r="FF155" s="4"/>
      <c r="FG155" s="4"/>
      <c r="FH155" s="4"/>
      <c r="FI155" s="4"/>
      <c r="FJ155" s="23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26"/>
      <c r="GF155" s="26"/>
      <c r="GG155" s="4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S155" s="3"/>
      <c r="HU155" s="3"/>
      <c r="HX155" s="3"/>
      <c r="IA155" s="3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6"/>
      <c r="JP155" s="6"/>
      <c r="JQ155" s="6"/>
      <c r="JR155" s="6"/>
      <c r="JS155" s="6"/>
      <c r="JT155" s="8"/>
      <c r="JU155" s="8"/>
      <c r="JV155" s="8"/>
      <c r="JW155" s="8"/>
      <c r="JX155" s="8"/>
      <c r="JY155" s="8"/>
      <c r="JZ155" s="8"/>
      <c r="KA155" s="8"/>
      <c r="KB155" s="8"/>
      <c r="KC155" s="6"/>
      <c r="KD155" s="6"/>
      <c r="KE155" s="6"/>
      <c r="KF155" s="6"/>
      <c r="KG155" s="6"/>
      <c r="KH155" s="6"/>
      <c r="KI155" s="6"/>
      <c r="KJ155" s="6"/>
      <c r="KK155" s="6"/>
      <c r="KL155" s="4"/>
      <c r="KM155" s="4"/>
      <c r="KN155" s="6"/>
      <c r="KO155" s="4"/>
      <c r="KP155" s="4"/>
      <c r="KQ155" s="6"/>
      <c r="KR155" s="6"/>
      <c r="KS155" s="4"/>
      <c r="KU155" s="4"/>
      <c r="KV155" s="4"/>
      <c r="KW155" s="4"/>
      <c r="KX155" s="6"/>
      <c r="KY155" s="6"/>
      <c r="KZ155" s="6"/>
      <c r="LA155" s="4"/>
      <c r="LB155" s="6"/>
      <c r="LC155" s="6"/>
      <c r="LD155" s="4"/>
      <c r="LE155" s="4"/>
      <c r="LF155" s="6"/>
      <c r="LG155" s="6"/>
      <c r="LH155" s="6"/>
      <c r="LI155" s="6"/>
      <c r="LJ155" s="6"/>
      <c r="LK155" s="6"/>
      <c r="LL155" s="6"/>
      <c r="LM155" s="6"/>
      <c r="LN155" s="6"/>
      <c r="LO155" s="6"/>
      <c r="LP155" s="6"/>
      <c r="LQ155" s="6"/>
      <c r="LR155" s="6"/>
      <c r="LS155" s="6"/>
      <c r="LT155" s="6"/>
      <c r="LU155" s="6"/>
      <c r="LV155" s="6"/>
      <c r="LW155" s="6"/>
      <c r="LX155" s="6"/>
      <c r="LY155" s="6"/>
      <c r="LZ155" s="6"/>
      <c r="MA155" s="6"/>
      <c r="MB155" s="6"/>
      <c r="MC155" s="6"/>
      <c r="MD155" s="6"/>
      <c r="ME155" s="6"/>
      <c r="MF155" s="6"/>
      <c r="MG155" s="6"/>
      <c r="MH155" s="6"/>
      <c r="MI155" s="6"/>
      <c r="MJ155" s="6"/>
      <c r="MK155" s="6"/>
      <c r="ML155" s="6"/>
      <c r="MM155" s="6"/>
      <c r="MN155" s="6"/>
      <c r="MO155" s="6"/>
      <c r="MP155" s="6"/>
      <c r="MQ155" s="6"/>
      <c r="MR155" s="6"/>
      <c r="MS155" s="6"/>
      <c r="MT155" s="6"/>
      <c r="MU155" s="6"/>
      <c r="MV155" s="6"/>
      <c r="MW155" s="6"/>
      <c r="MX155" s="6"/>
      <c r="MY155" s="6"/>
      <c r="MZ155" s="6"/>
      <c r="NA155" s="6"/>
      <c r="NB155" s="6"/>
      <c r="NC155" s="6"/>
      <c r="ND155" s="6"/>
      <c r="NE155" s="6"/>
      <c r="NF155" s="6"/>
      <c r="NG155" s="6"/>
      <c r="NH155" s="6"/>
      <c r="NI155" s="6"/>
      <c r="NJ155" s="4"/>
    </row>
    <row r="156" spans="1:374" s="1" customFormat="1" x14ac:dyDescent="0.35">
      <c r="A156" s="2">
        <v>43354</v>
      </c>
      <c r="B156" s="15" t="s">
        <v>127</v>
      </c>
      <c r="C156" s="15" t="s">
        <v>317</v>
      </c>
      <c r="D156" s="1">
        <v>155</v>
      </c>
      <c r="E156" s="3">
        <v>4</v>
      </c>
      <c r="F156" s="3">
        <v>3</v>
      </c>
      <c r="G156" s="3"/>
      <c r="H156" s="3">
        <v>39</v>
      </c>
      <c r="I156" s="3">
        <v>3</v>
      </c>
      <c r="J156" s="3"/>
      <c r="K156" s="18">
        <v>1</v>
      </c>
      <c r="L156" s="18">
        <v>1</v>
      </c>
      <c r="M156" s="18">
        <v>1</v>
      </c>
      <c r="N156" s="18">
        <v>1</v>
      </c>
      <c r="O156" s="18">
        <v>0</v>
      </c>
      <c r="P156" s="4">
        <v>0.8</v>
      </c>
      <c r="Q156" s="3">
        <v>57</v>
      </c>
      <c r="R156" s="3">
        <v>55</v>
      </c>
      <c r="S156" s="3">
        <v>54</v>
      </c>
      <c r="T156" s="3">
        <v>97</v>
      </c>
      <c r="U156" s="3">
        <v>91</v>
      </c>
      <c r="V156" s="3">
        <v>122</v>
      </c>
      <c r="W156" s="3">
        <v>107</v>
      </c>
      <c r="X156" s="3">
        <v>112</v>
      </c>
      <c r="Y156" s="3">
        <v>114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4"/>
      <c r="AJ156" s="4"/>
      <c r="AK156" s="4"/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9">
        <v>0</v>
      </c>
      <c r="AT156" s="19">
        <v>0</v>
      </c>
      <c r="AU156" s="19">
        <v>0</v>
      </c>
      <c r="AV156" s="19">
        <v>0</v>
      </c>
      <c r="AW156" s="19">
        <v>0</v>
      </c>
      <c r="AX156" s="19"/>
      <c r="AY156"/>
      <c r="AZ156"/>
      <c r="BA156"/>
      <c r="BB156"/>
      <c r="BC156"/>
      <c r="BP156" s="4"/>
      <c r="BQ156" s="4"/>
      <c r="BR156" s="4"/>
      <c r="BS156" s="4"/>
      <c r="BT156" s="4"/>
      <c r="BU156" s="4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1">
        <v>7</v>
      </c>
      <c r="CJ156" s="1">
        <v>7</v>
      </c>
      <c r="CK156" s="1">
        <v>7</v>
      </c>
      <c r="CL156" s="1">
        <v>7</v>
      </c>
      <c r="CM156" s="1">
        <v>7</v>
      </c>
      <c r="CN156" s="1">
        <v>7</v>
      </c>
      <c r="CO156" s="1">
        <v>7</v>
      </c>
      <c r="CP156" s="1">
        <v>2</v>
      </c>
      <c r="CQ156" s="1">
        <v>7</v>
      </c>
      <c r="CR156" s="1">
        <v>7</v>
      </c>
      <c r="CS156" s="1">
        <v>7</v>
      </c>
      <c r="CT156" s="1">
        <v>6</v>
      </c>
      <c r="CU156" s="1">
        <v>7</v>
      </c>
      <c r="CV156" s="1">
        <v>7</v>
      </c>
      <c r="CW156" s="1">
        <v>6</v>
      </c>
      <c r="CX156" s="1">
        <v>7</v>
      </c>
      <c r="CY156" s="1">
        <v>7</v>
      </c>
      <c r="CZ156" s="1">
        <v>7</v>
      </c>
      <c r="DA156" s="1">
        <v>7</v>
      </c>
      <c r="DB156" s="1">
        <v>7</v>
      </c>
      <c r="DC156" s="1">
        <v>7</v>
      </c>
      <c r="DD156" s="1">
        <v>7</v>
      </c>
      <c r="DE156" s="1">
        <v>6</v>
      </c>
      <c r="DF156" s="1">
        <v>7</v>
      </c>
      <c r="DG156" s="1">
        <v>7</v>
      </c>
      <c r="DH156" s="1">
        <v>7</v>
      </c>
      <c r="DI156" s="1">
        <v>7</v>
      </c>
      <c r="DJ156" s="1">
        <v>7</v>
      </c>
      <c r="DK156" s="1">
        <v>7</v>
      </c>
      <c r="DL156" s="1">
        <v>7</v>
      </c>
      <c r="DM156" s="19">
        <v>7</v>
      </c>
      <c r="DN156" s="19">
        <v>7</v>
      </c>
      <c r="DO156" s="1">
        <v>7</v>
      </c>
      <c r="DP156" s="1">
        <v>7</v>
      </c>
      <c r="DQ156" s="1">
        <v>7</v>
      </c>
      <c r="DR156" s="1">
        <v>6</v>
      </c>
      <c r="DS156" s="1">
        <v>7</v>
      </c>
      <c r="DT156" s="1">
        <v>7</v>
      </c>
      <c r="DU156" s="27">
        <v>7</v>
      </c>
      <c r="DV156" s="27">
        <v>7</v>
      </c>
      <c r="DW156" s="27">
        <v>7</v>
      </c>
      <c r="DX156" s="27">
        <v>1</v>
      </c>
      <c r="DY156" s="27">
        <v>1</v>
      </c>
      <c r="DZ156" s="27">
        <v>2</v>
      </c>
      <c r="EA156" s="27">
        <v>1</v>
      </c>
      <c r="EB156" s="27">
        <v>7</v>
      </c>
      <c r="EC156" s="27">
        <v>7</v>
      </c>
      <c r="ED156" s="27">
        <v>7</v>
      </c>
      <c r="EE156" s="27">
        <v>1</v>
      </c>
      <c r="EF156" s="27">
        <v>7</v>
      </c>
      <c r="EG156" s="27">
        <v>7</v>
      </c>
      <c r="EH156" s="27">
        <v>7</v>
      </c>
      <c r="EI156" s="27">
        <v>7</v>
      </c>
      <c r="EJ156" s="27">
        <v>7</v>
      </c>
      <c r="EK156" s="27">
        <v>7</v>
      </c>
      <c r="EL156" s="27">
        <v>7</v>
      </c>
      <c r="EM156" s="27">
        <v>1</v>
      </c>
      <c r="EN156" s="27">
        <v>1</v>
      </c>
      <c r="EO156" s="27">
        <v>7</v>
      </c>
      <c r="EP156" s="27">
        <v>7</v>
      </c>
      <c r="EQ156" s="27">
        <v>7</v>
      </c>
      <c r="ER156" s="27">
        <v>7</v>
      </c>
      <c r="ES156" s="27">
        <v>7</v>
      </c>
      <c r="ET156" s="27">
        <v>4</v>
      </c>
      <c r="EU156" s="27">
        <v>4</v>
      </c>
      <c r="EV156" s="1">
        <v>18</v>
      </c>
      <c r="EW156" s="1">
        <v>2</v>
      </c>
      <c r="EY156" s="1">
        <v>1</v>
      </c>
      <c r="EZ156" s="9"/>
      <c r="FA156" s="1">
        <v>1</v>
      </c>
      <c r="FB156" s="9" t="s">
        <v>876</v>
      </c>
      <c r="FC156" s="1">
        <v>1</v>
      </c>
      <c r="FD156" s="1">
        <v>6</v>
      </c>
      <c r="FE156" s="4"/>
      <c r="FF156" s="4"/>
      <c r="FG156" s="4"/>
      <c r="FH156" s="4"/>
      <c r="FI156" s="4"/>
      <c r="FJ156" s="23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26"/>
      <c r="GF156" s="26"/>
      <c r="GG156" s="4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S156" s="3"/>
      <c r="HU156" s="3"/>
      <c r="HX156" s="3"/>
      <c r="IA156" s="3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6"/>
      <c r="JP156" s="6"/>
      <c r="JQ156" s="6"/>
      <c r="JR156" s="6"/>
      <c r="JS156" s="6"/>
      <c r="JT156" s="8"/>
      <c r="JU156" s="8"/>
      <c r="JV156" s="8"/>
      <c r="JW156" s="8"/>
      <c r="JX156" s="8"/>
      <c r="JY156" s="8"/>
      <c r="JZ156" s="8"/>
      <c r="KA156" s="8"/>
      <c r="KB156" s="8"/>
      <c r="KC156" s="6"/>
      <c r="KD156" s="6"/>
      <c r="KE156" s="6"/>
      <c r="KF156" s="6"/>
      <c r="KG156" s="6"/>
      <c r="KH156" s="6"/>
      <c r="KI156" s="6"/>
      <c r="KJ156" s="6"/>
      <c r="KK156" s="6"/>
      <c r="KL156" s="4"/>
      <c r="KM156" s="4"/>
      <c r="KN156" s="6"/>
      <c r="KO156" s="4"/>
      <c r="KP156" s="4"/>
      <c r="KQ156" s="6"/>
      <c r="KR156" s="6"/>
      <c r="KS156" s="4"/>
      <c r="KU156" s="4"/>
      <c r="KV156" s="4"/>
      <c r="KW156" s="4"/>
      <c r="KX156" s="6"/>
      <c r="KY156" s="6"/>
      <c r="KZ156" s="6"/>
      <c r="LA156" s="4"/>
      <c r="LB156" s="6"/>
      <c r="LC156" s="6"/>
      <c r="LD156" s="4"/>
      <c r="LE156" s="4"/>
      <c r="LF156" s="6"/>
      <c r="LG156" s="6"/>
      <c r="LH156" s="6"/>
      <c r="LI156" s="6"/>
      <c r="LJ156" s="6"/>
      <c r="LK156" s="6"/>
      <c r="LL156" s="6"/>
      <c r="LM156" s="6"/>
      <c r="LN156" s="6"/>
      <c r="LO156" s="6"/>
      <c r="LP156" s="6"/>
      <c r="LQ156" s="6"/>
      <c r="LR156" s="6"/>
      <c r="LS156" s="6"/>
      <c r="LT156" s="6"/>
      <c r="LU156" s="6"/>
      <c r="LV156" s="6"/>
      <c r="LW156" s="6"/>
      <c r="LX156" s="6"/>
      <c r="LY156" s="6"/>
      <c r="LZ156" s="6"/>
      <c r="MA156" s="6"/>
      <c r="MB156" s="6"/>
      <c r="MC156" s="6"/>
      <c r="MD156" s="6"/>
      <c r="ME156" s="6"/>
      <c r="MF156" s="6"/>
      <c r="MG156" s="6"/>
      <c r="MH156" s="6"/>
      <c r="MI156" s="6"/>
      <c r="MJ156" s="6"/>
      <c r="MK156" s="6"/>
      <c r="ML156" s="6"/>
      <c r="MM156" s="6"/>
      <c r="MN156" s="6"/>
      <c r="MO156" s="6"/>
      <c r="MP156" s="6"/>
      <c r="MQ156" s="6"/>
      <c r="MR156" s="6"/>
      <c r="MS156" s="6"/>
      <c r="MT156" s="6"/>
      <c r="MU156" s="6"/>
      <c r="MV156" s="6"/>
      <c r="MW156" s="6"/>
      <c r="MX156" s="6"/>
      <c r="MY156" s="6"/>
      <c r="MZ156" s="6"/>
      <c r="NA156" s="6"/>
      <c r="NB156" s="6"/>
      <c r="NC156" s="6"/>
      <c r="ND156" s="6"/>
      <c r="NE156" s="6"/>
      <c r="NF156" s="6"/>
      <c r="NG156" s="6"/>
      <c r="NH156" s="6"/>
      <c r="NI156" s="6"/>
      <c r="NJ156" s="4"/>
    </row>
    <row r="157" spans="1:374" s="1" customFormat="1" x14ac:dyDescent="0.35">
      <c r="A157" s="2">
        <v>43354</v>
      </c>
      <c r="B157" s="15" t="s">
        <v>127</v>
      </c>
      <c r="C157" s="15" t="s">
        <v>318</v>
      </c>
      <c r="D157" s="1">
        <v>156</v>
      </c>
      <c r="E157" s="3">
        <v>4</v>
      </c>
      <c r="F157" s="3">
        <v>3</v>
      </c>
      <c r="G157" s="3"/>
      <c r="H157" s="3">
        <v>39</v>
      </c>
      <c r="I157" s="3">
        <v>4</v>
      </c>
      <c r="J157" s="3"/>
      <c r="K157" s="18">
        <v>1</v>
      </c>
      <c r="L157" s="18">
        <v>1</v>
      </c>
      <c r="M157" s="18">
        <v>1</v>
      </c>
      <c r="N157" s="18">
        <v>1</v>
      </c>
      <c r="O157" s="18">
        <v>0</v>
      </c>
      <c r="P157" s="4">
        <v>0.8</v>
      </c>
      <c r="Q157" s="3">
        <v>28</v>
      </c>
      <c r="R157" s="3">
        <v>37</v>
      </c>
      <c r="S157" s="3">
        <v>51</v>
      </c>
      <c r="T157" s="3">
        <v>83</v>
      </c>
      <c r="U157" s="3">
        <v>76</v>
      </c>
      <c r="V157" s="3">
        <v>89</v>
      </c>
      <c r="W157" s="3">
        <v>91</v>
      </c>
      <c r="X157" s="3">
        <v>96</v>
      </c>
      <c r="Y157" s="3">
        <v>123</v>
      </c>
      <c r="Z157" s="3"/>
      <c r="AA157" s="3"/>
      <c r="AB157" s="3"/>
      <c r="AC157" s="3"/>
      <c r="AD157" s="3"/>
      <c r="AE157" s="3"/>
      <c r="AF157" s="3"/>
      <c r="AG157" s="3"/>
      <c r="AH157" s="3"/>
      <c r="AI157" s="4"/>
      <c r="AJ157" s="4"/>
      <c r="AK157" s="4"/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9">
        <v>0</v>
      </c>
      <c r="AT157" s="19">
        <v>0</v>
      </c>
      <c r="AU157" s="19">
        <v>0</v>
      </c>
      <c r="AV157" s="19">
        <v>0</v>
      </c>
      <c r="AW157" s="19">
        <v>0</v>
      </c>
      <c r="AX157" s="19"/>
      <c r="AY157"/>
      <c r="AZ157"/>
      <c r="BA157"/>
      <c r="BB157"/>
      <c r="BC157"/>
      <c r="BP157" s="4"/>
      <c r="BQ157" s="4"/>
      <c r="BR157" s="4"/>
      <c r="BS157" s="4"/>
      <c r="BT157" s="4"/>
      <c r="BU157" s="4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1">
        <v>7</v>
      </c>
      <c r="CJ157" s="1">
        <v>7</v>
      </c>
      <c r="CK157" s="1">
        <v>7</v>
      </c>
      <c r="CL157" s="1">
        <v>7</v>
      </c>
      <c r="CM157" s="1">
        <v>6</v>
      </c>
      <c r="CN157" s="1">
        <v>7</v>
      </c>
      <c r="CO157" s="1">
        <v>6</v>
      </c>
      <c r="CP157" s="1">
        <v>2</v>
      </c>
      <c r="CQ157" s="1">
        <v>6</v>
      </c>
      <c r="CR157" s="1">
        <v>7</v>
      </c>
      <c r="CS157" s="1">
        <v>7</v>
      </c>
      <c r="CT157" s="1">
        <v>6</v>
      </c>
      <c r="CU157" s="1">
        <v>7</v>
      </c>
      <c r="CV157" s="1">
        <v>7</v>
      </c>
      <c r="CW157" s="1">
        <v>7</v>
      </c>
      <c r="CX157" s="1">
        <v>7</v>
      </c>
      <c r="CY157" s="1">
        <v>6</v>
      </c>
      <c r="CZ157" s="1">
        <v>6</v>
      </c>
      <c r="DA157" s="1">
        <v>5</v>
      </c>
      <c r="DB157" s="1">
        <v>6</v>
      </c>
      <c r="DC157" s="1">
        <v>7</v>
      </c>
      <c r="DD157" s="1">
        <v>7</v>
      </c>
      <c r="DE157" s="1">
        <v>7</v>
      </c>
      <c r="DF157" s="1">
        <v>4</v>
      </c>
      <c r="DG157" s="1">
        <v>6</v>
      </c>
      <c r="DH157" s="1">
        <v>4</v>
      </c>
      <c r="DI157" s="1">
        <v>6</v>
      </c>
      <c r="DJ157" s="1">
        <v>6</v>
      </c>
      <c r="DK157" s="1">
        <v>6</v>
      </c>
      <c r="DL157" s="1">
        <v>7</v>
      </c>
      <c r="DM157" s="19">
        <v>7</v>
      </c>
      <c r="DN157" s="19">
        <v>6</v>
      </c>
      <c r="DO157" s="1">
        <v>3</v>
      </c>
      <c r="DP157" s="1">
        <v>5</v>
      </c>
      <c r="DQ157" s="1">
        <v>5</v>
      </c>
      <c r="DR157" s="1">
        <v>6</v>
      </c>
      <c r="DS157" s="1">
        <v>6</v>
      </c>
      <c r="DT157" s="1">
        <v>3</v>
      </c>
      <c r="DU157" s="27">
        <v>7</v>
      </c>
      <c r="DV157" s="27">
        <v>7</v>
      </c>
      <c r="DW157" s="27">
        <v>7</v>
      </c>
      <c r="DX157" s="27">
        <v>1</v>
      </c>
      <c r="DY157" s="27">
        <v>1</v>
      </c>
      <c r="DZ157" s="27">
        <v>1</v>
      </c>
      <c r="EA157" s="27">
        <v>1</v>
      </c>
      <c r="EB157" s="27">
        <v>7</v>
      </c>
      <c r="EC157" s="27">
        <v>7</v>
      </c>
      <c r="ED157" s="27">
        <v>7</v>
      </c>
      <c r="EE157" s="27">
        <v>6</v>
      </c>
      <c r="EF157" s="27">
        <v>7</v>
      </c>
      <c r="EG157" s="27">
        <v>3</v>
      </c>
      <c r="EH157" s="27">
        <v>7</v>
      </c>
      <c r="EI157" s="27">
        <v>7</v>
      </c>
      <c r="EJ157" s="27">
        <v>7</v>
      </c>
      <c r="EK157" s="27">
        <v>7</v>
      </c>
      <c r="EL157" s="27">
        <v>7</v>
      </c>
      <c r="EM157" s="27">
        <v>1</v>
      </c>
      <c r="EN157" s="27">
        <v>2</v>
      </c>
      <c r="EO157" s="27">
        <v>7</v>
      </c>
      <c r="EP157" s="27">
        <v>7</v>
      </c>
      <c r="EQ157" s="27">
        <v>7</v>
      </c>
      <c r="ER157" s="27">
        <v>7</v>
      </c>
      <c r="ES157" s="27">
        <v>7</v>
      </c>
      <c r="ET157" s="27">
        <v>4</v>
      </c>
      <c r="EU157" s="27">
        <v>4</v>
      </c>
      <c r="EV157" s="1">
        <v>18</v>
      </c>
      <c r="EW157" s="1">
        <v>2</v>
      </c>
      <c r="EY157" s="1">
        <v>1</v>
      </c>
      <c r="EZ157" s="9"/>
      <c r="FA157" s="1">
        <v>1</v>
      </c>
      <c r="FB157" s="9" t="s">
        <v>877</v>
      </c>
      <c r="FC157" s="1">
        <v>1</v>
      </c>
      <c r="FD157" s="1">
        <v>6</v>
      </c>
      <c r="FE157" s="4"/>
      <c r="FF157" s="4"/>
      <c r="FG157" s="4"/>
      <c r="FH157" s="4"/>
      <c r="FI157" s="4"/>
      <c r="FJ157" s="23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26"/>
      <c r="GF157" s="26"/>
      <c r="GG157" s="4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S157" s="3"/>
      <c r="HU157" s="3"/>
      <c r="HX157" s="3"/>
      <c r="IA157" s="3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6"/>
      <c r="JP157" s="6"/>
      <c r="JQ157" s="6"/>
      <c r="JR157" s="6"/>
      <c r="JS157" s="6"/>
      <c r="JT157" s="8"/>
      <c r="JU157" s="8"/>
      <c r="JV157" s="8"/>
      <c r="JW157" s="8"/>
      <c r="JX157" s="8"/>
      <c r="JY157" s="8"/>
      <c r="JZ157" s="8"/>
      <c r="KA157" s="8"/>
      <c r="KB157" s="8"/>
      <c r="KC157" s="6"/>
      <c r="KD157" s="6"/>
      <c r="KE157" s="6"/>
      <c r="KF157" s="6"/>
      <c r="KG157" s="6"/>
      <c r="KH157" s="6"/>
      <c r="KI157" s="6"/>
      <c r="KJ157" s="6"/>
      <c r="KK157" s="6"/>
      <c r="KL157" s="4"/>
      <c r="KM157" s="4"/>
      <c r="KN157" s="6"/>
      <c r="KO157" s="4"/>
      <c r="KP157" s="4"/>
      <c r="KQ157" s="6"/>
      <c r="KR157" s="6"/>
      <c r="KS157" s="4"/>
      <c r="KU157" s="4"/>
      <c r="KV157" s="4"/>
      <c r="KW157" s="4"/>
      <c r="KX157" s="6"/>
      <c r="KY157" s="6"/>
      <c r="KZ157" s="6"/>
      <c r="LA157" s="4"/>
      <c r="LB157" s="6"/>
      <c r="LC157" s="6"/>
      <c r="LD157" s="4"/>
      <c r="LE157" s="4"/>
      <c r="LF157" s="6"/>
      <c r="LG157" s="6"/>
      <c r="LH157" s="6"/>
      <c r="LI157" s="6"/>
      <c r="LJ157" s="6"/>
      <c r="LK157" s="6"/>
      <c r="LL157" s="6"/>
      <c r="LM157" s="6"/>
      <c r="LN157" s="6"/>
      <c r="LO157" s="6"/>
      <c r="LP157" s="6"/>
      <c r="LQ157" s="6"/>
      <c r="LR157" s="6"/>
      <c r="LS157" s="6"/>
      <c r="LT157" s="6"/>
      <c r="LU157" s="6"/>
      <c r="LV157" s="6"/>
      <c r="LW157" s="6"/>
      <c r="LX157" s="6"/>
      <c r="LY157" s="6"/>
      <c r="LZ157" s="6"/>
      <c r="MA157" s="6"/>
      <c r="MB157" s="6"/>
      <c r="MC157" s="6"/>
      <c r="MD157" s="6"/>
      <c r="ME157" s="6"/>
      <c r="MF157" s="6"/>
      <c r="MG157" s="6"/>
      <c r="MH157" s="6"/>
      <c r="MI157" s="6"/>
      <c r="MJ157" s="6"/>
      <c r="MK157" s="6"/>
      <c r="ML157" s="6"/>
      <c r="MM157" s="6"/>
      <c r="MN157" s="6"/>
      <c r="MO157" s="6"/>
      <c r="MP157" s="6"/>
      <c r="MQ157" s="6"/>
      <c r="MR157" s="6"/>
      <c r="MS157" s="6"/>
      <c r="MT157" s="6"/>
      <c r="MU157" s="6"/>
      <c r="MV157" s="6"/>
      <c r="MW157" s="6"/>
      <c r="MX157" s="6"/>
      <c r="MY157" s="6"/>
      <c r="MZ157" s="6"/>
      <c r="NA157" s="6"/>
      <c r="NB157" s="6"/>
      <c r="NC157" s="6"/>
      <c r="ND157" s="6"/>
      <c r="NE157" s="6"/>
      <c r="NF157" s="6"/>
      <c r="NG157" s="6"/>
      <c r="NH157" s="6"/>
      <c r="NI157" s="6"/>
      <c r="NJ157" s="4"/>
    </row>
    <row r="158" spans="1:374" s="1" customFormat="1" x14ac:dyDescent="0.35">
      <c r="A158" s="2">
        <v>43363</v>
      </c>
      <c r="B158" s="15" t="s">
        <v>128</v>
      </c>
      <c r="C158" s="15" t="s">
        <v>319</v>
      </c>
      <c r="D158" s="1">
        <v>157</v>
      </c>
      <c r="E158" s="3">
        <v>4</v>
      </c>
      <c r="F158" s="3">
        <v>3</v>
      </c>
      <c r="G158" s="3">
        <v>0</v>
      </c>
      <c r="H158" s="3">
        <v>40</v>
      </c>
      <c r="I158" s="3">
        <v>1</v>
      </c>
      <c r="J158" s="3">
        <v>1</v>
      </c>
      <c r="K158" s="3">
        <v>0</v>
      </c>
      <c r="L158" s="3">
        <v>1</v>
      </c>
      <c r="M158" s="3">
        <v>1</v>
      </c>
      <c r="N158" s="3">
        <v>1</v>
      </c>
      <c r="O158" s="3">
        <v>1</v>
      </c>
      <c r="P158" s="4">
        <v>0.8</v>
      </c>
      <c r="Q158" s="3">
        <v>45</v>
      </c>
      <c r="R158" s="3">
        <v>63</v>
      </c>
      <c r="S158" s="3">
        <v>44</v>
      </c>
      <c r="T158" s="3">
        <v>43</v>
      </c>
      <c r="U158" s="3">
        <v>41</v>
      </c>
      <c r="V158" s="3">
        <v>42</v>
      </c>
      <c r="W158" s="3">
        <v>47</v>
      </c>
      <c r="X158" s="3">
        <v>51</v>
      </c>
      <c r="Y158" s="3">
        <v>51</v>
      </c>
      <c r="Z158" s="3">
        <v>204</v>
      </c>
      <c r="AA158" s="3">
        <v>211</v>
      </c>
      <c r="AB158" s="3">
        <v>191</v>
      </c>
      <c r="AC158" s="3">
        <v>197</v>
      </c>
      <c r="AD158" s="3">
        <v>205</v>
      </c>
      <c r="AE158" s="3">
        <v>192</v>
      </c>
      <c r="AF158" s="3">
        <v>189</v>
      </c>
      <c r="AG158" s="3">
        <v>192</v>
      </c>
      <c r="AH158" s="3">
        <v>193</v>
      </c>
      <c r="AI158" s="4">
        <v>202</v>
      </c>
      <c r="AJ158" s="4">
        <v>198</v>
      </c>
      <c r="AK158" s="4">
        <v>191.33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9">
        <f t="shared" ref="AX158:BC158" si="78">AL158+AL159+AL160+AL161</f>
        <v>0</v>
      </c>
      <c r="AY158" s="19">
        <f t="shared" si="78"/>
        <v>0</v>
      </c>
      <c r="AZ158" s="19">
        <f t="shared" si="78"/>
        <v>0</v>
      </c>
      <c r="BA158" s="19">
        <f t="shared" si="78"/>
        <v>0</v>
      </c>
      <c r="BB158" s="19">
        <f t="shared" si="78"/>
        <v>0</v>
      </c>
      <c r="BC158" s="19">
        <f t="shared" si="78"/>
        <v>0</v>
      </c>
      <c r="BD158" s="1">
        <f>AX158*3</f>
        <v>0</v>
      </c>
      <c r="BE158" s="1">
        <f t="shared" ref="BE158:BI158" si="79">AY158*3</f>
        <v>0</v>
      </c>
      <c r="BF158" s="1">
        <f t="shared" si="79"/>
        <v>0</v>
      </c>
      <c r="BG158" s="1">
        <f t="shared" si="79"/>
        <v>0</v>
      </c>
      <c r="BH158" s="1">
        <f t="shared" si="79"/>
        <v>0</v>
      </c>
      <c r="BI158" s="1">
        <f t="shared" si="79"/>
        <v>0</v>
      </c>
      <c r="BJ158" s="1">
        <f>AX158+AY158+AZ158</f>
        <v>0</v>
      </c>
      <c r="BK158" s="1">
        <f>BA158+BB158+BC158</f>
        <v>0</v>
      </c>
      <c r="BL158" s="1">
        <f>BJ158*3</f>
        <v>0</v>
      </c>
      <c r="BM158" s="1">
        <f>BK158*3</f>
        <v>0</v>
      </c>
      <c r="BN158" s="1">
        <f>BL158/3</f>
        <v>0</v>
      </c>
      <c r="BO158" s="1">
        <f>BM158/3</f>
        <v>0</v>
      </c>
      <c r="BP158" s="4">
        <v>202</v>
      </c>
      <c r="BQ158" s="4">
        <v>198</v>
      </c>
      <c r="BR158" s="4">
        <v>191.33333333333334</v>
      </c>
      <c r="BS158" s="4">
        <v>198</v>
      </c>
      <c r="BT158" s="4">
        <v>191.33</v>
      </c>
      <c r="BU158" s="4">
        <v>4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1</v>
      </c>
      <c r="CE158" s="3">
        <v>1</v>
      </c>
      <c r="CF158" s="3">
        <v>1</v>
      </c>
      <c r="CG158" s="3">
        <v>1</v>
      </c>
      <c r="CH158" s="3">
        <v>0</v>
      </c>
      <c r="CI158" s="1">
        <v>7</v>
      </c>
      <c r="CJ158" s="1">
        <v>7</v>
      </c>
      <c r="CK158" s="1">
        <v>7</v>
      </c>
      <c r="CL158" s="1">
        <v>6</v>
      </c>
      <c r="CM158" s="1">
        <v>6</v>
      </c>
      <c r="CN158" s="1">
        <v>6</v>
      </c>
      <c r="CO158" s="1">
        <v>6</v>
      </c>
      <c r="CP158" s="1">
        <v>1</v>
      </c>
      <c r="CQ158" s="1">
        <v>7</v>
      </c>
      <c r="CR158" s="1">
        <v>7</v>
      </c>
      <c r="CS158" s="1">
        <v>7</v>
      </c>
      <c r="CT158" s="1">
        <v>7</v>
      </c>
      <c r="CU158" s="1">
        <v>7</v>
      </c>
      <c r="CV158" s="1">
        <v>7</v>
      </c>
      <c r="CW158" s="1">
        <v>7</v>
      </c>
      <c r="CX158" s="1">
        <v>7</v>
      </c>
      <c r="CY158" s="1">
        <v>7</v>
      </c>
      <c r="CZ158" s="1">
        <v>7</v>
      </c>
      <c r="DA158" s="1">
        <v>7</v>
      </c>
      <c r="DB158" s="1">
        <v>7</v>
      </c>
      <c r="DC158" s="1">
        <v>6</v>
      </c>
      <c r="DD158" s="1">
        <v>6</v>
      </c>
      <c r="DE158" s="1">
        <v>6</v>
      </c>
      <c r="DF158" s="1">
        <v>6</v>
      </c>
      <c r="DG158" s="1">
        <v>4</v>
      </c>
      <c r="DH158" s="1">
        <v>6</v>
      </c>
      <c r="DI158" s="1">
        <v>5</v>
      </c>
      <c r="DJ158" s="1">
        <v>5</v>
      </c>
      <c r="DK158" s="1">
        <v>6</v>
      </c>
      <c r="DL158" s="1">
        <v>7</v>
      </c>
      <c r="DM158" s="19">
        <v>7</v>
      </c>
      <c r="DN158" s="19">
        <v>3</v>
      </c>
      <c r="DO158" s="1">
        <v>2</v>
      </c>
      <c r="DP158" s="1">
        <v>7</v>
      </c>
      <c r="DQ158" s="1">
        <v>7</v>
      </c>
      <c r="DR158" s="1">
        <v>7</v>
      </c>
      <c r="DS158" s="1">
        <v>7</v>
      </c>
      <c r="DT158" s="1">
        <v>6</v>
      </c>
      <c r="DU158" s="27">
        <v>6</v>
      </c>
      <c r="DV158" s="27">
        <v>7</v>
      </c>
      <c r="DW158" s="27">
        <v>6</v>
      </c>
      <c r="DX158" s="27">
        <v>4</v>
      </c>
      <c r="DY158" s="27">
        <v>2</v>
      </c>
      <c r="DZ158" s="27">
        <v>6</v>
      </c>
      <c r="EA158" s="27">
        <v>1</v>
      </c>
      <c r="EB158" s="27">
        <v>5</v>
      </c>
      <c r="EC158" s="27">
        <v>6</v>
      </c>
      <c r="ED158" s="27">
        <v>2</v>
      </c>
      <c r="EE158" s="27">
        <v>7</v>
      </c>
      <c r="EF158" s="27">
        <v>6</v>
      </c>
      <c r="EG158" s="27">
        <v>7</v>
      </c>
      <c r="EH158" s="27">
        <v>7</v>
      </c>
      <c r="EI158" s="27">
        <v>6</v>
      </c>
      <c r="EJ158" s="27">
        <v>7</v>
      </c>
      <c r="EK158" s="27">
        <v>7</v>
      </c>
      <c r="EL158" s="27">
        <v>7</v>
      </c>
      <c r="EM158" s="27">
        <v>2</v>
      </c>
      <c r="EN158" s="27">
        <v>2</v>
      </c>
      <c r="EO158" s="27">
        <v>7</v>
      </c>
      <c r="EP158" s="27">
        <v>7</v>
      </c>
      <c r="EQ158" s="27">
        <v>5</v>
      </c>
      <c r="ER158" s="27">
        <v>7</v>
      </c>
      <c r="ES158" s="27">
        <v>6</v>
      </c>
      <c r="ET158" s="27">
        <v>4</v>
      </c>
      <c r="EU158" s="27">
        <v>4</v>
      </c>
      <c r="EV158" s="1">
        <v>18</v>
      </c>
      <c r="EW158" s="1">
        <v>2</v>
      </c>
      <c r="EY158" s="1">
        <v>1</v>
      </c>
      <c r="EZ158" s="9"/>
      <c r="FA158" s="1">
        <v>1</v>
      </c>
      <c r="FB158" s="9" t="s">
        <v>838</v>
      </c>
      <c r="FC158" s="1">
        <v>1</v>
      </c>
      <c r="FD158" s="1">
        <v>9</v>
      </c>
      <c r="FE158" s="4">
        <v>6.29</v>
      </c>
      <c r="FF158" s="4">
        <v>6.63</v>
      </c>
      <c r="FG158" s="4">
        <v>8</v>
      </c>
      <c r="FH158" s="4">
        <v>7</v>
      </c>
      <c r="FI158" s="4">
        <v>6.63</v>
      </c>
      <c r="FJ158" s="23">
        <v>6.75</v>
      </c>
      <c r="FK158" s="4">
        <v>5.71</v>
      </c>
      <c r="FL158" s="4">
        <v>6.5</v>
      </c>
      <c r="FM158" s="4">
        <v>5.63</v>
      </c>
      <c r="FN158" s="4">
        <v>6.38</v>
      </c>
      <c r="FO158" s="4">
        <v>6.83</v>
      </c>
      <c r="FP158" s="4">
        <v>6.08</v>
      </c>
      <c r="FQ158" s="4">
        <v>3.13</v>
      </c>
      <c r="FR158" s="4">
        <v>1.25</v>
      </c>
      <c r="FS158" s="4">
        <v>6.25</v>
      </c>
      <c r="FT158" s="4">
        <v>6.5</v>
      </c>
      <c r="FU158" s="4">
        <v>2.75</v>
      </c>
      <c r="FV158" s="4">
        <v>5.25</v>
      </c>
      <c r="FW158" s="4">
        <v>6</v>
      </c>
      <c r="FX158" s="4">
        <v>6.5</v>
      </c>
      <c r="FY158" s="4">
        <v>6.88</v>
      </c>
      <c r="FZ158" s="4">
        <v>7</v>
      </c>
      <c r="GA158" s="4">
        <v>2.25</v>
      </c>
      <c r="GB158" s="4">
        <v>6.17</v>
      </c>
      <c r="GC158" s="4">
        <v>6.63</v>
      </c>
      <c r="GD158" s="4">
        <v>4</v>
      </c>
      <c r="GE158" s="26"/>
      <c r="GF158" s="26"/>
      <c r="GG158" s="4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S158" s="3"/>
      <c r="HU158" s="3"/>
      <c r="HX158" s="3"/>
      <c r="IA158" s="3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3"/>
      <c r="JP158" s="3"/>
      <c r="JQ158" s="4"/>
      <c r="JR158" s="5"/>
      <c r="JS158" s="5"/>
      <c r="JT158" s="8"/>
      <c r="JU158" s="8"/>
      <c r="JV158" s="8"/>
      <c r="JW158" s="8"/>
      <c r="JX158" s="8"/>
      <c r="JY158" s="8"/>
      <c r="JZ158" s="8"/>
      <c r="KA158" s="8"/>
      <c r="KB158" s="8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  <c r="NC158" s="4"/>
      <c r="ND158" s="4"/>
      <c r="NE158" s="4"/>
      <c r="NF158" s="4"/>
      <c r="NG158" s="4"/>
      <c r="NH158" s="4"/>
      <c r="NI158" s="4"/>
      <c r="NJ158" s="4"/>
    </row>
    <row r="159" spans="1:374" s="1" customFormat="1" x14ac:dyDescent="0.35">
      <c r="A159" s="2">
        <v>43363</v>
      </c>
      <c r="B159" s="15" t="s">
        <v>128</v>
      </c>
      <c r="C159" s="15" t="s">
        <v>320</v>
      </c>
      <c r="D159" s="1">
        <v>158</v>
      </c>
      <c r="E159" s="3">
        <v>4</v>
      </c>
      <c r="F159" s="3">
        <v>3</v>
      </c>
      <c r="G159" s="3"/>
      <c r="H159" s="3">
        <v>40</v>
      </c>
      <c r="I159" s="3">
        <v>2</v>
      </c>
      <c r="J159" s="3"/>
      <c r="K159" s="3">
        <v>1</v>
      </c>
      <c r="L159" s="3">
        <v>1</v>
      </c>
      <c r="M159" s="3">
        <v>1</v>
      </c>
      <c r="N159" s="3">
        <v>1</v>
      </c>
      <c r="O159" s="3">
        <v>0</v>
      </c>
      <c r="P159" s="4">
        <v>0.8</v>
      </c>
      <c r="Q159" s="3">
        <v>27</v>
      </c>
      <c r="R159" s="3">
        <v>39</v>
      </c>
      <c r="S159" s="3">
        <v>43</v>
      </c>
      <c r="T159" s="3">
        <v>43</v>
      </c>
      <c r="U159" s="3">
        <v>39</v>
      </c>
      <c r="V159" s="3">
        <v>43</v>
      </c>
      <c r="W159" s="3">
        <v>41</v>
      </c>
      <c r="X159" s="3">
        <v>41</v>
      </c>
      <c r="Y159" s="3">
        <v>46</v>
      </c>
      <c r="Z159" s="3"/>
      <c r="AA159" s="3"/>
      <c r="AB159" s="3"/>
      <c r="AC159" s="3"/>
      <c r="AD159" s="3"/>
      <c r="AE159" s="3"/>
      <c r="AF159" s="3"/>
      <c r="AG159" s="3"/>
      <c r="AH159" s="3"/>
      <c r="AI159" s="4"/>
      <c r="AJ159" s="4"/>
      <c r="AK159" s="4"/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9"/>
      <c r="AY159"/>
      <c r="AZ159"/>
      <c r="BA159"/>
      <c r="BB159"/>
      <c r="BC159"/>
      <c r="BP159" s="4"/>
      <c r="BQ159" s="4"/>
      <c r="BR159" s="4"/>
      <c r="BS159" s="4"/>
      <c r="BT159" s="4"/>
      <c r="BU159" s="4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1">
        <v>7</v>
      </c>
      <c r="CJ159" s="1">
        <v>7</v>
      </c>
      <c r="CK159" s="1">
        <v>6</v>
      </c>
      <c r="CL159" s="1">
        <v>6</v>
      </c>
      <c r="CM159" s="1">
        <v>6</v>
      </c>
      <c r="CN159" s="1">
        <v>6</v>
      </c>
      <c r="CO159" s="1">
        <v>6</v>
      </c>
      <c r="CP159" s="1">
        <v>2</v>
      </c>
      <c r="CQ159" s="1">
        <v>5</v>
      </c>
      <c r="CR159" s="1">
        <v>6</v>
      </c>
      <c r="CS159" s="1">
        <v>6</v>
      </c>
      <c r="CT159" s="1">
        <v>6</v>
      </c>
      <c r="CU159" s="1">
        <v>5</v>
      </c>
      <c r="CV159" s="1">
        <v>5</v>
      </c>
      <c r="CW159" s="1">
        <v>5</v>
      </c>
      <c r="CX159" s="1">
        <v>5</v>
      </c>
      <c r="CY159" s="1">
        <v>6</v>
      </c>
      <c r="CZ159" s="1">
        <v>7</v>
      </c>
      <c r="DA159" s="1">
        <v>7</v>
      </c>
      <c r="DB159" s="1">
        <v>7</v>
      </c>
      <c r="DC159" s="1">
        <v>7</v>
      </c>
      <c r="DD159" s="1">
        <v>6</v>
      </c>
      <c r="DE159" s="1">
        <v>7</v>
      </c>
      <c r="DF159" s="1">
        <v>7</v>
      </c>
      <c r="DG159" s="1">
        <v>7</v>
      </c>
      <c r="DH159" s="1">
        <v>6</v>
      </c>
      <c r="DI159" s="1">
        <v>7</v>
      </c>
      <c r="DJ159" s="1">
        <v>7</v>
      </c>
      <c r="DK159" s="1">
        <v>5</v>
      </c>
      <c r="DL159" s="1">
        <v>7</v>
      </c>
      <c r="DM159" s="19">
        <v>7</v>
      </c>
      <c r="DN159" s="19">
        <v>7</v>
      </c>
      <c r="DO159" s="1">
        <v>7</v>
      </c>
      <c r="DP159" s="1">
        <v>5</v>
      </c>
      <c r="DQ159" s="1">
        <v>7</v>
      </c>
      <c r="DR159" s="1">
        <v>7</v>
      </c>
      <c r="DS159" s="1">
        <v>7</v>
      </c>
      <c r="DT159" s="1">
        <v>6</v>
      </c>
      <c r="DU159" s="27">
        <v>7</v>
      </c>
      <c r="DV159" s="27">
        <v>7</v>
      </c>
      <c r="DW159" s="27">
        <v>7</v>
      </c>
      <c r="DX159" s="27">
        <v>4</v>
      </c>
      <c r="DY159" s="27">
        <v>1</v>
      </c>
      <c r="DZ159" s="27">
        <v>7</v>
      </c>
      <c r="EA159" s="27">
        <v>2</v>
      </c>
      <c r="EB159" s="27">
        <v>6</v>
      </c>
      <c r="EC159" s="27">
        <v>7</v>
      </c>
      <c r="ED159" s="27">
        <v>2</v>
      </c>
      <c r="EE159" s="27">
        <v>7</v>
      </c>
      <c r="EF159" s="27">
        <v>7</v>
      </c>
      <c r="EG159" s="27">
        <v>7</v>
      </c>
      <c r="EH159" s="27">
        <v>7</v>
      </c>
      <c r="EI159" s="27">
        <v>7</v>
      </c>
      <c r="EJ159" s="27">
        <v>7</v>
      </c>
      <c r="EK159" s="27">
        <v>7</v>
      </c>
      <c r="EL159" s="27">
        <v>7</v>
      </c>
      <c r="EM159" s="27">
        <v>1</v>
      </c>
      <c r="EN159" s="27">
        <v>1</v>
      </c>
      <c r="EO159" s="27">
        <v>6</v>
      </c>
      <c r="EP159" s="27">
        <v>6</v>
      </c>
      <c r="EQ159" s="27">
        <v>6</v>
      </c>
      <c r="ER159" s="27">
        <v>7</v>
      </c>
      <c r="ES159" s="27">
        <v>7</v>
      </c>
      <c r="ET159" s="27">
        <v>4</v>
      </c>
      <c r="EU159" s="27">
        <v>4</v>
      </c>
      <c r="EV159" s="1">
        <v>18</v>
      </c>
      <c r="EW159" s="1">
        <v>2</v>
      </c>
      <c r="EY159" s="1">
        <v>1</v>
      </c>
      <c r="EZ159" s="9"/>
      <c r="FA159" s="1">
        <v>1</v>
      </c>
      <c r="FB159" s="9" t="s">
        <v>878</v>
      </c>
      <c r="FC159" s="1">
        <v>1</v>
      </c>
      <c r="FD159" s="1">
        <v>7</v>
      </c>
      <c r="FE159" s="4"/>
      <c r="FF159" s="4"/>
      <c r="FG159" s="4"/>
      <c r="FH159" s="4"/>
      <c r="FI159" s="4"/>
      <c r="FJ159" s="23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26"/>
      <c r="GF159" s="26"/>
      <c r="GG159" s="4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S159" s="3"/>
      <c r="HU159" s="3"/>
      <c r="HX159" s="3"/>
      <c r="IA159" s="3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6"/>
      <c r="JP159" s="6"/>
      <c r="JQ159" s="6"/>
      <c r="JR159" s="6"/>
      <c r="JS159" s="6"/>
      <c r="JT159" s="8"/>
      <c r="JU159" s="8"/>
      <c r="JV159" s="8"/>
      <c r="JW159" s="8"/>
      <c r="JX159" s="8"/>
      <c r="JY159" s="8"/>
      <c r="JZ159" s="8"/>
      <c r="KA159" s="8"/>
      <c r="KB159" s="8"/>
      <c r="KC159" s="6"/>
      <c r="KD159" s="6"/>
      <c r="KE159" s="6"/>
      <c r="KF159" s="6"/>
      <c r="KG159" s="6"/>
      <c r="KH159" s="6"/>
      <c r="KI159" s="6"/>
      <c r="KJ159" s="6"/>
      <c r="KK159" s="6"/>
      <c r="KL159" s="4"/>
      <c r="KM159" s="4"/>
      <c r="KN159" s="6"/>
      <c r="KO159" s="4"/>
      <c r="KP159" s="4"/>
      <c r="KQ159" s="6"/>
      <c r="KR159" s="6"/>
      <c r="KS159" s="4"/>
      <c r="KU159" s="4"/>
      <c r="KV159" s="4"/>
      <c r="KW159" s="4"/>
      <c r="KX159" s="6"/>
      <c r="KY159" s="6"/>
      <c r="KZ159" s="6"/>
      <c r="LA159" s="4"/>
      <c r="LB159" s="6"/>
      <c r="LC159" s="6"/>
      <c r="LD159" s="4"/>
      <c r="LE159" s="4"/>
      <c r="LF159" s="6"/>
      <c r="LG159" s="6"/>
      <c r="LH159" s="6"/>
      <c r="LI159" s="6"/>
      <c r="LJ159" s="6"/>
      <c r="LK159" s="6"/>
      <c r="LL159" s="6"/>
      <c r="LM159" s="6"/>
      <c r="LN159" s="6"/>
      <c r="LO159" s="6"/>
      <c r="LP159" s="6"/>
      <c r="LQ159" s="6"/>
      <c r="LR159" s="6"/>
      <c r="LS159" s="6"/>
      <c r="LT159" s="6"/>
      <c r="LU159" s="6"/>
      <c r="LV159" s="6"/>
      <c r="LW159" s="6"/>
      <c r="LX159" s="6"/>
      <c r="LY159" s="6"/>
      <c r="LZ159" s="6"/>
      <c r="MA159" s="6"/>
      <c r="MB159" s="6"/>
      <c r="MC159" s="6"/>
      <c r="MD159" s="6"/>
      <c r="ME159" s="6"/>
      <c r="MF159" s="6"/>
      <c r="MG159" s="6"/>
      <c r="MH159" s="6"/>
      <c r="MI159" s="6"/>
      <c r="MJ159" s="6"/>
      <c r="MK159" s="6"/>
      <c r="ML159" s="6"/>
      <c r="MM159" s="6"/>
      <c r="MN159" s="6"/>
      <c r="MO159" s="6"/>
      <c r="MP159" s="6"/>
      <c r="MQ159" s="6"/>
      <c r="MR159" s="6"/>
      <c r="MS159" s="6"/>
      <c r="MT159" s="6"/>
      <c r="MU159" s="6"/>
      <c r="MV159" s="6"/>
      <c r="MW159" s="6"/>
      <c r="MX159" s="6"/>
      <c r="MY159" s="6"/>
      <c r="MZ159" s="6"/>
      <c r="NA159" s="6"/>
      <c r="NB159" s="6"/>
      <c r="NC159" s="6"/>
      <c r="ND159" s="6"/>
      <c r="NE159" s="6"/>
      <c r="NF159" s="6"/>
      <c r="NG159" s="6"/>
      <c r="NH159" s="6"/>
      <c r="NI159" s="6"/>
      <c r="NJ159" s="4"/>
    </row>
    <row r="160" spans="1:374" s="1" customFormat="1" x14ac:dyDescent="0.35">
      <c r="A160" s="2">
        <v>43363</v>
      </c>
      <c r="B160" s="15" t="s">
        <v>128</v>
      </c>
      <c r="C160" s="15" t="s">
        <v>321</v>
      </c>
      <c r="D160" s="1">
        <v>159</v>
      </c>
      <c r="E160" s="3">
        <v>4</v>
      </c>
      <c r="F160" s="3">
        <v>3</v>
      </c>
      <c r="G160" s="3"/>
      <c r="H160" s="3">
        <v>40</v>
      </c>
      <c r="I160" s="3">
        <v>3</v>
      </c>
      <c r="J160" s="3"/>
      <c r="K160" s="3">
        <v>1</v>
      </c>
      <c r="L160" s="3">
        <v>1</v>
      </c>
      <c r="M160" s="3">
        <v>1</v>
      </c>
      <c r="N160" s="3">
        <v>1</v>
      </c>
      <c r="O160" s="3">
        <v>0</v>
      </c>
      <c r="P160" s="4">
        <v>0.8</v>
      </c>
      <c r="Q160" s="3">
        <v>52</v>
      </c>
      <c r="R160" s="3">
        <v>63</v>
      </c>
      <c r="S160" s="3">
        <v>48</v>
      </c>
      <c r="T160" s="3">
        <v>46</v>
      </c>
      <c r="U160" s="3">
        <v>52</v>
      </c>
      <c r="V160" s="3">
        <v>43</v>
      </c>
      <c r="W160" s="3">
        <v>41</v>
      </c>
      <c r="X160" s="3">
        <v>44</v>
      </c>
      <c r="Y160" s="3">
        <v>44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4"/>
      <c r="AJ160" s="4"/>
      <c r="AK160" s="4"/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9"/>
      <c r="AY160"/>
      <c r="AZ160"/>
      <c r="BA160"/>
      <c r="BB160"/>
      <c r="BC160"/>
      <c r="BP160" s="4"/>
      <c r="BQ160" s="4"/>
      <c r="BR160" s="4"/>
      <c r="BS160" s="4"/>
      <c r="BT160" s="4"/>
      <c r="BU160" s="4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1">
        <v>7</v>
      </c>
      <c r="CJ160" s="1">
        <v>7</v>
      </c>
      <c r="CK160" s="1">
        <v>7</v>
      </c>
      <c r="CL160" s="1">
        <v>6</v>
      </c>
      <c r="CM160" s="1">
        <v>3</v>
      </c>
      <c r="CN160" s="1">
        <v>6</v>
      </c>
      <c r="CO160" s="1">
        <v>6</v>
      </c>
      <c r="CP160" s="1">
        <v>2</v>
      </c>
      <c r="CQ160" s="1">
        <v>7</v>
      </c>
      <c r="CR160" s="1">
        <v>7</v>
      </c>
      <c r="CS160" s="1">
        <v>7</v>
      </c>
      <c r="CT160" s="1">
        <v>6</v>
      </c>
      <c r="CU160" s="1">
        <v>7</v>
      </c>
      <c r="CV160" s="1">
        <v>6</v>
      </c>
      <c r="CW160" s="1">
        <v>6</v>
      </c>
      <c r="CX160" s="1">
        <v>6</v>
      </c>
      <c r="CY160" s="1">
        <v>7</v>
      </c>
      <c r="CZ160" s="1">
        <v>7</v>
      </c>
      <c r="DA160" s="1">
        <v>7</v>
      </c>
      <c r="DB160" s="1">
        <v>7</v>
      </c>
      <c r="DC160" s="1">
        <v>7</v>
      </c>
      <c r="DD160" s="1">
        <v>7</v>
      </c>
      <c r="DE160" s="1">
        <v>7</v>
      </c>
      <c r="DF160" s="1">
        <v>7</v>
      </c>
      <c r="DG160" s="1">
        <v>7</v>
      </c>
      <c r="DH160" s="1">
        <v>7</v>
      </c>
      <c r="DI160" s="1">
        <v>6</v>
      </c>
      <c r="DJ160" s="1">
        <v>5</v>
      </c>
      <c r="DK160" s="1">
        <v>6</v>
      </c>
      <c r="DL160" s="1">
        <v>4</v>
      </c>
      <c r="DM160" s="19">
        <v>7</v>
      </c>
      <c r="DN160" s="19">
        <v>7</v>
      </c>
      <c r="DO160" s="1">
        <v>5</v>
      </c>
      <c r="DP160" s="1">
        <v>7</v>
      </c>
      <c r="DQ160" s="1">
        <v>6</v>
      </c>
      <c r="DR160" s="1">
        <v>7</v>
      </c>
      <c r="DS160" s="1">
        <v>7</v>
      </c>
      <c r="DT160" s="1">
        <v>7</v>
      </c>
      <c r="DU160" s="27">
        <v>5</v>
      </c>
      <c r="DV160" s="27">
        <v>6</v>
      </c>
      <c r="DW160" s="27">
        <v>6</v>
      </c>
      <c r="DX160" s="27">
        <v>7</v>
      </c>
      <c r="DY160" s="27">
        <v>2</v>
      </c>
      <c r="DZ160" s="27">
        <v>2</v>
      </c>
      <c r="EA160" s="27">
        <v>1</v>
      </c>
      <c r="EB160" s="27">
        <v>7</v>
      </c>
      <c r="EC160" s="27">
        <v>6</v>
      </c>
      <c r="ED160" s="27">
        <v>4</v>
      </c>
      <c r="EE160" s="27">
        <v>1</v>
      </c>
      <c r="EF160" s="27">
        <v>4</v>
      </c>
      <c r="EG160" s="27">
        <v>7</v>
      </c>
      <c r="EH160" s="27">
        <v>7</v>
      </c>
      <c r="EI160" s="27">
        <v>7</v>
      </c>
      <c r="EJ160" s="27">
        <v>7</v>
      </c>
      <c r="EK160" s="27">
        <v>7</v>
      </c>
      <c r="EL160" s="27">
        <v>7</v>
      </c>
      <c r="EM160" s="27">
        <v>3</v>
      </c>
      <c r="EN160" s="27">
        <v>4</v>
      </c>
      <c r="EO160" s="27">
        <v>5</v>
      </c>
      <c r="EP160" s="27">
        <v>7</v>
      </c>
      <c r="EQ160" s="27">
        <v>4</v>
      </c>
      <c r="ER160" s="27">
        <v>6</v>
      </c>
      <c r="ES160" s="27">
        <v>6</v>
      </c>
      <c r="ET160" s="27">
        <v>4</v>
      </c>
      <c r="EU160" s="27">
        <v>4</v>
      </c>
      <c r="EV160" s="1">
        <v>18</v>
      </c>
      <c r="EW160" s="1">
        <v>2</v>
      </c>
      <c r="EY160" s="1">
        <v>1</v>
      </c>
      <c r="EZ160" s="9"/>
      <c r="FA160" s="1">
        <v>1</v>
      </c>
      <c r="FB160" s="9" t="s">
        <v>816</v>
      </c>
      <c r="FC160" s="1">
        <v>1</v>
      </c>
      <c r="FD160" s="1">
        <v>5</v>
      </c>
      <c r="FE160" s="4"/>
      <c r="FF160" s="4"/>
      <c r="FG160" s="4"/>
      <c r="FH160" s="4"/>
      <c r="FI160" s="4"/>
      <c r="FJ160" s="23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26"/>
      <c r="GF160" s="26"/>
      <c r="GG160" s="4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S160" s="3"/>
      <c r="HU160" s="3"/>
      <c r="HX160" s="3"/>
      <c r="IA160" s="3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6"/>
      <c r="JP160" s="6"/>
      <c r="JQ160" s="6"/>
      <c r="JR160" s="6"/>
      <c r="JS160" s="6"/>
      <c r="JT160" s="8"/>
      <c r="JU160" s="8"/>
      <c r="JV160" s="8"/>
      <c r="JW160" s="8"/>
      <c r="JX160" s="8"/>
      <c r="JY160" s="8"/>
      <c r="JZ160" s="8"/>
      <c r="KA160" s="8"/>
      <c r="KB160" s="8"/>
      <c r="KC160" s="6"/>
      <c r="KD160" s="6"/>
      <c r="KE160" s="6"/>
      <c r="KF160" s="6"/>
      <c r="KG160" s="6"/>
      <c r="KH160" s="6"/>
      <c r="KI160" s="6"/>
      <c r="KJ160" s="6"/>
      <c r="KK160" s="6"/>
      <c r="KL160" s="4"/>
      <c r="KM160" s="4"/>
      <c r="KN160" s="6"/>
      <c r="KO160" s="4"/>
      <c r="KP160" s="4"/>
      <c r="KQ160" s="6"/>
      <c r="KR160" s="6"/>
      <c r="KS160" s="4"/>
      <c r="KU160" s="4"/>
      <c r="KV160" s="4"/>
      <c r="KW160" s="4"/>
      <c r="KX160" s="6"/>
      <c r="KY160" s="6"/>
      <c r="KZ160" s="6"/>
      <c r="LA160" s="4"/>
      <c r="LB160" s="6"/>
      <c r="LC160" s="6"/>
      <c r="LD160" s="4"/>
      <c r="LE160" s="4"/>
      <c r="LF160" s="6"/>
      <c r="LG160" s="6"/>
      <c r="LH160" s="6"/>
      <c r="LI160" s="6"/>
      <c r="LJ160" s="6"/>
      <c r="LK160" s="6"/>
      <c r="LL160" s="6"/>
      <c r="LM160" s="6"/>
      <c r="LN160" s="6"/>
      <c r="LO160" s="6"/>
      <c r="LP160" s="6"/>
      <c r="LQ160" s="6"/>
      <c r="LR160" s="6"/>
      <c r="LS160" s="6"/>
      <c r="LT160" s="6"/>
      <c r="LU160" s="6"/>
      <c r="LV160" s="6"/>
      <c r="LW160" s="6"/>
      <c r="LX160" s="6"/>
      <c r="LY160" s="6"/>
      <c r="LZ160" s="6"/>
      <c r="MA160" s="6"/>
      <c r="MB160" s="6"/>
      <c r="MC160" s="6"/>
      <c r="MD160" s="6"/>
      <c r="ME160" s="6"/>
      <c r="MF160" s="6"/>
      <c r="MG160" s="6"/>
      <c r="MH160" s="6"/>
      <c r="MI160" s="6"/>
      <c r="MJ160" s="6"/>
      <c r="MK160" s="6"/>
      <c r="ML160" s="6"/>
      <c r="MM160" s="6"/>
      <c r="MN160" s="6"/>
      <c r="MO160" s="6"/>
      <c r="MP160" s="6"/>
      <c r="MQ160" s="6"/>
      <c r="MR160" s="6"/>
      <c r="MS160" s="6"/>
      <c r="MT160" s="6"/>
      <c r="MU160" s="6"/>
      <c r="MV160" s="6"/>
      <c r="MW160" s="6"/>
      <c r="MX160" s="6"/>
      <c r="MY160" s="6"/>
      <c r="MZ160" s="6"/>
      <c r="NA160" s="6"/>
      <c r="NB160" s="6"/>
      <c r="NC160" s="6"/>
      <c r="ND160" s="6"/>
      <c r="NE160" s="6"/>
      <c r="NF160" s="6"/>
      <c r="NG160" s="6"/>
      <c r="NH160" s="6"/>
      <c r="NI160" s="6"/>
      <c r="NJ160" s="4"/>
    </row>
    <row r="161" spans="1:376" s="1" customFormat="1" x14ac:dyDescent="0.35">
      <c r="A161" s="2">
        <v>43363</v>
      </c>
      <c r="B161" s="15" t="s">
        <v>128</v>
      </c>
      <c r="C161" s="15" t="s">
        <v>322</v>
      </c>
      <c r="D161" s="1">
        <v>160</v>
      </c>
      <c r="E161" s="3">
        <v>4</v>
      </c>
      <c r="F161" s="3">
        <v>3</v>
      </c>
      <c r="G161" s="3"/>
      <c r="H161" s="3">
        <v>40</v>
      </c>
      <c r="I161" s="3">
        <v>4</v>
      </c>
      <c r="J161" s="3"/>
      <c r="K161" s="3">
        <v>0</v>
      </c>
      <c r="L161" s="3">
        <v>1</v>
      </c>
      <c r="M161" s="3">
        <v>0</v>
      </c>
      <c r="N161" s="3">
        <v>1</v>
      </c>
      <c r="O161" s="3">
        <v>0</v>
      </c>
      <c r="P161" s="4">
        <v>0.4</v>
      </c>
      <c r="Q161" s="3">
        <v>80</v>
      </c>
      <c r="R161" s="3">
        <v>46</v>
      </c>
      <c r="S161" s="3">
        <v>56</v>
      </c>
      <c r="T161" s="3">
        <v>65</v>
      </c>
      <c r="U161" s="3">
        <v>73</v>
      </c>
      <c r="V161" s="3">
        <v>64</v>
      </c>
      <c r="W161" s="3">
        <v>60</v>
      </c>
      <c r="X161" s="3">
        <v>56</v>
      </c>
      <c r="Y161" s="3">
        <v>52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4"/>
      <c r="AJ161" s="4"/>
      <c r="AK161" s="4"/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9"/>
      <c r="AY161"/>
      <c r="AZ161"/>
      <c r="BA161"/>
      <c r="BB161"/>
      <c r="BC161"/>
      <c r="BP161" s="4"/>
      <c r="BQ161" s="4"/>
      <c r="BR161" s="4"/>
      <c r="BS161" s="4"/>
      <c r="BT161" s="4"/>
      <c r="BU161" s="4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1">
        <v>7</v>
      </c>
      <c r="CJ161" s="1">
        <v>7</v>
      </c>
      <c r="CK161" s="1">
        <v>7</v>
      </c>
      <c r="CL161" s="1">
        <v>5</v>
      </c>
      <c r="CM161" s="1">
        <v>7</v>
      </c>
      <c r="CN161" s="1">
        <v>6</v>
      </c>
      <c r="CO161" s="1">
        <v>6</v>
      </c>
      <c r="CP161" s="1">
        <v>1</v>
      </c>
      <c r="CQ161" s="1">
        <v>7</v>
      </c>
      <c r="CR161" s="1">
        <v>7</v>
      </c>
      <c r="CS161" s="1">
        <v>7</v>
      </c>
      <c r="CT161" s="1">
        <v>7</v>
      </c>
      <c r="CU161" s="1">
        <v>7</v>
      </c>
      <c r="CV161" s="1">
        <v>7</v>
      </c>
      <c r="CW161" s="1">
        <v>7</v>
      </c>
      <c r="CX161" s="1">
        <v>7</v>
      </c>
      <c r="CY161" s="1">
        <v>7</v>
      </c>
      <c r="CZ161" s="1">
        <v>7</v>
      </c>
      <c r="DA161" s="1">
        <v>7</v>
      </c>
      <c r="DB161" s="1">
        <v>7</v>
      </c>
      <c r="DC161" s="1">
        <v>7</v>
      </c>
      <c r="DD161" s="1">
        <v>7</v>
      </c>
      <c r="DE161" s="1">
        <v>7</v>
      </c>
      <c r="DF161" s="1">
        <v>5</v>
      </c>
      <c r="DG161" s="1">
        <v>5</v>
      </c>
      <c r="DH161" s="1">
        <v>4</v>
      </c>
      <c r="DI161" s="1">
        <v>6</v>
      </c>
      <c r="DJ161" s="1">
        <v>5</v>
      </c>
      <c r="DK161" s="1">
        <v>3</v>
      </c>
      <c r="DL161" s="1">
        <v>7</v>
      </c>
      <c r="DM161" s="19">
        <v>6</v>
      </c>
      <c r="DN161" s="19">
        <v>7</v>
      </c>
      <c r="DO161" s="1">
        <v>7</v>
      </c>
      <c r="DP161" s="1">
        <v>5</v>
      </c>
      <c r="DQ161" s="1">
        <v>7</v>
      </c>
      <c r="DR161" s="1">
        <v>7</v>
      </c>
      <c r="DS161" s="1">
        <v>7</v>
      </c>
      <c r="DT161" s="1">
        <v>7</v>
      </c>
      <c r="DU161" s="27">
        <v>6</v>
      </c>
      <c r="DV161" s="27">
        <v>6</v>
      </c>
      <c r="DW161" s="27">
        <v>4</v>
      </c>
      <c r="DX161" s="27">
        <v>4</v>
      </c>
      <c r="DY161" s="27">
        <v>1</v>
      </c>
      <c r="DZ161" s="27">
        <v>4</v>
      </c>
      <c r="EA161" s="27">
        <v>1</v>
      </c>
      <c r="EB161" s="27">
        <v>7</v>
      </c>
      <c r="EC161" s="27">
        <v>7</v>
      </c>
      <c r="ED161" s="27">
        <v>3</v>
      </c>
      <c r="EE161" s="27">
        <v>6</v>
      </c>
      <c r="EF161" s="27">
        <v>7</v>
      </c>
      <c r="EG161" s="27">
        <v>5</v>
      </c>
      <c r="EH161" s="27">
        <v>7</v>
      </c>
      <c r="EI161" s="27">
        <v>7</v>
      </c>
      <c r="EJ161" s="27">
        <v>7</v>
      </c>
      <c r="EK161" s="27">
        <v>7</v>
      </c>
      <c r="EL161" s="27">
        <v>7</v>
      </c>
      <c r="EM161" s="27">
        <v>4</v>
      </c>
      <c r="EN161" s="27">
        <v>1</v>
      </c>
      <c r="EO161" s="27">
        <v>7</v>
      </c>
      <c r="EP161" s="27">
        <v>7</v>
      </c>
      <c r="EQ161" s="27">
        <v>7</v>
      </c>
      <c r="ER161" s="27">
        <v>7</v>
      </c>
      <c r="ES161" s="27">
        <v>7</v>
      </c>
      <c r="ET161" s="27">
        <v>4</v>
      </c>
      <c r="EU161" s="27">
        <v>4</v>
      </c>
      <c r="EV161" s="1">
        <v>20</v>
      </c>
      <c r="EW161" s="1">
        <v>2</v>
      </c>
      <c r="EY161" s="1">
        <v>2</v>
      </c>
      <c r="EZ161" s="9"/>
      <c r="FA161" s="1">
        <v>3</v>
      </c>
      <c r="FB161" s="9" t="s">
        <v>879</v>
      </c>
      <c r="FC161" s="1">
        <v>1</v>
      </c>
      <c r="FD161" s="1">
        <v>5</v>
      </c>
      <c r="FE161" s="4"/>
      <c r="FF161" s="4"/>
      <c r="FG161" s="4"/>
      <c r="FH161" s="4"/>
      <c r="FI161" s="4"/>
      <c r="FJ161" s="23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26"/>
      <c r="GF161" s="26"/>
      <c r="GG161" s="4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S161" s="3"/>
      <c r="HU161" s="3"/>
      <c r="HX161" s="3"/>
      <c r="IA161" s="3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6"/>
      <c r="JP161" s="6"/>
      <c r="JQ161" s="6"/>
      <c r="JR161" s="6"/>
      <c r="JS161" s="6"/>
      <c r="JT161" s="8"/>
      <c r="JU161" s="8"/>
      <c r="JV161" s="8"/>
      <c r="JW161" s="8"/>
      <c r="JX161" s="8"/>
      <c r="JY161" s="8"/>
      <c r="JZ161" s="8"/>
      <c r="KA161" s="8"/>
      <c r="KB161" s="8"/>
      <c r="KC161" s="6"/>
      <c r="KD161" s="6"/>
      <c r="KE161" s="6"/>
      <c r="KF161" s="6"/>
      <c r="KG161" s="6"/>
      <c r="KH161" s="6"/>
      <c r="KI161" s="6"/>
      <c r="KJ161" s="6"/>
      <c r="KK161" s="6"/>
      <c r="KL161" s="4"/>
      <c r="KM161" s="4"/>
      <c r="KN161" s="6"/>
      <c r="KO161" s="4"/>
      <c r="KP161" s="4"/>
      <c r="KQ161" s="6"/>
      <c r="KR161" s="6"/>
      <c r="KS161" s="4"/>
      <c r="KU161" s="4"/>
      <c r="KV161" s="4"/>
      <c r="KW161" s="4"/>
      <c r="KX161" s="6"/>
      <c r="KY161" s="6"/>
      <c r="KZ161" s="6"/>
      <c r="LA161" s="4"/>
      <c r="LB161" s="6"/>
      <c r="LC161" s="6"/>
      <c r="LD161" s="4"/>
      <c r="LE161" s="4"/>
      <c r="LF161" s="6"/>
      <c r="LG161" s="6"/>
      <c r="LH161" s="6"/>
      <c r="LI161" s="6"/>
      <c r="LJ161" s="6"/>
      <c r="LK161" s="6"/>
      <c r="LL161" s="6"/>
      <c r="LM161" s="6"/>
      <c r="LN161" s="6"/>
      <c r="LO161" s="6"/>
      <c r="LP161" s="6"/>
      <c r="LQ161" s="6"/>
      <c r="LR161" s="6"/>
      <c r="LS161" s="6"/>
      <c r="LT161" s="6"/>
      <c r="LU161" s="6"/>
      <c r="LV161" s="6"/>
      <c r="LW161" s="6"/>
      <c r="LX161" s="6"/>
      <c r="LY161" s="6"/>
      <c r="LZ161" s="6"/>
      <c r="MA161" s="6"/>
      <c r="MB161" s="6"/>
      <c r="MC161" s="6"/>
      <c r="MD161" s="6"/>
      <c r="ME161" s="6"/>
      <c r="MF161" s="6"/>
      <c r="MG161" s="6"/>
      <c r="MH161" s="6"/>
      <c r="MI161" s="6"/>
      <c r="MJ161" s="6"/>
      <c r="MK161" s="6"/>
      <c r="ML161" s="6"/>
      <c r="MM161" s="6"/>
      <c r="MN161" s="6"/>
      <c r="MO161" s="6"/>
      <c r="MP161" s="6"/>
      <c r="MQ161" s="6"/>
      <c r="MR161" s="6"/>
      <c r="MS161" s="6"/>
      <c r="MT161" s="6"/>
      <c r="MU161" s="6"/>
      <c r="MV161" s="6"/>
      <c r="MW161" s="6"/>
      <c r="MX161" s="6"/>
      <c r="MY161" s="6"/>
      <c r="MZ161" s="6"/>
      <c r="NA161" s="6"/>
      <c r="NB161" s="6"/>
      <c r="NC161" s="6"/>
      <c r="ND161" s="6"/>
      <c r="NE161" s="6"/>
      <c r="NF161" s="6"/>
      <c r="NG161" s="6"/>
      <c r="NH161" s="6"/>
      <c r="NI161" s="6"/>
      <c r="NJ161" s="4"/>
    </row>
    <row r="162" spans="1:376" s="1" customFormat="1" x14ac:dyDescent="0.35">
      <c r="A162" s="2">
        <v>43363</v>
      </c>
      <c r="B162" s="15" t="s">
        <v>129</v>
      </c>
      <c r="C162" s="15" t="s">
        <v>323</v>
      </c>
      <c r="D162" s="1">
        <v>161</v>
      </c>
      <c r="E162" s="3">
        <v>4</v>
      </c>
      <c r="F162" s="3">
        <v>3</v>
      </c>
      <c r="G162" s="3">
        <v>0</v>
      </c>
      <c r="H162" s="3">
        <v>41</v>
      </c>
      <c r="I162" s="3">
        <v>1</v>
      </c>
      <c r="J162" s="3">
        <v>1</v>
      </c>
      <c r="K162" s="18">
        <v>1</v>
      </c>
      <c r="L162" s="18">
        <v>1</v>
      </c>
      <c r="M162" s="18">
        <v>1</v>
      </c>
      <c r="N162" s="18">
        <v>1</v>
      </c>
      <c r="O162" s="18">
        <v>0</v>
      </c>
      <c r="P162" s="4">
        <v>0.8</v>
      </c>
      <c r="Q162" s="3">
        <v>62</v>
      </c>
      <c r="R162" s="3">
        <v>69</v>
      </c>
      <c r="S162" s="3">
        <v>57</v>
      </c>
      <c r="T162" s="3">
        <v>108</v>
      </c>
      <c r="U162" s="3">
        <v>105</v>
      </c>
      <c r="V162" s="3">
        <v>127</v>
      </c>
      <c r="W162" s="3">
        <v>102</v>
      </c>
      <c r="X162" s="3">
        <v>108</v>
      </c>
      <c r="Y162" s="3">
        <v>113</v>
      </c>
      <c r="Z162" s="3">
        <v>212</v>
      </c>
      <c r="AA162" s="3">
        <v>215</v>
      </c>
      <c r="AB162" s="3">
        <v>198</v>
      </c>
      <c r="AC162" s="3">
        <v>412</v>
      </c>
      <c r="AD162" s="3">
        <v>448</v>
      </c>
      <c r="AE162" s="3">
        <v>461</v>
      </c>
      <c r="AF162" s="3">
        <v>454</v>
      </c>
      <c r="AG162" s="3">
        <v>405</v>
      </c>
      <c r="AH162" s="3">
        <v>407</v>
      </c>
      <c r="AI162" s="4">
        <v>208.33</v>
      </c>
      <c r="AJ162" s="4">
        <v>440.33</v>
      </c>
      <c r="AK162" s="4">
        <v>422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9">
        <v>0</v>
      </c>
      <c r="AT162" s="19">
        <v>0</v>
      </c>
      <c r="AU162" s="19">
        <v>0</v>
      </c>
      <c r="AV162" s="19">
        <v>0</v>
      </c>
      <c r="AW162" s="19">
        <v>0</v>
      </c>
      <c r="AX162" s="19">
        <f t="shared" ref="AX162:BC162" si="80">AL162+AL163+AL164+AL165</f>
        <v>0</v>
      </c>
      <c r="AY162" s="19">
        <f t="shared" si="80"/>
        <v>0</v>
      </c>
      <c r="AZ162" s="19">
        <f t="shared" si="80"/>
        <v>0</v>
      </c>
      <c r="BA162" s="19">
        <f t="shared" si="80"/>
        <v>0</v>
      </c>
      <c r="BB162" s="19">
        <f t="shared" si="80"/>
        <v>0</v>
      </c>
      <c r="BC162" s="19">
        <f t="shared" si="80"/>
        <v>0</v>
      </c>
      <c r="BD162" s="1">
        <f>AX162*3</f>
        <v>0</v>
      </c>
      <c r="BE162" s="1">
        <f t="shared" ref="BE162:BI162" si="81">AY162*3</f>
        <v>0</v>
      </c>
      <c r="BF162" s="1">
        <f t="shared" si="81"/>
        <v>0</v>
      </c>
      <c r="BG162" s="1">
        <f t="shared" si="81"/>
        <v>0</v>
      </c>
      <c r="BH162" s="1">
        <f t="shared" si="81"/>
        <v>0</v>
      </c>
      <c r="BI162" s="1">
        <f t="shared" si="81"/>
        <v>0</v>
      </c>
      <c r="BJ162" s="1">
        <f>AX162+AY162+AZ162</f>
        <v>0</v>
      </c>
      <c r="BK162" s="1">
        <f>BA162+BB162+BC162</f>
        <v>0</v>
      </c>
      <c r="BL162" s="1">
        <f>BJ162*3</f>
        <v>0</v>
      </c>
      <c r="BM162" s="1">
        <f>BK162*3</f>
        <v>0</v>
      </c>
      <c r="BN162" s="1">
        <f>BL162/3</f>
        <v>0</v>
      </c>
      <c r="BO162" s="1">
        <f>BM162/3</f>
        <v>0</v>
      </c>
      <c r="BP162" s="4">
        <v>208.33333333333334</v>
      </c>
      <c r="BQ162" s="4">
        <v>440.33333333333331</v>
      </c>
      <c r="BR162" s="4">
        <v>422</v>
      </c>
      <c r="BS162" s="4">
        <v>440.33</v>
      </c>
      <c r="BT162" s="4">
        <v>422</v>
      </c>
      <c r="BU162" s="4">
        <v>3.83</v>
      </c>
      <c r="BV162" s="3">
        <v>4</v>
      </c>
      <c r="BW162" s="3">
        <v>4</v>
      </c>
      <c r="BX162" s="3">
        <v>4</v>
      </c>
      <c r="BY162" s="3">
        <v>4</v>
      </c>
      <c r="BZ162" s="3">
        <v>2</v>
      </c>
      <c r="CA162" s="3">
        <v>2</v>
      </c>
      <c r="CB162" s="3">
        <v>2</v>
      </c>
      <c r="CC162" s="3">
        <v>2</v>
      </c>
      <c r="CD162" s="3">
        <v>2</v>
      </c>
      <c r="CE162" s="3">
        <v>2</v>
      </c>
      <c r="CF162" s="3">
        <v>2</v>
      </c>
      <c r="CG162" s="3">
        <v>2</v>
      </c>
      <c r="CH162" s="3">
        <v>1</v>
      </c>
      <c r="CI162" s="1">
        <v>7</v>
      </c>
      <c r="CJ162" s="1">
        <v>7</v>
      </c>
      <c r="CK162" s="1">
        <v>7</v>
      </c>
      <c r="CL162" s="1">
        <v>7</v>
      </c>
      <c r="CM162" s="1">
        <v>7</v>
      </c>
      <c r="CN162" s="1">
        <v>7</v>
      </c>
      <c r="CO162" s="1">
        <v>7</v>
      </c>
      <c r="CP162" s="1">
        <v>1</v>
      </c>
      <c r="CQ162" s="1">
        <v>7</v>
      </c>
      <c r="CR162" s="1">
        <v>7</v>
      </c>
      <c r="CS162" s="1">
        <v>7</v>
      </c>
      <c r="CT162" s="1">
        <v>7</v>
      </c>
      <c r="CU162" s="1">
        <v>7</v>
      </c>
      <c r="CV162" s="1">
        <v>7</v>
      </c>
      <c r="CW162" s="1">
        <v>7</v>
      </c>
      <c r="CX162" s="1">
        <v>7</v>
      </c>
      <c r="CY162" s="1">
        <v>7</v>
      </c>
      <c r="CZ162" s="1">
        <v>7</v>
      </c>
      <c r="DA162" s="1">
        <v>7</v>
      </c>
      <c r="DB162" s="1">
        <v>7</v>
      </c>
      <c r="DC162" s="1">
        <v>7</v>
      </c>
      <c r="DD162" s="1">
        <v>7</v>
      </c>
      <c r="DE162" s="1">
        <v>7</v>
      </c>
      <c r="DF162" s="1">
        <v>6</v>
      </c>
      <c r="DG162" s="1">
        <v>2</v>
      </c>
      <c r="DH162" s="1">
        <v>6</v>
      </c>
      <c r="DI162" s="1">
        <v>5</v>
      </c>
      <c r="DJ162" s="1">
        <v>5</v>
      </c>
      <c r="DK162" s="1">
        <v>5</v>
      </c>
      <c r="DL162" s="1">
        <v>7</v>
      </c>
      <c r="DM162" s="19">
        <v>7</v>
      </c>
      <c r="DN162" s="19">
        <v>7</v>
      </c>
      <c r="DO162" s="1">
        <v>7</v>
      </c>
      <c r="DP162" s="1">
        <v>7</v>
      </c>
      <c r="DQ162" s="1">
        <v>6</v>
      </c>
      <c r="DR162" s="1">
        <v>7</v>
      </c>
      <c r="DS162" s="1">
        <v>7</v>
      </c>
      <c r="DT162" s="1">
        <v>7</v>
      </c>
      <c r="DU162" s="27">
        <v>7</v>
      </c>
      <c r="DV162" s="27">
        <v>7</v>
      </c>
      <c r="DW162" s="27">
        <v>4</v>
      </c>
      <c r="DX162" s="27">
        <v>5</v>
      </c>
      <c r="DY162" s="27">
        <v>5</v>
      </c>
      <c r="DZ162" s="27">
        <v>2</v>
      </c>
      <c r="EA162" s="27">
        <v>1</v>
      </c>
      <c r="EB162" s="27">
        <v>5</v>
      </c>
      <c r="EC162" s="27">
        <v>7</v>
      </c>
      <c r="ED162" s="27">
        <v>4</v>
      </c>
      <c r="EE162" s="27">
        <v>5</v>
      </c>
      <c r="EF162" s="27">
        <v>1</v>
      </c>
      <c r="EG162" s="27">
        <v>7</v>
      </c>
      <c r="EH162" s="27">
        <v>7</v>
      </c>
      <c r="EI162" s="27">
        <v>7</v>
      </c>
      <c r="EJ162" s="27">
        <v>7</v>
      </c>
      <c r="EK162" s="27">
        <v>7</v>
      </c>
      <c r="EL162" s="27">
        <v>7</v>
      </c>
      <c r="EM162" s="27">
        <v>1</v>
      </c>
      <c r="EN162" s="27">
        <v>1</v>
      </c>
      <c r="EO162" s="27">
        <v>1</v>
      </c>
      <c r="EP162" s="27">
        <v>1</v>
      </c>
      <c r="EQ162" s="27">
        <v>4</v>
      </c>
      <c r="ER162" s="27">
        <v>7</v>
      </c>
      <c r="ES162" s="27">
        <v>7</v>
      </c>
      <c r="ET162" s="27">
        <v>4</v>
      </c>
      <c r="EU162" s="27">
        <v>4</v>
      </c>
      <c r="EV162" s="1">
        <v>19</v>
      </c>
      <c r="EW162" s="1">
        <v>1</v>
      </c>
      <c r="EY162" s="1">
        <v>1</v>
      </c>
      <c r="EZ162" s="9"/>
      <c r="FA162" s="1">
        <v>2</v>
      </c>
      <c r="FB162" s="9" t="s">
        <v>880</v>
      </c>
      <c r="FC162" s="1">
        <v>0</v>
      </c>
      <c r="FD162" s="1">
        <v>3</v>
      </c>
      <c r="FE162" s="4">
        <v>6.68</v>
      </c>
      <c r="FF162" s="4">
        <v>6.63</v>
      </c>
      <c r="FG162" s="4">
        <v>8.25</v>
      </c>
      <c r="FH162" s="4">
        <v>7</v>
      </c>
      <c r="FI162" s="4">
        <v>6.75</v>
      </c>
      <c r="FJ162" s="23">
        <v>6.75</v>
      </c>
      <c r="FK162" s="4">
        <v>5.75</v>
      </c>
      <c r="FL162" s="4">
        <v>6.88</v>
      </c>
      <c r="FM162" s="4">
        <v>6.5</v>
      </c>
      <c r="FN162" s="4">
        <v>6.13</v>
      </c>
      <c r="FO162" s="4">
        <v>6.58</v>
      </c>
      <c r="FP162" s="4">
        <v>6</v>
      </c>
      <c r="FQ162" s="4">
        <v>5</v>
      </c>
      <c r="FR162" s="4">
        <v>2.75</v>
      </c>
      <c r="FS162" s="4">
        <v>4.75</v>
      </c>
      <c r="FT162" s="4">
        <v>5.25</v>
      </c>
      <c r="FU162" s="4">
        <v>3.5</v>
      </c>
      <c r="FV162" s="4">
        <v>4.5</v>
      </c>
      <c r="FW162" s="4">
        <v>3.75</v>
      </c>
      <c r="FX162" s="4">
        <v>6.25</v>
      </c>
      <c r="FY162" s="4">
        <v>6.25</v>
      </c>
      <c r="FZ162" s="4">
        <v>5.83</v>
      </c>
      <c r="GA162" s="4">
        <v>2</v>
      </c>
      <c r="GB162" s="4">
        <v>5.33</v>
      </c>
      <c r="GC162" s="4">
        <v>6</v>
      </c>
      <c r="GD162" s="4">
        <v>4</v>
      </c>
      <c r="GE162" s="26"/>
      <c r="GF162" s="26"/>
      <c r="GG162" s="4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S162" s="3"/>
      <c r="HU162" s="3"/>
      <c r="HX162" s="3"/>
      <c r="IA162" s="3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3"/>
      <c r="JP162" s="3"/>
      <c r="JQ162" s="4"/>
      <c r="JR162" s="5"/>
      <c r="JS162" s="5"/>
      <c r="JT162" s="8"/>
      <c r="JU162" s="8"/>
      <c r="JV162" s="8"/>
      <c r="JW162" s="8"/>
      <c r="JX162" s="8"/>
      <c r="JY162" s="8"/>
      <c r="JZ162" s="8"/>
      <c r="KA162" s="8"/>
      <c r="KB162" s="8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/>
      <c r="ND162" s="4"/>
      <c r="NE162" s="4"/>
      <c r="NF162" s="4"/>
      <c r="NG162" s="4"/>
      <c r="NH162" s="4"/>
      <c r="NI162" s="4"/>
      <c r="NJ162" s="4"/>
    </row>
    <row r="163" spans="1:376" s="1" customFormat="1" x14ac:dyDescent="0.35">
      <c r="A163" s="2">
        <v>43363</v>
      </c>
      <c r="B163" s="15" t="s">
        <v>129</v>
      </c>
      <c r="C163" s="15" t="s">
        <v>324</v>
      </c>
      <c r="D163" s="1">
        <v>162</v>
      </c>
      <c r="E163" s="3">
        <v>4</v>
      </c>
      <c r="F163" s="3">
        <v>3</v>
      </c>
      <c r="G163" s="3"/>
      <c r="H163" s="3">
        <v>41</v>
      </c>
      <c r="I163" s="3">
        <v>2</v>
      </c>
      <c r="J163" s="3"/>
      <c r="K163" s="18">
        <v>1</v>
      </c>
      <c r="L163" s="18">
        <v>1</v>
      </c>
      <c r="M163" s="18">
        <v>1</v>
      </c>
      <c r="N163" s="18">
        <v>1</v>
      </c>
      <c r="O163" s="18">
        <v>1</v>
      </c>
      <c r="P163" s="4">
        <v>1</v>
      </c>
      <c r="Q163" s="3">
        <v>41</v>
      </c>
      <c r="R163" s="3">
        <v>57</v>
      </c>
      <c r="S163" s="3">
        <v>44</v>
      </c>
      <c r="T163" s="3">
        <v>111</v>
      </c>
      <c r="U163" s="3">
        <v>103</v>
      </c>
      <c r="V163" s="3">
        <v>108</v>
      </c>
      <c r="W163" s="3">
        <v>124</v>
      </c>
      <c r="X163" s="3">
        <v>93</v>
      </c>
      <c r="Y163" s="3">
        <v>109</v>
      </c>
      <c r="Z163" s="3"/>
      <c r="AA163" s="3"/>
      <c r="AB163" s="3"/>
      <c r="AC163" s="3"/>
      <c r="AD163" s="3"/>
      <c r="AE163" s="3"/>
      <c r="AF163" s="3"/>
      <c r="AG163" s="3"/>
      <c r="AH163" s="3"/>
      <c r="AI163" s="4"/>
      <c r="AJ163" s="4"/>
      <c r="AK163" s="4"/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9">
        <v>0</v>
      </c>
      <c r="AT163" s="19">
        <v>0</v>
      </c>
      <c r="AU163" s="19">
        <v>0</v>
      </c>
      <c r="AV163" s="19">
        <v>0</v>
      </c>
      <c r="AW163" s="19">
        <v>0</v>
      </c>
      <c r="AX163" s="19"/>
      <c r="AY163"/>
      <c r="AZ163"/>
      <c r="BA163"/>
      <c r="BB163"/>
      <c r="BC163"/>
      <c r="BP163" s="4"/>
      <c r="BQ163" s="4"/>
      <c r="BR163" s="4"/>
      <c r="BS163" s="4"/>
      <c r="BT163" s="4"/>
      <c r="BU163" s="4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1">
        <v>7</v>
      </c>
      <c r="CJ163" s="1">
        <v>6</v>
      </c>
      <c r="CK163" s="1">
        <v>7</v>
      </c>
      <c r="CL163" s="1">
        <v>6</v>
      </c>
      <c r="CM163" s="1">
        <v>5</v>
      </c>
      <c r="CN163" s="1">
        <v>6</v>
      </c>
      <c r="CO163" s="1">
        <v>6</v>
      </c>
      <c r="CP163" s="1">
        <v>5</v>
      </c>
      <c r="CQ163" s="1">
        <v>6</v>
      </c>
      <c r="CR163" s="1">
        <v>7</v>
      </c>
      <c r="CS163" s="1">
        <v>6</v>
      </c>
      <c r="CT163" s="1">
        <v>3</v>
      </c>
      <c r="CU163" s="1">
        <v>6</v>
      </c>
      <c r="CV163" s="1">
        <v>6</v>
      </c>
      <c r="CW163" s="1">
        <v>6</v>
      </c>
      <c r="CX163" s="1">
        <v>6</v>
      </c>
      <c r="CY163" s="1">
        <v>6</v>
      </c>
      <c r="CZ163" s="1">
        <v>7</v>
      </c>
      <c r="DA163" s="1">
        <v>7</v>
      </c>
      <c r="DB163" s="1">
        <v>7</v>
      </c>
      <c r="DC163" s="1">
        <v>7</v>
      </c>
      <c r="DD163" s="1">
        <v>7</v>
      </c>
      <c r="DE163" s="1">
        <v>6</v>
      </c>
      <c r="DF163" s="1">
        <v>7</v>
      </c>
      <c r="DG163" s="1">
        <v>6</v>
      </c>
      <c r="DH163" s="1">
        <v>6</v>
      </c>
      <c r="DI163" s="1">
        <v>6</v>
      </c>
      <c r="DJ163" s="1">
        <v>7</v>
      </c>
      <c r="DK163" s="1">
        <v>5</v>
      </c>
      <c r="DL163" s="1">
        <v>6</v>
      </c>
      <c r="DM163" s="19">
        <v>7</v>
      </c>
      <c r="DN163" s="19">
        <v>7</v>
      </c>
      <c r="DO163" s="1">
        <v>7</v>
      </c>
      <c r="DP163" s="1">
        <v>7</v>
      </c>
      <c r="DQ163" s="1">
        <v>6</v>
      </c>
      <c r="DR163" s="1">
        <v>5</v>
      </c>
      <c r="DS163" s="1">
        <v>6</v>
      </c>
      <c r="DT163" s="1">
        <v>7</v>
      </c>
      <c r="DU163" s="27">
        <v>7</v>
      </c>
      <c r="DV163" s="27">
        <v>6</v>
      </c>
      <c r="DW163" s="27">
        <v>5</v>
      </c>
      <c r="DX163" s="27">
        <v>5</v>
      </c>
      <c r="DY163" s="27">
        <v>6</v>
      </c>
      <c r="DZ163" s="27">
        <v>2</v>
      </c>
      <c r="EA163" s="27">
        <v>2</v>
      </c>
      <c r="EB163" s="27">
        <v>6</v>
      </c>
      <c r="EC163" s="27">
        <v>6</v>
      </c>
      <c r="ED163" s="27">
        <v>2</v>
      </c>
      <c r="EE163" s="27">
        <v>5</v>
      </c>
      <c r="EF163" s="27">
        <v>6</v>
      </c>
      <c r="EG163" s="27">
        <v>6</v>
      </c>
      <c r="EH163" s="27">
        <v>6</v>
      </c>
      <c r="EI163" s="27">
        <v>6</v>
      </c>
      <c r="EJ163" s="27">
        <v>6</v>
      </c>
      <c r="EK163" s="27">
        <v>4</v>
      </c>
      <c r="EL163" s="27">
        <v>6</v>
      </c>
      <c r="EM163" s="27">
        <v>2</v>
      </c>
      <c r="EN163" s="27">
        <v>2</v>
      </c>
      <c r="EO163" s="27">
        <v>6</v>
      </c>
      <c r="EP163" s="27">
        <v>6</v>
      </c>
      <c r="EQ163" s="27">
        <v>4</v>
      </c>
      <c r="ER163" s="27">
        <v>6</v>
      </c>
      <c r="ES163" s="27">
        <v>6</v>
      </c>
      <c r="ET163" s="27">
        <v>4</v>
      </c>
      <c r="EU163" s="27">
        <v>4</v>
      </c>
      <c r="EV163" s="1">
        <v>18</v>
      </c>
      <c r="EW163" s="1">
        <v>2</v>
      </c>
      <c r="EY163" s="1">
        <v>1</v>
      </c>
      <c r="EZ163" s="9"/>
      <c r="FA163" s="1">
        <v>1</v>
      </c>
      <c r="FB163" s="9" t="s">
        <v>785</v>
      </c>
      <c r="FC163" s="1">
        <v>1</v>
      </c>
      <c r="FD163" s="1">
        <v>4</v>
      </c>
      <c r="FE163" s="4"/>
      <c r="FF163" s="4"/>
      <c r="FG163" s="4"/>
      <c r="FH163" s="4"/>
      <c r="FI163" s="4"/>
      <c r="FJ163" s="23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26"/>
      <c r="GF163" s="26"/>
      <c r="GG163" s="4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S163" s="3"/>
      <c r="HU163" s="3"/>
      <c r="HX163" s="3"/>
      <c r="IA163" s="3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6"/>
      <c r="JP163" s="6"/>
      <c r="JQ163" s="6"/>
      <c r="JR163" s="6"/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6"/>
      <c r="KG163" s="6"/>
      <c r="KH163" s="6"/>
      <c r="KI163" s="6"/>
      <c r="KJ163" s="6"/>
      <c r="KK163" s="6"/>
      <c r="KL163" s="4"/>
      <c r="KM163" s="4"/>
      <c r="KN163" s="6"/>
      <c r="KO163" s="4"/>
      <c r="KP163" s="4"/>
      <c r="KQ163" s="6"/>
      <c r="KR163" s="6"/>
      <c r="KS163" s="4"/>
      <c r="KU163" s="4"/>
      <c r="KV163" s="4"/>
      <c r="KW163" s="4"/>
      <c r="KX163" s="6"/>
      <c r="KY163" s="6"/>
      <c r="KZ163" s="6"/>
      <c r="LA163" s="4"/>
      <c r="LB163" s="6"/>
      <c r="LC163" s="6"/>
      <c r="LD163" s="4"/>
      <c r="LE163" s="4"/>
      <c r="LF163" s="6"/>
      <c r="LG163" s="6"/>
      <c r="LH163" s="6"/>
      <c r="LI163" s="6"/>
      <c r="LJ163" s="6"/>
      <c r="LK163" s="6"/>
      <c r="LL163" s="6"/>
      <c r="LM163" s="6"/>
      <c r="LN163" s="6"/>
      <c r="LO163" s="6"/>
      <c r="LP163" s="6"/>
      <c r="LQ163" s="6"/>
      <c r="LR163" s="6"/>
      <c r="LS163" s="6"/>
      <c r="LT163" s="6"/>
      <c r="LU163" s="6"/>
      <c r="LV163" s="6"/>
      <c r="LW163" s="6"/>
      <c r="LX163" s="6"/>
      <c r="LY163" s="6"/>
      <c r="LZ163" s="6"/>
      <c r="MA163" s="6"/>
      <c r="MB163" s="6"/>
      <c r="MC163" s="6"/>
      <c r="MD163" s="6"/>
      <c r="ME163" s="6"/>
      <c r="MF163" s="6"/>
      <c r="MG163" s="6"/>
      <c r="MH163" s="6"/>
      <c r="MI163" s="6"/>
      <c r="MJ163" s="6"/>
      <c r="MK163" s="6"/>
      <c r="ML163" s="6"/>
      <c r="MM163" s="6"/>
      <c r="MN163" s="6"/>
      <c r="MO163" s="6"/>
      <c r="MP163" s="6"/>
      <c r="MQ163" s="6"/>
      <c r="MR163" s="6"/>
      <c r="MS163" s="6"/>
      <c r="MT163" s="6"/>
      <c r="MU163" s="6"/>
      <c r="MV163" s="6"/>
      <c r="MW163" s="6"/>
      <c r="MX163" s="6"/>
      <c r="MY163" s="6"/>
      <c r="MZ163" s="6"/>
      <c r="NA163" s="6"/>
      <c r="NB163" s="6"/>
      <c r="NC163" s="6"/>
      <c r="ND163" s="6"/>
      <c r="NE163" s="6"/>
      <c r="NF163" s="6"/>
      <c r="NG163" s="6"/>
      <c r="NH163" s="6"/>
      <c r="NI163" s="6"/>
      <c r="NJ163" s="4"/>
    </row>
    <row r="164" spans="1:376" s="1" customFormat="1" x14ac:dyDescent="0.35">
      <c r="A164" s="2">
        <v>43363</v>
      </c>
      <c r="B164" s="15" t="s">
        <v>129</v>
      </c>
      <c r="C164" s="15" t="s">
        <v>325</v>
      </c>
      <c r="D164" s="1">
        <v>163</v>
      </c>
      <c r="E164" s="3">
        <v>4</v>
      </c>
      <c r="F164" s="3">
        <v>3</v>
      </c>
      <c r="G164" s="3"/>
      <c r="H164" s="3">
        <v>41</v>
      </c>
      <c r="I164" s="3">
        <v>3</v>
      </c>
      <c r="J164" s="3"/>
      <c r="K164" s="18">
        <v>1</v>
      </c>
      <c r="L164" s="18">
        <v>1</v>
      </c>
      <c r="M164" s="18">
        <v>1</v>
      </c>
      <c r="N164" s="18">
        <v>1</v>
      </c>
      <c r="O164" s="18">
        <v>0</v>
      </c>
      <c r="P164" s="4">
        <v>0.8</v>
      </c>
      <c r="Q164" s="3">
        <v>56</v>
      </c>
      <c r="R164" s="3">
        <v>52</v>
      </c>
      <c r="S164" s="3">
        <v>51</v>
      </c>
      <c r="T164" s="3">
        <v>107</v>
      </c>
      <c r="U164" s="3">
        <v>113</v>
      </c>
      <c r="V164" s="3">
        <v>120</v>
      </c>
      <c r="W164" s="3">
        <v>117</v>
      </c>
      <c r="X164" s="3">
        <v>80</v>
      </c>
      <c r="Y164" s="3">
        <v>88</v>
      </c>
      <c r="Z164" s="3"/>
      <c r="AA164" s="3"/>
      <c r="AB164" s="3"/>
      <c r="AC164" s="3"/>
      <c r="AD164" s="3"/>
      <c r="AE164" s="3"/>
      <c r="AF164" s="3"/>
      <c r="AG164" s="3"/>
      <c r="AH164" s="3"/>
      <c r="AI164" s="4"/>
      <c r="AJ164" s="4"/>
      <c r="AK164" s="4"/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9">
        <v>0</v>
      </c>
      <c r="AT164" s="19">
        <v>0</v>
      </c>
      <c r="AU164" s="19">
        <v>0</v>
      </c>
      <c r="AV164" s="19">
        <v>0</v>
      </c>
      <c r="AW164" s="19">
        <v>0</v>
      </c>
      <c r="AX164" s="19"/>
      <c r="AY164"/>
      <c r="AZ164"/>
      <c r="BA164"/>
      <c r="BB164"/>
      <c r="BC164"/>
      <c r="BP164" s="4"/>
      <c r="BQ164" s="4"/>
      <c r="BR164" s="4"/>
      <c r="BS164" s="4"/>
      <c r="BT164" s="4"/>
      <c r="BU164" s="4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1">
        <v>7</v>
      </c>
      <c r="CJ164" s="1">
        <v>7</v>
      </c>
      <c r="CK164" s="1">
        <v>7</v>
      </c>
      <c r="CL164" s="1">
        <v>7</v>
      </c>
      <c r="CM164" s="1">
        <v>6</v>
      </c>
      <c r="CN164" s="1">
        <v>6</v>
      </c>
      <c r="CO164" s="1">
        <v>6</v>
      </c>
      <c r="CP164" s="1">
        <v>1</v>
      </c>
      <c r="CQ164" s="1">
        <v>7</v>
      </c>
      <c r="CR164" s="1">
        <v>7</v>
      </c>
      <c r="CS164" s="1">
        <v>7</v>
      </c>
      <c r="CT164" s="1">
        <v>7</v>
      </c>
      <c r="CU164" s="1">
        <v>6</v>
      </c>
      <c r="CV164" s="1">
        <v>7</v>
      </c>
      <c r="CW164" s="1">
        <v>6</v>
      </c>
      <c r="CX164" s="1">
        <v>6</v>
      </c>
      <c r="CY164" s="1">
        <v>7</v>
      </c>
      <c r="CZ164" s="1">
        <v>7</v>
      </c>
      <c r="DA164" s="1">
        <v>7</v>
      </c>
      <c r="DB164" s="1">
        <v>7</v>
      </c>
      <c r="DC164" s="1">
        <v>7</v>
      </c>
      <c r="DD164" s="1">
        <v>5</v>
      </c>
      <c r="DE164" s="1">
        <v>7</v>
      </c>
      <c r="DF164" s="1">
        <v>6</v>
      </c>
      <c r="DG164" s="1">
        <v>6</v>
      </c>
      <c r="DH164" s="1">
        <v>6</v>
      </c>
      <c r="DI164" s="1">
        <v>7</v>
      </c>
      <c r="DJ164" s="1">
        <v>6</v>
      </c>
      <c r="DK164" s="1">
        <v>5</v>
      </c>
      <c r="DL164" s="1">
        <v>7</v>
      </c>
      <c r="DM164" s="19">
        <v>7</v>
      </c>
      <c r="DN164" s="19">
        <v>4</v>
      </c>
      <c r="DO164" s="1">
        <v>6</v>
      </c>
      <c r="DP164" s="1">
        <v>3</v>
      </c>
      <c r="DQ164" s="1">
        <v>6</v>
      </c>
      <c r="DR164" s="1">
        <v>7</v>
      </c>
      <c r="DS164" s="1">
        <v>7</v>
      </c>
      <c r="DT164" s="1">
        <v>6</v>
      </c>
      <c r="DU164" s="27">
        <v>7</v>
      </c>
      <c r="DV164" s="27">
        <v>7</v>
      </c>
      <c r="DW164" s="27">
        <v>4</v>
      </c>
      <c r="DX164" s="27">
        <v>4</v>
      </c>
      <c r="DY164" s="27">
        <v>4</v>
      </c>
      <c r="DZ164" s="27">
        <v>4</v>
      </c>
      <c r="EA164" s="27">
        <v>4</v>
      </c>
      <c r="EB164" s="27">
        <v>4</v>
      </c>
      <c r="EC164" s="27">
        <v>4</v>
      </c>
      <c r="ED164" s="27">
        <v>4</v>
      </c>
      <c r="EE164" s="27">
        <v>4</v>
      </c>
      <c r="EF164" s="27">
        <v>4</v>
      </c>
      <c r="EG164" s="27">
        <v>5</v>
      </c>
      <c r="EH164" s="27">
        <v>6</v>
      </c>
      <c r="EI164" s="27">
        <v>4</v>
      </c>
      <c r="EJ164" s="27">
        <v>4</v>
      </c>
      <c r="EK164" s="27">
        <v>4</v>
      </c>
      <c r="EL164" s="27">
        <v>4</v>
      </c>
      <c r="EM164" s="27">
        <v>4</v>
      </c>
      <c r="EN164" s="27">
        <v>4</v>
      </c>
      <c r="EO164" s="27">
        <v>7</v>
      </c>
      <c r="EP164" s="27">
        <v>7</v>
      </c>
      <c r="EQ164" s="27">
        <v>7</v>
      </c>
      <c r="ER164" s="27">
        <v>4</v>
      </c>
      <c r="ES164" s="27">
        <v>4</v>
      </c>
      <c r="ET164" s="27">
        <v>4</v>
      </c>
      <c r="EU164" s="27">
        <v>4</v>
      </c>
      <c r="EV164" s="1">
        <v>18</v>
      </c>
      <c r="EW164" s="1">
        <v>2</v>
      </c>
      <c r="EY164" s="1">
        <v>1</v>
      </c>
      <c r="EZ164" s="9"/>
      <c r="FA164" s="1">
        <v>1</v>
      </c>
      <c r="FB164" s="9" t="s">
        <v>854</v>
      </c>
      <c r="FC164" s="1">
        <v>0</v>
      </c>
      <c r="FD164" s="1">
        <v>5</v>
      </c>
      <c r="FE164" s="4"/>
      <c r="FF164" s="4"/>
      <c r="FG164" s="4"/>
      <c r="FH164" s="4"/>
      <c r="FI164" s="4"/>
      <c r="FJ164" s="23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26"/>
      <c r="GF164" s="26"/>
      <c r="GG164" s="4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S164" s="3"/>
      <c r="HU164" s="3"/>
      <c r="HX164" s="3"/>
      <c r="IA164" s="3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4"/>
      <c r="KM164" s="4"/>
      <c r="KN164" s="6"/>
      <c r="KO164" s="4"/>
      <c r="KP164" s="4"/>
      <c r="KQ164" s="6"/>
      <c r="KR164" s="6"/>
      <c r="KS164" s="4"/>
      <c r="KU164" s="4"/>
      <c r="KV164" s="4"/>
      <c r="KW164" s="4"/>
      <c r="KX164" s="6"/>
      <c r="KY164" s="6"/>
      <c r="KZ164" s="6"/>
      <c r="LA164" s="4"/>
      <c r="LB164" s="6"/>
      <c r="LC164" s="6"/>
      <c r="LD164" s="4"/>
      <c r="LE164" s="4"/>
      <c r="LF164" s="6"/>
      <c r="LG164" s="6"/>
      <c r="LH164" s="6"/>
      <c r="LI164" s="6"/>
      <c r="LJ164" s="6"/>
      <c r="LK164" s="6"/>
      <c r="LL164" s="6"/>
      <c r="LM164" s="6"/>
      <c r="LN164" s="6"/>
      <c r="LO164" s="6"/>
      <c r="LP164" s="6"/>
      <c r="LQ164" s="6"/>
      <c r="LR164" s="6"/>
      <c r="LS164" s="6"/>
      <c r="LT164" s="6"/>
      <c r="LU164" s="6"/>
      <c r="LV164" s="6"/>
      <c r="LW164" s="6"/>
      <c r="LX164" s="6"/>
      <c r="LY164" s="6"/>
      <c r="LZ164" s="6"/>
      <c r="MA164" s="6"/>
      <c r="MB164" s="6"/>
      <c r="MC164" s="6"/>
      <c r="MD164" s="6"/>
      <c r="ME164" s="6"/>
      <c r="MF164" s="6"/>
      <c r="MG164" s="6"/>
      <c r="MH164" s="6"/>
      <c r="MI164" s="6"/>
      <c r="MJ164" s="6"/>
      <c r="MK164" s="6"/>
      <c r="ML164" s="6"/>
      <c r="MM164" s="6"/>
      <c r="MN164" s="6"/>
      <c r="MO164" s="6"/>
      <c r="MP164" s="6"/>
      <c r="MQ164" s="6"/>
      <c r="MR164" s="6"/>
      <c r="MS164" s="6"/>
      <c r="MT164" s="6"/>
      <c r="MU164" s="6"/>
      <c r="MV164" s="6"/>
      <c r="MW164" s="6"/>
      <c r="MX164" s="6"/>
      <c r="MY164" s="6"/>
      <c r="MZ164" s="6"/>
      <c r="NA164" s="6"/>
      <c r="NB164" s="6"/>
      <c r="NC164" s="6"/>
      <c r="ND164" s="6"/>
      <c r="NE164" s="6"/>
      <c r="NF164" s="6"/>
      <c r="NG164" s="6"/>
      <c r="NH164" s="6"/>
      <c r="NI164" s="6"/>
      <c r="NJ164" s="4"/>
    </row>
    <row r="165" spans="1:376" s="1" customFormat="1" x14ac:dyDescent="0.35">
      <c r="A165" s="2">
        <v>43363</v>
      </c>
      <c r="B165" s="15" t="s">
        <v>129</v>
      </c>
      <c r="C165" s="15" t="s">
        <v>326</v>
      </c>
      <c r="D165" s="1">
        <v>164</v>
      </c>
      <c r="E165" s="3">
        <v>4</v>
      </c>
      <c r="F165" s="3">
        <v>3</v>
      </c>
      <c r="G165" s="3"/>
      <c r="H165" s="3">
        <v>41</v>
      </c>
      <c r="I165" s="3">
        <v>4</v>
      </c>
      <c r="J165" s="3"/>
      <c r="K165" s="18">
        <v>0</v>
      </c>
      <c r="L165" s="18">
        <v>1</v>
      </c>
      <c r="M165" s="18">
        <v>1</v>
      </c>
      <c r="N165" s="18">
        <v>1</v>
      </c>
      <c r="O165" s="18">
        <v>1</v>
      </c>
      <c r="P165" s="4">
        <v>0.8</v>
      </c>
      <c r="Q165" s="3">
        <v>53</v>
      </c>
      <c r="R165" s="3">
        <v>37</v>
      </c>
      <c r="S165" s="3">
        <v>46</v>
      </c>
      <c r="T165" s="3">
        <v>86</v>
      </c>
      <c r="U165" s="3">
        <v>127</v>
      </c>
      <c r="V165" s="3">
        <v>106</v>
      </c>
      <c r="W165" s="3">
        <v>111</v>
      </c>
      <c r="X165" s="3">
        <v>124</v>
      </c>
      <c r="Y165" s="3">
        <v>97</v>
      </c>
      <c r="Z165" s="3"/>
      <c r="AA165" s="3"/>
      <c r="AB165" s="3"/>
      <c r="AC165" s="3"/>
      <c r="AD165" s="3"/>
      <c r="AE165" s="3"/>
      <c r="AF165" s="3"/>
      <c r="AG165" s="3"/>
      <c r="AH165" s="3"/>
      <c r="AI165" s="4"/>
      <c r="AJ165" s="4"/>
      <c r="AK165" s="4"/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9">
        <v>0</v>
      </c>
      <c r="AT165" s="19">
        <v>0</v>
      </c>
      <c r="AU165" s="19">
        <v>0</v>
      </c>
      <c r="AV165" s="19">
        <v>0</v>
      </c>
      <c r="AW165" s="19">
        <v>0</v>
      </c>
      <c r="AX165" s="19"/>
      <c r="AY165"/>
      <c r="AZ165"/>
      <c r="BA165"/>
      <c r="BB165"/>
      <c r="BC165"/>
      <c r="BP165" s="4"/>
      <c r="BQ165" s="4"/>
      <c r="BR165" s="4"/>
      <c r="BS165" s="4"/>
      <c r="BT165" s="4"/>
      <c r="BU165" s="4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1">
        <v>7</v>
      </c>
      <c r="CJ165" s="1">
        <v>7</v>
      </c>
      <c r="CK165" s="1">
        <v>7</v>
      </c>
      <c r="CL165" s="1">
        <v>7</v>
      </c>
      <c r="CM165" s="1">
        <v>7</v>
      </c>
      <c r="CN165" s="1">
        <v>7</v>
      </c>
      <c r="CO165" s="1">
        <v>7</v>
      </c>
      <c r="CP165" s="1">
        <v>1</v>
      </c>
      <c r="CQ165" s="1">
        <v>7</v>
      </c>
      <c r="CR165" s="1">
        <v>7</v>
      </c>
      <c r="CS165" s="1">
        <v>7</v>
      </c>
      <c r="CT165" s="1">
        <v>7</v>
      </c>
      <c r="CU165" s="1">
        <v>7</v>
      </c>
      <c r="CV165" s="1">
        <v>7</v>
      </c>
      <c r="CW165" s="1">
        <v>7</v>
      </c>
      <c r="CX165" s="1">
        <v>7</v>
      </c>
      <c r="CY165" s="1">
        <v>7</v>
      </c>
      <c r="CZ165" s="1">
        <v>7</v>
      </c>
      <c r="DA165" s="1">
        <v>7</v>
      </c>
      <c r="DB165" s="1">
        <v>7</v>
      </c>
      <c r="DC165" s="1">
        <v>7</v>
      </c>
      <c r="DD165" s="1">
        <v>7</v>
      </c>
      <c r="DE165" s="1">
        <v>7</v>
      </c>
      <c r="DF165" s="1">
        <v>7</v>
      </c>
      <c r="DG165" s="1">
        <v>1</v>
      </c>
      <c r="DH165" s="1">
        <v>7</v>
      </c>
      <c r="DI165" s="1">
        <v>7</v>
      </c>
      <c r="DJ165" s="1">
        <v>7</v>
      </c>
      <c r="DK165" s="1">
        <v>7</v>
      </c>
      <c r="DL165" s="1">
        <v>7</v>
      </c>
      <c r="DM165" s="19">
        <v>7</v>
      </c>
      <c r="DN165" s="19">
        <v>7</v>
      </c>
      <c r="DO165" s="1">
        <v>7</v>
      </c>
      <c r="DP165" s="1">
        <v>7</v>
      </c>
      <c r="DQ165" s="1">
        <v>7</v>
      </c>
      <c r="DR165" s="1">
        <v>6</v>
      </c>
      <c r="DS165" s="1">
        <v>7</v>
      </c>
      <c r="DT165" s="1">
        <v>7</v>
      </c>
      <c r="DU165" s="27">
        <v>7</v>
      </c>
      <c r="DV165" s="27">
        <v>7</v>
      </c>
      <c r="DW165" s="27">
        <v>4</v>
      </c>
      <c r="DX165" s="27">
        <v>7</v>
      </c>
      <c r="DY165" s="27">
        <v>4</v>
      </c>
      <c r="DZ165" s="27">
        <v>4</v>
      </c>
      <c r="EA165" s="27">
        <v>4</v>
      </c>
      <c r="EB165" s="27">
        <v>4</v>
      </c>
      <c r="EC165" s="27">
        <v>4</v>
      </c>
      <c r="ED165" s="27">
        <v>4</v>
      </c>
      <c r="EE165" s="27">
        <v>4</v>
      </c>
      <c r="EF165" s="27">
        <v>4</v>
      </c>
      <c r="EG165" s="27">
        <v>7</v>
      </c>
      <c r="EH165" s="27">
        <v>7</v>
      </c>
      <c r="EI165" s="27">
        <v>7</v>
      </c>
      <c r="EJ165" s="27">
        <v>7</v>
      </c>
      <c r="EK165" s="27">
        <v>7</v>
      </c>
      <c r="EL165" s="27">
        <v>7</v>
      </c>
      <c r="EM165" s="27">
        <v>1</v>
      </c>
      <c r="EN165" s="27">
        <v>1</v>
      </c>
      <c r="EO165" s="27">
        <v>7</v>
      </c>
      <c r="EP165" s="27">
        <v>7</v>
      </c>
      <c r="EQ165" s="27">
        <v>7</v>
      </c>
      <c r="ER165" s="27">
        <v>7</v>
      </c>
      <c r="ES165" s="27">
        <v>7</v>
      </c>
      <c r="ET165" s="27">
        <v>4</v>
      </c>
      <c r="EU165" s="27">
        <v>4</v>
      </c>
      <c r="EV165" s="1">
        <v>18</v>
      </c>
      <c r="EW165" s="1">
        <v>2</v>
      </c>
      <c r="EY165" s="1">
        <v>8</v>
      </c>
      <c r="EZ165" s="9" t="s">
        <v>763</v>
      </c>
      <c r="FA165" s="1">
        <v>1</v>
      </c>
      <c r="FB165" s="9" t="s">
        <v>797</v>
      </c>
      <c r="FC165" s="1">
        <v>1</v>
      </c>
      <c r="FD165" s="1">
        <v>9</v>
      </c>
      <c r="FE165" s="4"/>
      <c r="FF165" s="4"/>
      <c r="FG165" s="4"/>
      <c r="FH165" s="4"/>
      <c r="FI165" s="4"/>
      <c r="FJ165" s="23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26"/>
      <c r="GF165" s="26"/>
      <c r="GG165" s="4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S165" s="3"/>
      <c r="HU165" s="3"/>
      <c r="HX165" s="3"/>
      <c r="IA165" s="3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4"/>
      <c r="KM165" s="4"/>
      <c r="KN165" s="6"/>
      <c r="KO165" s="4"/>
      <c r="KP165" s="4"/>
      <c r="KQ165" s="6"/>
      <c r="KR165" s="6"/>
      <c r="KS165" s="4"/>
      <c r="KU165" s="4"/>
      <c r="KV165" s="4"/>
      <c r="KW165" s="4"/>
      <c r="KX165" s="6"/>
      <c r="KY165" s="6"/>
      <c r="KZ165" s="6"/>
      <c r="LA165" s="4"/>
      <c r="LB165" s="6"/>
      <c r="LC165" s="6"/>
      <c r="LD165" s="4"/>
      <c r="LE165" s="4"/>
      <c r="LF165" s="6"/>
      <c r="LG165" s="6"/>
      <c r="LH165" s="6"/>
      <c r="LI165" s="6"/>
      <c r="LJ165" s="6"/>
      <c r="LK165" s="6"/>
      <c r="LL165" s="6"/>
      <c r="LM165" s="6"/>
      <c r="LN165" s="6"/>
      <c r="LO165" s="6"/>
      <c r="LP165" s="6"/>
      <c r="LQ165" s="6"/>
      <c r="LR165" s="6"/>
      <c r="LS165" s="6"/>
      <c r="LT165" s="6"/>
      <c r="LU165" s="6"/>
      <c r="LV165" s="6"/>
      <c r="LW165" s="6"/>
      <c r="LX165" s="6"/>
      <c r="LY165" s="6"/>
      <c r="LZ165" s="6"/>
      <c r="MA165" s="6"/>
      <c r="MB165" s="6"/>
      <c r="MC165" s="6"/>
      <c r="MD165" s="6"/>
      <c r="ME165" s="6"/>
      <c r="MF165" s="6"/>
      <c r="MG165" s="6"/>
      <c r="MH165" s="6"/>
      <c r="MI165" s="6"/>
      <c r="MJ165" s="6"/>
      <c r="MK165" s="6"/>
      <c r="ML165" s="6"/>
      <c r="MM165" s="6"/>
      <c r="MN165" s="6"/>
      <c r="MO165" s="6"/>
      <c r="MP165" s="6"/>
      <c r="MQ165" s="6"/>
      <c r="MR165" s="6"/>
      <c r="MS165" s="6"/>
      <c r="MT165" s="6"/>
      <c r="MU165" s="6"/>
      <c r="MV165" s="6"/>
      <c r="MW165" s="6"/>
      <c r="MX165" s="6"/>
      <c r="MY165" s="6"/>
      <c r="MZ165" s="6"/>
      <c r="NA165" s="6"/>
      <c r="NB165" s="6"/>
      <c r="NC165" s="6"/>
      <c r="ND165" s="6"/>
      <c r="NE165" s="6"/>
      <c r="NF165" s="6"/>
      <c r="NG165" s="6"/>
      <c r="NH165" s="6"/>
      <c r="NI165" s="6"/>
      <c r="NJ165" s="4"/>
    </row>
    <row r="166" spans="1:376" x14ac:dyDescent="0.35">
      <c r="A166" s="14">
        <v>43363</v>
      </c>
      <c r="B166" s="16" t="s">
        <v>130</v>
      </c>
      <c r="C166" s="16" t="s">
        <v>327</v>
      </c>
      <c r="D166" s="1">
        <v>165</v>
      </c>
      <c r="E166" s="1">
        <v>4</v>
      </c>
      <c r="F166" s="3">
        <v>3</v>
      </c>
      <c r="G166" s="1">
        <v>0</v>
      </c>
      <c r="H166" s="1">
        <v>42</v>
      </c>
      <c r="I166" s="1">
        <v>1</v>
      </c>
      <c r="J166" s="1">
        <v>1</v>
      </c>
      <c r="K166" s="18">
        <v>0</v>
      </c>
      <c r="L166" s="18">
        <v>1</v>
      </c>
      <c r="M166" s="18">
        <v>1</v>
      </c>
      <c r="N166" s="18">
        <v>1</v>
      </c>
      <c r="O166" s="18">
        <v>1</v>
      </c>
      <c r="P166" s="4">
        <v>0.8</v>
      </c>
      <c r="Q166" s="3">
        <v>39</v>
      </c>
      <c r="R166" s="1">
        <v>38</v>
      </c>
      <c r="S166" s="1">
        <v>50</v>
      </c>
      <c r="T166" s="1">
        <v>41</v>
      </c>
      <c r="U166" s="1">
        <v>42</v>
      </c>
      <c r="V166" s="1">
        <v>48</v>
      </c>
      <c r="W166" s="1">
        <v>41</v>
      </c>
      <c r="X166" s="1">
        <v>37</v>
      </c>
      <c r="Y166" s="1">
        <v>42</v>
      </c>
      <c r="Z166" s="1">
        <v>196</v>
      </c>
      <c r="AA166" s="1">
        <v>196</v>
      </c>
      <c r="AB166" s="1">
        <v>205</v>
      </c>
      <c r="AC166" s="1">
        <v>193</v>
      </c>
      <c r="AD166" s="1">
        <v>111</v>
      </c>
      <c r="AE166" s="1">
        <v>100</v>
      </c>
      <c r="AF166" s="1">
        <v>194</v>
      </c>
      <c r="AG166" s="1">
        <v>187</v>
      </c>
      <c r="AH166" s="1">
        <v>190</v>
      </c>
      <c r="AI166" s="4">
        <v>199</v>
      </c>
      <c r="AJ166" s="4">
        <v>134.66999999999999</v>
      </c>
      <c r="AK166" s="4">
        <v>190.33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9">
        <v>0</v>
      </c>
      <c r="AT166" s="19">
        <v>0</v>
      </c>
      <c r="AU166" s="19">
        <v>0</v>
      </c>
      <c r="AV166" s="19">
        <v>0</v>
      </c>
      <c r="AW166" s="19">
        <v>0</v>
      </c>
      <c r="AX166" s="19">
        <f t="shared" ref="AX166:BC166" si="82">AL166+AL167+AL168+AL169</f>
        <v>0</v>
      </c>
      <c r="AY166" s="19">
        <f t="shared" si="82"/>
        <v>0</v>
      </c>
      <c r="AZ166" s="19">
        <f t="shared" si="82"/>
        <v>0</v>
      </c>
      <c r="BA166" s="19">
        <f t="shared" si="82"/>
        <v>0</v>
      </c>
      <c r="BB166" s="19">
        <f t="shared" si="82"/>
        <v>26</v>
      </c>
      <c r="BC166" s="19">
        <f t="shared" si="82"/>
        <v>34</v>
      </c>
      <c r="BD166" s="1">
        <f>AX166*3</f>
        <v>0</v>
      </c>
      <c r="BE166" s="1">
        <f t="shared" ref="BE166:BI166" si="83">AY166*3</f>
        <v>0</v>
      </c>
      <c r="BF166" s="1">
        <f t="shared" si="83"/>
        <v>0</v>
      </c>
      <c r="BG166" s="1">
        <f t="shared" si="83"/>
        <v>0</v>
      </c>
      <c r="BH166" s="1">
        <f t="shared" si="83"/>
        <v>78</v>
      </c>
      <c r="BI166" s="1">
        <f t="shared" si="83"/>
        <v>102</v>
      </c>
      <c r="BJ166" s="1">
        <f>AX166+AY166+AZ166</f>
        <v>0</v>
      </c>
      <c r="BK166" s="1">
        <f>BA166+BB166+BC166</f>
        <v>60</v>
      </c>
      <c r="BL166" s="1">
        <f>BJ166*3</f>
        <v>0</v>
      </c>
      <c r="BM166" s="1">
        <f>BK166*3</f>
        <v>180</v>
      </c>
      <c r="BN166" s="1">
        <f>BL166/3</f>
        <v>0</v>
      </c>
      <c r="BO166" s="1">
        <f>BM166/3</f>
        <v>60</v>
      </c>
      <c r="BP166" s="4">
        <v>199</v>
      </c>
      <c r="BQ166" s="4">
        <v>74.666666666666657</v>
      </c>
      <c r="BR166" s="4">
        <v>190.33333333333334</v>
      </c>
      <c r="BS166" s="4">
        <v>74.67</v>
      </c>
      <c r="BT166" s="4">
        <v>190.33</v>
      </c>
      <c r="BU166" s="4">
        <v>2.5</v>
      </c>
      <c r="BV166" s="1">
        <v>0</v>
      </c>
      <c r="BW166" s="1">
        <v>0</v>
      </c>
      <c r="BX166" s="1">
        <v>0</v>
      </c>
      <c r="BY166" s="1">
        <v>0</v>
      </c>
      <c r="BZ166" s="1">
        <v>1</v>
      </c>
      <c r="CA166" s="1">
        <v>1</v>
      </c>
      <c r="CB166" s="1">
        <v>3</v>
      </c>
      <c r="CC166" s="1">
        <v>3</v>
      </c>
      <c r="CD166" s="1">
        <v>1</v>
      </c>
      <c r="CE166" s="1">
        <v>1</v>
      </c>
      <c r="CF166" s="1">
        <v>3</v>
      </c>
      <c r="CG166" s="1">
        <v>3</v>
      </c>
      <c r="CH166" s="1">
        <v>1</v>
      </c>
      <c r="CI166" s="1">
        <v>7</v>
      </c>
      <c r="CJ166" s="1">
        <v>6</v>
      </c>
      <c r="CK166" s="1">
        <v>5</v>
      </c>
      <c r="CL166" s="1">
        <v>7</v>
      </c>
      <c r="CM166" s="1">
        <v>7</v>
      </c>
      <c r="CN166" s="1">
        <v>7</v>
      </c>
      <c r="CO166" s="1">
        <v>7</v>
      </c>
      <c r="CP166" s="1">
        <v>4</v>
      </c>
      <c r="CQ166" s="1">
        <v>4</v>
      </c>
      <c r="CR166" s="1">
        <v>4</v>
      </c>
      <c r="CS166" s="1">
        <v>4</v>
      </c>
      <c r="CT166" s="1">
        <v>4</v>
      </c>
      <c r="CU166" s="1">
        <v>4</v>
      </c>
      <c r="CV166" s="1">
        <v>4</v>
      </c>
      <c r="CW166" s="1">
        <v>4</v>
      </c>
      <c r="CX166" s="1">
        <v>4</v>
      </c>
      <c r="CY166" s="1">
        <v>6</v>
      </c>
      <c r="CZ166" s="1">
        <v>7</v>
      </c>
      <c r="DA166" s="1">
        <v>7</v>
      </c>
      <c r="DB166" s="1">
        <v>7</v>
      </c>
      <c r="DC166" s="1">
        <v>4</v>
      </c>
      <c r="DD166" s="1">
        <v>7</v>
      </c>
      <c r="DE166" s="1">
        <v>7</v>
      </c>
      <c r="DF166" s="1">
        <v>1</v>
      </c>
      <c r="DG166" s="1">
        <v>1</v>
      </c>
      <c r="DH166" s="1">
        <v>1</v>
      </c>
      <c r="DI166" s="1">
        <v>1</v>
      </c>
      <c r="DJ166" s="1">
        <v>1</v>
      </c>
      <c r="DK166" s="1">
        <v>1</v>
      </c>
      <c r="DL166" s="1">
        <v>7</v>
      </c>
      <c r="DM166" s="19">
        <v>1</v>
      </c>
      <c r="DN166" s="19">
        <v>1</v>
      </c>
      <c r="DO166" s="1">
        <v>1</v>
      </c>
      <c r="DP166" s="1">
        <v>7</v>
      </c>
      <c r="DQ166" s="1">
        <v>7</v>
      </c>
      <c r="DR166" s="1">
        <v>5</v>
      </c>
      <c r="DS166" s="1">
        <v>4</v>
      </c>
      <c r="DT166" s="1">
        <v>4</v>
      </c>
      <c r="DU166" s="27">
        <v>7</v>
      </c>
      <c r="DV166" s="27">
        <v>7</v>
      </c>
      <c r="DW166" s="27">
        <v>1</v>
      </c>
      <c r="DX166" s="27">
        <v>1</v>
      </c>
      <c r="DY166" s="27">
        <v>4</v>
      </c>
      <c r="DZ166" s="27">
        <v>4</v>
      </c>
      <c r="EA166" s="27">
        <v>1</v>
      </c>
      <c r="EB166" s="27">
        <v>5</v>
      </c>
      <c r="EC166" s="27">
        <v>7</v>
      </c>
      <c r="ED166" s="27">
        <v>7</v>
      </c>
      <c r="EE166" s="27">
        <v>7</v>
      </c>
      <c r="EF166" s="27">
        <v>1</v>
      </c>
      <c r="EG166" s="27">
        <v>7</v>
      </c>
      <c r="EH166" s="27">
        <v>7</v>
      </c>
      <c r="EI166" s="27">
        <v>7</v>
      </c>
      <c r="EJ166" s="27">
        <v>7</v>
      </c>
      <c r="EK166" s="27">
        <v>7</v>
      </c>
      <c r="EL166" s="27">
        <v>7</v>
      </c>
      <c r="EM166" s="27">
        <v>1</v>
      </c>
      <c r="EN166" s="27">
        <v>1</v>
      </c>
      <c r="EO166" s="27">
        <v>7</v>
      </c>
      <c r="EP166" s="27">
        <v>7</v>
      </c>
      <c r="EQ166" s="27">
        <v>7</v>
      </c>
      <c r="ER166" s="27">
        <v>7</v>
      </c>
      <c r="ES166" s="27">
        <v>7</v>
      </c>
      <c r="ET166" s="27">
        <v>5</v>
      </c>
      <c r="EU166" s="27">
        <v>5</v>
      </c>
      <c r="EV166" s="27">
        <v>18</v>
      </c>
      <c r="EW166" s="27">
        <v>2</v>
      </c>
      <c r="EY166" s="27">
        <v>2</v>
      </c>
      <c r="FA166" s="27">
        <v>1</v>
      </c>
      <c r="FB166" s="28" t="s">
        <v>881</v>
      </c>
      <c r="FC166" s="27">
        <v>1</v>
      </c>
      <c r="FD166" s="1">
        <v>4</v>
      </c>
      <c r="FE166" s="4">
        <v>6.11</v>
      </c>
      <c r="FF166" s="4">
        <v>4.8099999999999996</v>
      </c>
      <c r="FG166" s="4">
        <v>5.94</v>
      </c>
      <c r="FH166" s="4">
        <v>5.33</v>
      </c>
      <c r="FI166" s="4">
        <v>5</v>
      </c>
      <c r="FJ166" s="23">
        <v>4.75</v>
      </c>
      <c r="FK166" s="4">
        <v>3.54</v>
      </c>
      <c r="FL166" s="4">
        <v>4.63</v>
      </c>
      <c r="FM166" s="4">
        <v>3.75</v>
      </c>
      <c r="FN166" s="4">
        <v>5.25</v>
      </c>
      <c r="FO166" s="4">
        <v>4.67</v>
      </c>
      <c r="FP166" s="4">
        <v>4.83</v>
      </c>
      <c r="FQ166" s="4">
        <v>3.25</v>
      </c>
      <c r="FR166" s="4">
        <v>2.5</v>
      </c>
      <c r="FS166" s="4">
        <v>4.5</v>
      </c>
      <c r="FT166" s="4">
        <v>3.75</v>
      </c>
      <c r="FU166" s="4">
        <v>3.25</v>
      </c>
      <c r="FV166" s="4">
        <v>5.75</v>
      </c>
      <c r="FW166" s="4">
        <v>4.5</v>
      </c>
      <c r="FX166" s="4">
        <v>3.75</v>
      </c>
      <c r="FY166" s="4">
        <v>5.25</v>
      </c>
      <c r="FZ166" s="4">
        <v>4.42</v>
      </c>
      <c r="GA166" s="4">
        <v>2.75</v>
      </c>
      <c r="GB166" s="4">
        <v>5.5</v>
      </c>
      <c r="GC166" s="4">
        <v>4.88</v>
      </c>
      <c r="GD166" s="4">
        <v>4.5</v>
      </c>
      <c r="GE166" s="26"/>
      <c r="GF166" s="26"/>
      <c r="GG166" s="4"/>
      <c r="JH166" s="1"/>
      <c r="JV166" s="1"/>
      <c r="KM166" s="4"/>
      <c r="LA166" s="4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</row>
    <row r="167" spans="1:376" x14ac:dyDescent="0.35">
      <c r="A167" s="14">
        <v>43363</v>
      </c>
      <c r="B167" s="16" t="s">
        <v>130</v>
      </c>
      <c r="C167" s="16" t="s">
        <v>328</v>
      </c>
      <c r="D167" s="1">
        <v>166</v>
      </c>
      <c r="E167" s="1">
        <v>4</v>
      </c>
      <c r="F167" s="3">
        <v>3</v>
      </c>
      <c r="H167" s="1">
        <v>42</v>
      </c>
      <c r="I167" s="1">
        <v>2</v>
      </c>
      <c r="K167" s="18">
        <v>0</v>
      </c>
      <c r="L167" s="18">
        <v>1</v>
      </c>
      <c r="M167" s="18">
        <v>1</v>
      </c>
      <c r="N167" s="18">
        <v>1</v>
      </c>
      <c r="O167" s="18">
        <v>0</v>
      </c>
      <c r="P167" s="4">
        <v>0.6</v>
      </c>
      <c r="Q167" s="3">
        <v>53</v>
      </c>
      <c r="R167" s="1">
        <v>57</v>
      </c>
      <c r="S167" s="1">
        <v>55</v>
      </c>
      <c r="T167" s="1">
        <v>56</v>
      </c>
      <c r="U167" s="1">
        <v>17</v>
      </c>
      <c r="V167" s="1">
        <v>31</v>
      </c>
      <c r="W167" s="1">
        <v>59</v>
      </c>
      <c r="X167" s="1">
        <v>53</v>
      </c>
      <c r="Y167" s="1">
        <v>58</v>
      </c>
      <c r="AI167" s="4"/>
      <c r="AJ167" s="4"/>
      <c r="AK167" s="4"/>
      <c r="AL167" s="1">
        <v>0</v>
      </c>
      <c r="AM167" s="1">
        <v>0</v>
      </c>
      <c r="AN167" s="1">
        <v>0</v>
      </c>
      <c r="AO167" s="1">
        <v>0</v>
      </c>
      <c r="AP167" s="1">
        <v>20</v>
      </c>
      <c r="AQ167" s="1">
        <v>34</v>
      </c>
      <c r="AR167" s="1">
        <v>0</v>
      </c>
      <c r="AS167" s="19">
        <v>0</v>
      </c>
      <c r="AT167" s="19">
        <v>0</v>
      </c>
      <c r="AU167" s="19">
        <v>0</v>
      </c>
      <c r="AV167" s="19">
        <v>12</v>
      </c>
      <c r="AW167" s="19">
        <v>0</v>
      </c>
      <c r="AX167" s="19"/>
      <c r="AY167"/>
      <c r="AZ167"/>
      <c r="BA167"/>
      <c r="BB167"/>
      <c r="BC167"/>
      <c r="BP167" s="4"/>
      <c r="BQ167" s="4"/>
      <c r="BR167" s="4"/>
      <c r="BS167" s="4"/>
      <c r="BT167" s="4"/>
      <c r="BU167" s="4"/>
      <c r="CI167" s="1">
        <v>2</v>
      </c>
      <c r="CJ167" s="1">
        <v>6</v>
      </c>
      <c r="CK167" s="1">
        <v>6</v>
      </c>
      <c r="CL167" s="1">
        <v>7</v>
      </c>
      <c r="CM167" s="1">
        <v>6</v>
      </c>
      <c r="CN167" s="1">
        <v>7</v>
      </c>
      <c r="CO167" s="1">
        <v>6</v>
      </c>
      <c r="CP167" s="1">
        <v>6</v>
      </c>
      <c r="CQ167" s="1">
        <v>6</v>
      </c>
      <c r="CR167" s="1">
        <v>7</v>
      </c>
      <c r="CS167" s="1">
        <v>6</v>
      </c>
      <c r="CT167" s="1">
        <v>2</v>
      </c>
      <c r="CU167" s="1">
        <v>6</v>
      </c>
      <c r="CV167" s="1">
        <v>4</v>
      </c>
      <c r="CW167" s="1">
        <v>6</v>
      </c>
      <c r="CX167" s="1">
        <v>7</v>
      </c>
      <c r="CY167" s="1">
        <v>1</v>
      </c>
      <c r="CZ167" s="1">
        <v>2</v>
      </c>
      <c r="DA167" s="1">
        <v>4</v>
      </c>
      <c r="DB167" s="1">
        <v>1</v>
      </c>
      <c r="DC167" s="1">
        <v>2</v>
      </c>
      <c r="DD167" s="1">
        <v>2</v>
      </c>
      <c r="DE167" s="1">
        <v>4</v>
      </c>
      <c r="DF167" s="1">
        <v>1</v>
      </c>
      <c r="DG167" s="1">
        <v>1</v>
      </c>
      <c r="DH167" s="1">
        <v>1</v>
      </c>
      <c r="DI167" s="1">
        <v>1</v>
      </c>
      <c r="DJ167" s="1">
        <v>1</v>
      </c>
      <c r="DK167" s="1">
        <v>1</v>
      </c>
      <c r="DL167" s="1">
        <v>1</v>
      </c>
      <c r="DM167" s="19">
        <v>4</v>
      </c>
      <c r="DN167" s="19">
        <v>1</v>
      </c>
      <c r="DO167" s="1">
        <v>1</v>
      </c>
      <c r="DP167" s="1">
        <v>2</v>
      </c>
      <c r="DQ167" s="1">
        <v>2</v>
      </c>
      <c r="DR167" s="1">
        <v>1</v>
      </c>
      <c r="DS167" s="1">
        <v>2</v>
      </c>
      <c r="DT167" s="1">
        <v>4</v>
      </c>
      <c r="DU167" s="27">
        <v>2</v>
      </c>
      <c r="DV167" s="27">
        <v>1</v>
      </c>
      <c r="DW167" s="27">
        <v>1</v>
      </c>
      <c r="DX167" s="27">
        <v>2</v>
      </c>
      <c r="DY167" s="27">
        <v>1</v>
      </c>
      <c r="DZ167" s="27">
        <v>7</v>
      </c>
      <c r="EA167" s="27">
        <v>1</v>
      </c>
      <c r="EB167" s="27">
        <v>1</v>
      </c>
      <c r="EC167" s="27">
        <v>1</v>
      </c>
      <c r="ED167" s="27">
        <v>4</v>
      </c>
      <c r="EE167" s="27">
        <v>3</v>
      </c>
      <c r="EF167" s="27">
        <v>5</v>
      </c>
      <c r="EG167" s="27">
        <v>1</v>
      </c>
      <c r="EH167" s="27">
        <v>7</v>
      </c>
      <c r="EI167" s="27">
        <v>7</v>
      </c>
      <c r="EJ167" s="27">
        <v>7</v>
      </c>
      <c r="EK167" s="27">
        <v>2</v>
      </c>
      <c r="EL167" s="27">
        <v>2</v>
      </c>
      <c r="EM167" s="27">
        <v>2</v>
      </c>
      <c r="EN167" s="27">
        <v>2</v>
      </c>
      <c r="EO167" s="27">
        <v>6</v>
      </c>
      <c r="EP167" s="27">
        <v>4</v>
      </c>
      <c r="EQ167" s="27">
        <v>2</v>
      </c>
      <c r="ER167" s="27">
        <v>7</v>
      </c>
      <c r="ES167" s="27">
        <v>4</v>
      </c>
      <c r="ET167" s="27">
        <v>2</v>
      </c>
      <c r="EU167" s="27">
        <v>7</v>
      </c>
      <c r="EV167" s="27">
        <v>18</v>
      </c>
      <c r="EW167" s="27">
        <v>1</v>
      </c>
      <c r="EY167" s="27">
        <v>1</v>
      </c>
      <c r="FA167" s="27">
        <v>1</v>
      </c>
      <c r="FB167" s="28" t="s">
        <v>817</v>
      </c>
      <c r="FC167" s="27">
        <v>1</v>
      </c>
      <c r="FD167" s="1">
        <v>6</v>
      </c>
      <c r="FE167" s="4"/>
      <c r="FF167" s="4"/>
      <c r="FG167" s="4"/>
      <c r="FH167" s="4"/>
      <c r="FI167" s="4"/>
      <c r="FJ167" s="23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26"/>
      <c r="GF167" s="26"/>
      <c r="GG167" s="4"/>
      <c r="JH167" s="1"/>
      <c r="JV167" s="1"/>
      <c r="KM167" s="4"/>
      <c r="LA167" s="4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</row>
    <row r="168" spans="1:376" x14ac:dyDescent="0.35">
      <c r="A168" s="14">
        <v>43363</v>
      </c>
      <c r="B168" s="16" t="s">
        <v>130</v>
      </c>
      <c r="C168" s="16" t="s">
        <v>329</v>
      </c>
      <c r="D168" s="1">
        <v>167</v>
      </c>
      <c r="E168" s="1">
        <v>4</v>
      </c>
      <c r="F168" s="3">
        <v>3</v>
      </c>
      <c r="H168" s="1">
        <v>42</v>
      </c>
      <c r="I168" s="1">
        <v>3</v>
      </c>
      <c r="K168" s="18">
        <v>1</v>
      </c>
      <c r="L168" s="18">
        <v>1</v>
      </c>
      <c r="M168" s="18">
        <v>1</v>
      </c>
      <c r="N168" s="18">
        <v>1</v>
      </c>
      <c r="O168" s="18">
        <v>1</v>
      </c>
      <c r="P168" s="4">
        <v>1</v>
      </c>
      <c r="Q168" s="3">
        <v>45</v>
      </c>
      <c r="R168" s="1">
        <v>39</v>
      </c>
      <c r="S168" s="1">
        <v>48</v>
      </c>
      <c r="T168" s="1">
        <v>36</v>
      </c>
      <c r="U168" s="1">
        <v>48</v>
      </c>
      <c r="V168" s="1">
        <v>20</v>
      </c>
      <c r="W168" s="1">
        <v>35</v>
      </c>
      <c r="X168" s="1">
        <v>44</v>
      </c>
      <c r="Y168" s="1">
        <v>39</v>
      </c>
      <c r="AI168" s="4"/>
      <c r="AJ168" s="4"/>
      <c r="AK168" s="4"/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9">
        <v>0</v>
      </c>
      <c r="AT168" s="19">
        <v>0</v>
      </c>
      <c r="AU168" s="19">
        <v>0</v>
      </c>
      <c r="AV168" s="19">
        <v>0</v>
      </c>
      <c r="AW168" s="19">
        <v>2</v>
      </c>
      <c r="AX168" s="19"/>
      <c r="AY168"/>
      <c r="AZ168"/>
      <c r="BA168"/>
      <c r="BB168"/>
      <c r="BC168"/>
      <c r="BP168" s="4"/>
      <c r="BQ168" s="4"/>
      <c r="BR168" s="4"/>
      <c r="BS168" s="4"/>
      <c r="BT168" s="4"/>
      <c r="BU168" s="4"/>
      <c r="CI168" s="1">
        <v>7</v>
      </c>
      <c r="CJ168" s="1">
        <v>7</v>
      </c>
      <c r="CK168" s="1">
        <v>7</v>
      </c>
      <c r="CL168" s="1">
        <v>6</v>
      </c>
      <c r="CM168" s="1">
        <v>6</v>
      </c>
      <c r="CN168" s="1">
        <v>6</v>
      </c>
      <c r="CO168" s="1">
        <v>7</v>
      </c>
      <c r="CP168" s="1">
        <v>2</v>
      </c>
      <c r="CQ168" s="1">
        <v>6</v>
      </c>
      <c r="CR168" s="1">
        <v>6</v>
      </c>
      <c r="CS168" s="1">
        <v>6</v>
      </c>
      <c r="CT168" s="1">
        <v>6</v>
      </c>
      <c r="CU168" s="1">
        <v>6</v>
      </c>
      <c r="CV168" s="1">
        <v>6</v>
      </c>
      <c r="CW168" s="1">
        <v>7</v>
      </c>
      <c r="CX168" s="1">
        <v>6</v>
      </c>
      <c r="CY168" s="1">
        <v>6</v>
      </c>
      <c r="CZ168" s="1">
        <v>6</v>
      </c>
      <c r="DA168" s="1">
        <v>6</v>
      </c>
      <c r="DB168" s="1">
        <v>6</v>
      </c>
      <c r="DC168" s="1">
        <v>6</v>
      </c>
      <c r="DD168" s="1">
        <v>7</v>
      </c>
      <c r="DE168" s="1">
        <v>7</v>
      </c>
      <c r="DF168" s="1">
        <v>6</v>
      </c>
      <c r="DG168" s="1">
        <v>6</v>
      </c>
      <c r="DH168" s="1">
        <v>7</v>
      </c>
      <c r="DI168" s="1">
        <v>6</v>
      </c>
      <c r="DJ168" s="1">
        <v>6</v>
      </c>
      <c r="DK168" s="1">
        <v>6</v>
      </c>
      <c r="DL168" s="1">
        <v>6</v>
      </c>
      <c r="DM168" s="19">
        <v>6</v>
      </c>
      <c r="DN168" s="19">
        <v>7</v>
      </c>
      <c r="DO168" s="1">
        <v>7</v>
      </c>
      <c r="DP168" s="1">
        <v>5</v>
      </c>
      <c r="DQ168" s="1">
        <v>6</v>
      </c>
      <c r="DR168" s="1">
        <v>6</v>
      </c>
      <c r="DS168" s="1">
        <v>6</v>
      </c>
      <c r="DT168" s="1">
        <v>5</v>
      </c>
      <c r="DU168" s="27">
        <v>6</v>
      </c>
      <c r="DV168" s="27">
        <v>6</v>
      </c>
      <c r="DW168" s="27">
        <v>6</v>
      </c>
      <c r="DX168" s="27">
        <v>4</v>
      </c>
      <c r="DY168" s="27">
        <v>1</v>
      </c>
      <c r="DZ168" s="27">
        <v>2</v>
      </c>
      <c r="EA168" s="27">
        <v>1</v>
      </c>
      <c r="EB168" s="27">
        <v>6</v>
      </c>
      <c r="EC168" s="27">
        <v>6</v>
      </c>
      <c r="ED168" s="27">
        <v>1</v>
      </c>
      <c r="EE168" s="27">
        <v>6</v>
      </c>
      <c r="EF168" s="27">
        <v>6</v>
      </c>
      <c r="EG168" s="27">
        <v>6</v>
      </c>
      <c r="EH168" s="27">
        <v>6</v>
      </c>
      <c r="EI168" s="27">
        <v>6</v>
      </c>
      <c r="EJ168" s="27">
        <v>6</v>
      </c>
      <c r="EK168" s="27">
        <v>6</v>
      </c>
      <c r="EL168" s="27">
        <v>6</v>
      </c>
      <c r="EM168" s="27">
        <v>1</v>
      </c>
      <c r="EN168" s="27">
        <v>1</v>
      </c>
      <c r="EO168" s="27">
        <v>6</v>
      </c>
      <c r="EP168" s="27">
        <v>6</v>
      </c>
      <c r="EQ168" s="27">
        <v>6</v>
      </c>
      <c r="ER168" s="27">
        <v>6</v>
      </c>
      <c r="ES168" s="27">
        <v>6</v>
      </c>
      <c r="ET168" s="27">
        <v>5</v>
      </c>
      <c r="EU168" s="27">
        <v>6</v>
      </c>
      <c r="EV168" s="27">
        <v>18</v>
      </c>
      <c r="EW168" s="27">
        <v>2</v>
      </c>
      <c r="EY168" s="27">
        <v>2</v>
      </c>
      <c r="FA168" s="27">
        <v>1</v>
      </c>
      <c r="FB168" s="28" t="s">
        <v>776</v>
      </c>
      <c r="FC168" s="27">
        <v>1</v>
      </c>
      <c r="FD168" s="1">
        <v>8</v>
      </c>
      <c r="FE168" s="4"/>
      <c r="FF168" s="4"/>
      <c r="FG168" s="4"/>
      <c r="FH168" s="4"/>
      <c r="FI168" s="4"/>
      <c r="FJ168" s="23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26"/>
      <c r="GF168" s="26"/>
      <c r="GG168" s="4"/>
      <c r="JH168" s="1"/>
      <c r="JV168" s="1"/>
      <c r="KM168" s="4"/>
      <c r="LA168" s="4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</row>
    <row r="169" spans="1:376" x14ac:dyDescent="0.35">
      <c r="A169" s="14">
        <v>43363</v>
      </c>
      <c r="B169" s="16" t="s">
        <v>130</v>
      </c>
      <c r="C169" s="16" t="s">
        <v>330</v>
      </c>
      <c r="D169" s="1">
        <v>168</v>
      </c>
      <c r="E169" s="1">
        <v>4</v>
      </c>
      <c r="F169" s="3">
        <v>3</v>
      </c>
      <c r="H169" s="1">
        <v>42</v>
      </c>
      <c r="I169" s="1">
        <v>4</v>
      </c>
      <c r="K169" s="18">
        <v>1</v>
      </c>
      <c r="L169" s="18">
        <v>0</v>
      </c>
      <c r="M169" s="18">
        <v>1</v>
      </c>
      <c r="N169" s="18">
        <v>1</v>
      </c>
      <c r="O169" s="18">
        <v>0</v>
      </c>
      <c r="P169" s="4">
        <v>0.6</v>
      </c>
      <c r="Q169" s="3">
        <v>59</v>
      </c>
      <c r="R169" s="1">
        <v>62</v>
      </c>
      <c r="S169" s="1">
        <v>52</v>
      </c>
      <c r="T169" s="1">
        <v>60</v>
      </c>
      <c r="U169" s="1">
        <v>4</v>
      </c>
      <c r="V169" s="1">
        <v>1</v>
      </c>
      <c r="W169" s="1">
        <v>59</v>
      </c>
      <c r="X169" s="1">
        <v>53</v>
      </c>
      <c r="Y169" s="1">
        <v>51</v>
      </c>
      <c r="AI169" s="4"/>
      <c r="AJ169" s="4"/>
      <c r="AK169" s="4"/>
      <c r="AL169" s="1">
        <v>0</v>
      </c>
      <c r="AM169" s="1">
        <v>0</v>
      </c>
      <c r="AN169" s="1">
        <v>0</v>
      </c>
      <c r="AO169" s="1">
        <v>0</v>
      </c>
      <c r="AP169" s="1">
        <v>6</v>
      </c>
      <c r="AQ169" s="1">
        <v>0</v>
      </c>
      <c r="AR169" s="1">
        <v>0</v>
      </c>
      <c r="AS169" s="19">
        <v>0</v>
      </c>
      <c r="AT169" s="19">
        <v>0</v>
      </c>
      <c r="AU169" s="19">
        <v>0</v>
      </c>
      <c r="AV169" s="19">
        <v>40</v>
      </c>
      <c r="AW169" s="19">
        <v>60</v>
      </c>
      <c r="AX169" s="19"/>
      <c r="AY169"/>
      <c r="AZ169"/>
      <c r="BA169"/>
      <c r="BB169"/>
      <c r="BC169"/>
      <c r="BP169" s="4"/>
      <c r="BQ169" s="4"/>
      <c r="BR169" s="4"/>
      <c r="BS169" s="4"/>
      <c r="BT169" s="4"/>
      <c r="BU169" s="4"/>
      <c r="CI169" s="1">
        <v>6</v>
      </c>
      <c r="CJ169" s="1">
        <v>3</v>
      </c>
      <c r="CK169" s="1">
        <v>6</v>
      </c>
      <c r="CL169" s="1">
        <v>6</v>
      </c>
      <c r="CM169" s="1">
        <v>6</v>
      </c>
      <c r="CN169" s="1">
        <v>6</v>
      </c>
      <c r="CO169" s="1">
        <v>6</v>
      </c>
      <c r="CP169" s="1">
        <v>3</v>
      </c>
      <c r="CQ169" s="1">
        <v>3</v>
      </c>
      <c r="CR169" s="1">
        <v>3</v>
      </c>
      <c r="CS169" s="1">
        <v>5</v>
      </c>
      <c r="CT169" s="1">
        <v>5</v>
      </c>
      <c r="CU169" s="1">
        <v>3</v>
      </c>
      <c r="CV169" s="1">
        <v>3</v>
      </c>
      <c r="CW169" s="1">
        <v>4</v>
      </c>
      <c r="CX169" s="1">
        <v>2</v>
      </c>
      <c r="CY169" s="1">
        <v>6</v>
      </c>
      <c r="CZ169" s="1">
        <v>6</v>
      </c>
      <c r="DA169" s="1">
        <v>6</v>
      </c>
      <c r="DB169" s="1">
        <v>6</v>
      </c>
      <c r="DC169" s="1">
        <v>6</v>
      </c>
      <c r="DD169" s="1">
        <v>6</v>
      </c>
      <c r="DE169" s="1">
        <v>1</v>
      </c>
      <c r="DF169" s="1">
        <v>6</v>
      </c>
      <c r="DG169" s="1">
        <v>6</v>
      </c>
      <c r="DH169" s="1">
        <v>6</v>
      </c>
      <c r="DI169" s="1">
        <v>6</v>
      </c>
      <c r="DJ169" s="1">
        <v>6</v>
      </c>
      <c r="DK169" s="1">
        <v>6</v>
      </c>
      <c r="DL169" s="1">
        <v>6</v>
      </c>
      <c r="DM169" s="19">
        <v>6</v>
      </c>
      <c r="DN169" s="19">
        <v>6</v>
      </c>
      <c r="DO169" s="1">
        <v>6</v>
      </c>
      <c r="DP169" s="1">
        <v>7</v>
      </c>
      <c r="DQ169" s="1">
        <v>6</v>
      </c>
      <c r="DR169" s="1">
        <v>7</v>
      </c>
      <c r="DS169" s="1">
        <v>6</v>
      </c>
      <c r="DT169" s="1">
        <v>6</v>
      </c>
      <c r="DU169" s="27">
        <v>7</v>
      </c>
      <c r="DV169" s="27">
        <v>7</v>
      </c>
      <c r="DW169" s="27">
        <v>7</v>
      </c>
      <c r="DX169" s="27">
        <v>6</v>
      </c>
      <c r="DY169" s="27">
        <v>7</v>
      </c>
      <c r="DZ169" s="27">
        <v>1</v>
      </c>
      <c r="EA169" s="27">
        <v>7</v>
      </c>
      <c r="EB169" s="27">
        <v>6</v>
      </c>
      <c r="EC169" s="27">
        <v>1</v>
      </c>
      <c r="ED169" s="27">
        <v>1</v>
      </c>
      <c r="EE169" s="27">
        <v>7</v>
      </c>
      <c r="EF169" s="27">
        <v>6</v>
      </c>
      <c r="EG169" s="27">
        <v>1</v>
      </c>
      <c r="EH169" s="27">
        <v>1</v>
      </c>
      <c r="EI169" s="27">
        <v>1</v>
      </c>
      <c r="EJ169" s="27">
        <v>1</v>
      </c>
      <c r="EK169" s="27">
        <v>1</v>
      </c>
      <c r="EL169" s="27">
        <v>1</v>
      </c>
      <c r="EM169" s="27">
        <v>7</v>
      </c>
      <c r="EN169" s="27">
        <v>7</v>
      </c>
      <c r="EO169" s="27">
        <v>7</v>
      </c>
      <c r="EP169" s="27">
        <v>1</v>
      </c>
      <c r="EQ169" s="27">
        <v>7</v>
      </c>
      <c r="ER169" s="27">
        <v>1</v>
      </c>
      <c r="ES169" s="27">
        <v>1</v>
      </c>
      <c r="ET169" s="27">
        <v>5</v>
      </c>
      <c r="EU169" s="27">
        <v>1</v>
      </c>
      <c r="EV169" s="27">
        <v>21</v>
      </c>
      <c r="EW169" s="27">
        <v>1</v>
      </c>
      <c r="EY169" s="27">
        <v>1</v>
      </c>
      <c r="FA169" s="27">
        <v>4</v>
      </c>
      <c r="FB169" s="28" t="s">
        <v>882</v>
      </c>
      <c r="FC169" s="27">
        <v>0</v>
      </c>
      <c r="FD169" s="1">
        <v>4</v>
      </c>
      <c r="FE169" s="4"/>
      <c r="FF169" s="4"/>
      <c r="FG169" s="4"/>
      <c r="FH169" s="4"/>
      <c r="FI169" s="4"/>
      <c r="FJ169" s="23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26"/>
      <c r="GF169" s="26"/>
      <c r="GG169" s="4"/>
      <c r="JH169" s="1"/>
      <c r="JV169" s="1"/>
      <c r="KM169" s="4"/>
      <c r="LA169" s="4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</row>
    <row r="170" spans="1:376" x14ac:dyDescent="0.35">
      <c r="A170" s="14">
        <v>43371</v>
      </c>
      <c r="B170" s="16" t="s">
        <v>131</v>
      </c>
      <c r="C170" s="16" t="s">
        <v>331</v>
      </c>
      <c r="D170" s="1">
        <v>169</v>
      </c>
      <c r="E170" s="1">
        <v>4</v>
      </c>
      <c r="F170" s="3">
        <v>3</v>
      </c>
      <c r="G170" s="1">
        <v>0</v>
      </c>
      <c r="H170" s="1">
        <v>43</v>
      </c>
      <c r="I170" s="1">
        <v>1</v>
      </c>
      <c r="J170" s="1">
        <v>1</v>
      </c>
      <c r="K170" s="18">
        <v>0</v>
      </c>
      <c r="L170" s="18">
        <v>1</v>
      </c>
      <c r="M170" s="18">
        <v>1</v>
      </c>
      <c r="N170" s="18">
        <v>1</v>
      </c>
      <c r="O170" s="18">
        <v>0</v>
      </c>
      <c r="P170" s="4">
        <v>0.6</v>
      </c>
      <c r="Q170" s="3">
        <v>36</v>
      </c>
      <c r="R170" s="1">
        <v>39</v>
      </c>
      <c r="S170" s="1">
        <v>55</v>
      </c>
      <c r="T170" s="1">
        <v>117</v>
      </c>
      <c r="U170" s="1">
        <v>109</v>
      </c>
      <c r="V170" s="1">
        <v>92</v>
      </c>
      <c r="W170" s="1">
        <v>111</v>
      </c>
      <c r="X170" s="1">
        <v>123</v>
      </c>
      <c r="Y170" s="1">
        <v>107</v>
      </c>
      <c r="Z170" s="1">
        <v>238</v>
      </c>
      <c r="AA170" s="1">
        <v>214</v>
      </c>
      <c r="AB170" s="1">
        <v>205</v>
      </c>
      <c r="AC170" s="1">
        <v>442</v>
      </c>
      <c r="AD170" s="1">
        <v>424</v>
      </c>
      <c r="AE170" s="1">
        <v>406</v>
      </c>
      <c r="AF170" s="1">
        <v>419</v>
      </c>
      <c r="AG170" s="1">
        <v>447</v>
      </c>
      <c r="AH170" s="1">
        <v>419</v>
      </c>
      <c r="AI170" s="4">
        <v>219</v>
      </c>
      <c r="AJ170" s="4">
        <v>424</v>
      </c>
      <c r="AK170" s="4">
        <v>428.33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9">
        <v>0</v>
      </c>
      <c r="AT170" s="19">
        <v>0</v>
      </c>
      <c r="AU170" s="19">
        <v>0</v>
      </c>
      <c r="AV170" s="19">
        <v>0</v>
      </c>
      <c r="AW170" s="19">
        <v>0</v>
      </c>
      <c r="AX170" s="19">
        <f t="shared" ref="AX170:BC170" si="84">AL170+AL171+AL172+AL173</f>
        <v>0</v>
      </c>
      <c r="AY170" s="19">
        <f t="shared" si="84"/>
        <v>0</v>
      </c>
      <c r="AZ170" s="19">
        <f t="shared" si="84"/>
        <v>0</v>
      </c>
      <c r="BA170" s="19">
        <f t="shared" si="84"/>
        <v>0</v>
      </c>
      <c r="BB170" s="19">
        <f t="shared" si="84"/>
        <v>0</v>
      </c>
      <c r="BC170" s="19">
        <f t="shared" si="84"/>
        <v>0</v>
      </c>
      <c r="BD170" s="1">
        <f>AX170*3</f>
        <v>0</v>
      </c>
      <c r="BE170" s="1">
        <f t="shared" ref="BE170:BI170" si="85">AY170*3</f>
        <v>0</v>
      </c>
      <c r="BF170" s="1">
        <f t="shared" si="85"/>
        <v>0</v>
      </c>
      <c r="BG170" s="1">
        <f t="shared" si="85"/>
        <v>0</v>
      </c>
      <c r="BH170" s="1">
        <f t="shared" si="85"/>
        <v>0</v>
      </c>
      <c r="BI170" s="1">
        <f t="shared" si="85"/>
        <v>0</v>
      </c>
      <c r="BJ170" s="1">
        <f>AX170+AY170+AZ170</f>
        <v>0</v>
      </c>
      <c r="BK170" s="1">
        <f>BA170+BB170+BC170</f>
        <v>0</v>
      </c>
      <c r="BL170" s="1">
        <f>BJ170*3</f>
        <v>0</v>
      </c>
      <c r="BM170" s="1">
        <f>BK170*3</f>
        <v>0</v>
      </c>
      <c r="BN170" s="1">
        <f>BL170/3</f>
        <v>0</v>
      </c>
      <c r="BO170" s="1">
        <f>BM170/3</f>
        <v>0</v>
      </c>
      <c r="BP170" s="4">
        <v>219</v>
      </c>
      <c r="BQ170" s="4">
        <v>424</v>
      </c>
      <c r="BR170" s="4">
        <v>428.33333333333331</v>
      </c>
      <c r="BS170" s="4">
        <v>424</v>
      </c>
      <c r="BT170" s="4">
        <v>428.33</v>
      </c>
      <c r="BU170" s="4">
        <v>3.33</v>
      </c>
      <c r="BV170" s="1">
        <v>2</v>
      </c>
      <c r="BW170" s="1">
        <v>2</v>
      </c>
      <c r="BX170" s="1">
        <v>2</v>
      </c>
      <c r="BY170" s="1">
        <v>2</v>
      </c>
      <c r="BZ170" s="1">
        <v>1</v>
      </c>
      <c r="CA170" s="1">
        <v>1</v>
      </c>
      <c r="CB170" s="1">
        <v>1</v>
      </c>
      <c r="CC170" s="1">
        <v>1</v>
      </c>
      <c r="CD170" s="1">
        <v>1</v>
      </c>
      <c r="CE170" s="1">
        <v>1</v>
      </c>
      <c r="CF170" s="1">
        <v>1</v>
      </c>
      <c r="CG170" s="1">
        <v>1</v>
      </c>
      <c r="CH170" s="1">
        <v>0</v>
      </c>
      <c r="CI170" s="1">
        <v>7</v>
      </c>
      <c r="CJ170" s="1">
        <v>7</v>
      </c>
      <c r="CK170" s="1">
        <v>7</v>
      </c>
      <c r="CL170" s="1">
        <v>6</v>
      </c>
      <c r="CM170" s="1">
        <v>6</v>
      </c>
      <c r="CN170" s="1">
        <v>6</v>
      </c>
      <c r="CO170" s="1">
        <v>6</v>
      </c>
      <c r="CP170" s="1">
        <v>1</v>
      </c>
      <c r="CQ170" s="1">
        <v>7</v>
      </c>
      <c r="CR170" s="1">
        <v>7</v>
      </c>
      <c r="CS170" s="1">
        <v>7</v>
      </c>
      <c r="CT170" s="1">
        <v>7</v>
      </c>
      <c r="CU170" s="1">
        <v>6</v>
      </c>
      <c r="CV170" s="1">
        <v>6</v>
      </c>
      <c r="CW170" s="1">
        <v>7</v>
      </c>
      <c r="CX170" s="1">
        <v>5</v>
      </c>
      <c r="CY170" s="1">
        <v>7</v>
      </c>
      <c r="CZ170" s="1">
        <v>7</v>
      </c>
      <c r="DA170" s="1">
        <v>7</v>
      </c>
      <c r="DB170" s="1">
        <v>7</v>
      </c>
      <c r="DC170" s="1">
        <v>6</v>
      </c>
      <c r="DD170" s="1">
        <v>5</v>
      </c>
      <c r="DE170" s="1">
        <v>6</v>
      </c>
      <c r="DF170" s="1">
        <v>3</v>
      </c>
      <c r="DG170" s="1">
        <v>4</v>
      </c>
      <c r="DH170" s="1">
        <v>5</v>
      </c>
      <c r="DI170" s="1">
        <v>6</v>
      </c>
      <c r="DJ170" s="1">
        <v>6</v>
      </c>
      <c r="DK170" s="1">
        <v>5</v>
      </c>
      <c r="DL170" s="1">
        <v>6</v>
      </c>
      <c r="DM170" s="19">
        <v>5</v>
      </c>
      <c r="DN170" s="19">
        <v>7</v>
      </c>
      <c r="DO170" s="1">
        <v>6</v>
      </c>
      <c r="DP170" s="1">
        <v>7</v>
      </c>
      <c r="DQ170" s="1">
        <v>6</v>
      </c>
      <c r="DR170" s="1">
        <v>7</v>
      </c>
      <c r="DS170" s="1">
        <v>7</v>
      </c>
      <c r="DT170" s="1">
        <v>7</v>
      </c>
      <c r="DU170" s="27">
        <v>7</v>
      </c>
      <c r="DV170" s="27">
        <v>7</v>
      </c>
      <c r="DW170" s="27">
        <v>7</v>
      </c>
      <c r="DX170" s="27">
        <v>4</v>
      </c>
      <c r="DY170" s="27">
        <v>2</v>
      </c>
      <c r="DZ170" s="27">
        <v>4</v>
      </c>
      <c r="EA170" s="27">
        <v>1</v>
      </c>
      <c r="EB170" s="27">
        <v>7</v>
      </c>
      <c r="EC170" s="27">
        <v>7</v>
      </c>
      <c r="ED170" s="27">
        <v>4</v>
      </c>
      <c r="EE170" s="27">
        <v>6</v>
      </c>
      <c r="EF170" s="27">
        <v>5</v>
      </c>
      <c r="EG170" s="27">
        <v>6</v>
      </c>
      <c r="EH170" s="27">
        <v>7</v>
      </c>
      <c r="EI170" s="27">
        <v>7</v>
      </c>
      <c r="EJ170" s="27">
        <v>7</v>
      </c>
      <c r="EK170" s="27">
        <v>6</v>
      </c>
      <c r="EL170" s="27">
        <v>7</v>
      </c>
      <c r="EM170" s="27">
        <v>2</v>
      </c>
      <c r="EN170" s="27">
        <v>2</v>
      </c>
      <c r="EO170" s="27">
        <v>7</v>
      </c>
      <c r="EP170" s="27">
        <v>7</v>
      </c>
      <c r="EQ170" s="27">
        <v>7</v>
      </c>
      <c r="ER170" s="27">
        <v>6</v>
      </c>
      <c r="ES170" s="27">
        <v>6</v>
      </c>
      <c r="ET170" s="27">
        <v>1</v>
      </c>
      <c r="EU170" s="27">
        <v>4</v>
      </c>
      <c r="EV170" s="27">
        <v>18</v>
      </c>
      <c r="EW170" s="27">
        <v>2</v>
      </c>
      <c r="EY170" s="27">
        <v>6</v>
      </c>
      <c r="FA170" s="27">
        <v>1</v>
      </c>
      <c r="FB170" s="28" t="s">
        <v>784</v>
      </c>
      <c r="FC170" s="27">
        <v>1</v>
      </c>
      <c r="FD170" s="1">
        <v>3</v>
      </c>
      <c r="FE170" s="4">
        <v>6.54</v>
      </c>
      <c r="FF170" s="4">
        <v>6.5</v>
      </c>
      <c r="FG170" s="4">
        <v>7.88</v>
      </c>
      <c r="FH170" s="4">
        <v>6.92</v>
      </c>
      <c r="FI170" s="4">
        <v>6.38</v>
      </c>
      <c r="FJ170" s="23">
        <v>6.75</v>
      </c>
      <c r="FK170" s="4">
        <v>5.21</v>
      </c>
      <c r="FL170" s="4">
        <v>6.63</v>
      </c>
      <c r="FM170" s="4">
        <v>6.75</v>
      </c>
      <c r="FN170" s="4">
        <v>6.13</v>
      </c>
      <c r="FO170" s="4">
        <v>5.83</v>
      </c>
      <c r="FP170" s="4">
        <v>6.75</v>
      </c>
      <c r="FQ170" s="4">
        <v>2.5</v>
      </c>
      <c r="FR170" s="4">
        <v>1.75</v>
      </c>
      <c r="FS170" s="4">
        <v>6.75</v>
      </c>
      <c r="FT170" s="4">
        <v>5.5</v>
      </c>
      <c r="FU170" s="4">
        <v>4.75</v>
      </c>
      <c r="FV170" s="4">
        <v>5.75</v>
      </c>
      <c r="FW170" s="4">
        <v>4.5</v>
      </c>
      <c r="FX170" s="4">
        <v>5</v>
      </c>
      <c r="FY170" s="4">
        <v>6.88</v>
      </c>
      <c r="FZ170" s="4">
        <v>4.58</v>
      </c>
      <c r="GA170" s="4">
        <v>3.13</v>
      </c>
      <c r="GB170" s="4">
        <v>6.67</v>
      </c>
      <c r="GC170" s="4">
        <v>4.75</v>
      </c>
      <c r="GD170" s="4">
        <v>3.63</v>
      </c>
      <c r="GE170" s="26"/>
      <c r="GF170" s="26"/>
      <c r="GG170" s="4"/>
      <c r="JH170" s="1"/>
      <c r="JV170" s="1"/>
      <c r="KM170" s="4"/>
      <c r="LA170" s="4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</row>
    <row r="171" spans="1:376" x14ac:dyDescent="0.35">
      <c r="A171" s="14">
        <v>43371</v>
      </c>
      <c r="B171" s="16" t="s">
        <v>131</v>
      </c>
      <c r="C171" s="16" t="s">
        <v>332</v>
      </c>
      <c r="D171" s="1">
        <v>170</v>
      </c>
      <c r="E171" s="1">
        <v>4</v>
      </c>
      <c r="F171" s="3">
        <v>3</v>
      </c>
      <c r="H171" s="1">
        <v>43</v>
      </c>
      <c r="I171" s="1">
        <v>2</v>
      </c>
      <c r="K171" s="18">
        <v>1</v>
      </c>
      <c r="L171" s="18">
        <v>0</v>
      </c>
      <c r="M171" s="18">
        <v>1</v>
      </c>
      <c r="N171" s="18">
        <v>1</v>
      </c>
      <c r="O171" s="18">
        <v>0</v>
      </c>
      <c r="P171" s="4">
        <v>0.6</v>
      </c>
      <c r="Q171" s="3">
        <v>106</v>
      </c>
      <c r="R171" s="1">
        <v>63</v>
      </c>
      <c r="S171" s="1">
        <v>44</v>
      </c>
      <c r="T171" s="1">
        <v>107</v>
      </c>
      <c r="U171" s="1">
        <v>99</v>
      </c>
      <c r="V171" s="1">
        <v>104</v>
      </c>
      <c r="W171" s="1">
        <v>107</v>
      </c>
      <c r="X171" s="1">
        <v>93</v>
      </c>
      <c r="Y171" s="1">
        <v>93</v>
      </c>
      <c r="AI171" s="4"/>
      <c r="AJ171" s="4"/>
      <c r="AK171" s="4"/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9">
        <v>0</v>
      </c>
      <c r="AT171" s="19">
        <v>0</v>
      </c>
      <c r="AU171" s="19">
        <v>0</v>
      </c>
      <c r="AV171" s="19">
        <v>0</v>
      </c>
      <c r="AW171" s="19">
        <v>0</v>
      </c>
      <c r="AX171" s="19"/>
      <c r="AY171"/>
      <c r="AZ171"/>
      <c r="BA171"/>
      <c r="BB171"/>
      <c r="BC171"/>
      <c r="BP171" s="4"/>
      <c r="BQ171" s="4"/>
      <c r="BR171" s="4"/>
      <c r="BS171" s="4"/>
      <c r="BT171" s="4"/>
      <c r="BU171" s="4"/>
      <c r="CI171" s="1">
        <v>6</v>
      </c>
      <c r="CJ171" s="1">
        <v>7</v>
      </c>
      <c r="CK171" s="1">
        <v>6</v>
      </c>
      <c r="CL171" s="1">
        <v>6</v>
      </c>
      <c r="CM171" s="1">
        <v>6</v>
      </c>
      <c r="CN171" s="1">
        <v>6</v>
      </c>
      <c r="CO171" s="1">
        <v>6</v>
      </c>
      <c r="CP171" s="1">
        <v>3</v>
      </c>
      <c r="CQ171" s="1">
        <v>5</v>
      </c>
      <c r="CR171" s="1">
        <v>6</v>
      </c>
      <c r="CS171" s="1">
        <v>6</v>
      </c>
      <c r="CT171" s="1">
        <v>5</v>
      </c>
      <c r="CU171" s="1">
        <v>6</v>
      </c>
      <c r="CV171" s="1">
        <v>6</v>
      </c>
      <c r="CW171" s="1">
        <v>6</v>
      </c>
      <c r="CX171" s="1">
        <v>6</v>
      </c>
      <c r="CY171" s="1">
        <v>6</v>
      </c>
      <c r="CZ171" s="1">
        <v>7</v>
      </c>
      <c r="DA171" s="1">
        <v>6</v>
      </c>
      <c r="DB171" s="1">
        <v>7</v>
      </c>
      <c r="DC171" s="1">
        <v>7</v>
      </c>
      <c r="DD171" s="1">
        <v>7</v>
      </c>
      <c r="DE171" s="1">
        <v>7</v>
      </c>
      <c r="DF171" s="1">
        <v>7</v>
      </c>
      <c r="DG171" s="1">
        <v>5</v>
      </c>
      <c r="DH171" s="1">
        <v>7</v>
      </c>
      <c r="DI171" s="1">
        <v>7</v>
      </c>
      <c r="DJ171" s="1">
        <v>6</v>
      </c>
      <c r="DK171" s="1">
        <v>6</v>
      </c>
      <c r="DL171" s="1">
        <v>7</v>
      </c>
      <c r="DM171" s="19">
        <v>7</v>
      </c>
      <c r="DN171" s="19">
        <v>7</v>
      </c>
      <c r="DO171" s="1">
        <v>7</v>
      </c>
      <c r="DP171" s="1">
        <v>7</v>
      </c>
      <c r="DQ171" s="1">
        <v>7</v>
      </c>
      <c r="DR171" s="1">
        <v>2</v>
      </c>
      <c r="DS171" s="1">
        <v>6</v>
      </c>
      <c r="DT171" s="1">
        <v>5</v>
      </c>
      <c r="DU171" s="27">
        <v>6</v>
      </c>
      <c r="DV171" s="27">
        <v>6</v>
      </c>
      <c r="DW171" s="27">
        <v>6</v>
      </c>
      <c r="DX171" s="27">
        <v>2</v>
      </c>
      <c r="DY171" s="27">
        <v>2</v>
      </c>
      <c r="DZ171" s="27">
        <v>2</v>
      </c>
      <c r="EA171" s="27">
        <v>1</v>
      </c>
      <c r="EB171" s="27">
        <v>6</v>
      </c>
      <c r="EC171" s="27">
        <v>6</v>
      </c>
      <c r="ED171" s="27">
        <v>6</v>
      </c>
      <c r="EE171" s="27">
        <v>6</v>
      </c>
      <c r="EF171" s="27">
        <v>2</v>
      </c>
      <c r="EG171" s="27">
        <v>6</v>
      </c>
      <c r="EH171" s="27">
        <v>6</v>
      </c>
      <c r="EI171" s="27">
        <v>7</v>
      </c>
      <c r="EJ171" s="27">
        <v>4</v>
      </c>
      <c r="EK171" s="27">
        <v>4</v>
      </c>
      <c r="EL171" s="27">
        <v>6</v>
      </c>
      <c r="EM171" s="27">
        <v>2</v>
      </c>
      <c r="EN171" s="27">
        <v>4</v>
      </c>
      <c r="EO171" s="27">
        <v>6</v>
      </c>
      <c r="EP171" s="27">
        <v>6</v>
      </c>
      <c r="EQ171" s="27">
        <v>6</v>
      </c>
      <c r="ER171" s="27">
        <v>6</v>
      </c>
      <c r="ES171" s="27">
        <v>4</v>
      </c>
      <c r="ET171" s="27">
        <v>4</v>
      </c>
      <c r="EU171" s="27">
        <v>4</v>
      </c>
      <c r="EV171" s="27">
        <v>18</v>
      </c>
      <c r="EW171" s="27">
        <v>2</v>
      </c>
      <c r="EY171" s="27">
        <v>1</v>
      </c>
      <c r="FA171" s="27">
        <v>1</v>
      </c>
      <c r="FB171" s="28" t="s">
        <v>785</v>
      </c>
      <c r="FC171" s="27">
        <v>1</v>
      </c>
      <c r="FD171" s="1">
        <v>4</v>
      </c>
      <c r="FE171" s="4"/>
      <c r="FF171" s="4"/>
      <c r="FG171" s="4"/>
      <c r="FH171" s="4"/>
      <c r="FI171" s="4"/>
      <c r="FJ171" s="23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26"/>
      <c r="GF171" s="26"/>
      <c r="GG171" s="4"/>
      <c r="JH171" s="1"/>
      <c r="JV171" s="1"/>
      <c r="KM171" s="4"/>
      <c r="LA171" s="4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</row>
    <row r="172" spans="1:376" x14ac:dyDescent="0.35">
      <c r="A172" s="14">
        <v>43371</v>
      </c>
      <c r="B172" s="16" t="s">
        <v>131</v>
      </c>
      <c r="C172" s="16" t="s">
        <v>333</v>
      </c>
      <c r="D172" s="1">
        <v>171</v>
      </c>
      <c r="E172" s="1">
        <v>4</v>
      </c>
      <c r="F172" s="3">
        <v>3</v>
      </c>
      <c r="H172" s="1">
        <v>43</v>
      </c>
      <c r="I172" s="1">
        <v>3</v>
      </c>
      <c r="K172" s="18">
        <v>1</v>
      </c>
      <c r="L172" s="18">
        <v>1</v>
      </c>
      <c r="M172" s="18">
        <v>1</v>
      </c>
      <c r="N172" s="18">
        <v>1</v>
      </c>
      <c r="O172" s="18">
        <v>0</v>
      </c>
      <c r="P172" s="4">
        <v>0.8</v>
      </c>
      <c r="Q172" s="3">
        <v>44</v>
      </c>
      <c r="R172" s="1">
        <v>69</v>
      </c>
      <c r="S172" s="1">
        <v>63</v>
      </c>
      <c r="T172" s="1">
        <v>118</v>
      </c>
      <c r="U172" s="1">
        <v>105</v>
      </c>
      <c r="V172" s="1">
        <v>99</v>
      </c>
      <c r="W172" s="1">
        <v>104</v>
      </c>
      <c r="X172" s="1">
        <v>139</v>
      </c>
      <c r="Y172" s="1">
        <v>112</v>
      </c>
      <c r="AI172" s="4"/>
      <c r="AJ172" s="4"/>
      <c r="AK172" s="4"/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9">
        <v>0</v>
      </c>
      <c r="AT172" s="19">
        <v>0</v>
      </c>
      <c r="AU172" s="19">
        <v>0</v>
      </c>
      <c r="AV172" s="19">
        <v>0</v>
      </c>
      <c r="AW172" s="19">
        <v>0</v>
      </c>
      <c r="AX172" s="19"/>
      <c r="AY172"/>
      <c r="AZ172"/>
      <c r="BA172"/>
      <c r="BB172"/>
      <c r="BC172"/>
      <c r="BP172" s="4"/>
      <c r="BQ172" s="4"/>
      <c r="BR172" s="4"/>
      <c r="BS172" s="4"/>
      <c r="BT172" s="4"/>
      <c r="BU172" s="4"/>
      <c r="CI172" s="1">
        <v>7</v>
      </c>
      <c r="CJ172" s="1">
        <v>7</v>
      </c>
      <c r="CK172" s="1">
        <v>7</v>
      </c>
      <c r="CL172" s="1">
        <v>7</v>
      </c>
      <c r="CM172" s="1">
        <v>7</v>
      </c>
      <c r="CN172" s="1">
        <v>7</v>
      </c>
      <c r="CO172" s="1">
        <v>7</v>
      </c>
      <c r="CP172" s="1">
        <v>1</v>
      </c>
      <c r="CQ172" s="1">
        <v>7</v>
      </c>
      <c r="CR172" s="1">
        <v>7</v>
      </c>
      <c r="CS172" s="1">
        <v>7</v>
      </c>
      <c r="CT172" s="1">
        <v>7</v>
      </c>
      <c r="CU172" s="1">
        <v>6</v>
      </c>
      <c r="CV172" s="1">
        <v>7</v>
      </c>
      <c r="CW172" s="1">
        <v>6</v>
      </c>
      <c r="CX172" s="1">
        <v>5</v>
      </c>
      <c r="CY172" s="1">
        <v>7</v>
      </c>
      <c r="CZ172" s="1">
        <v>7</v>
      </c>
      <c r="DA172" s="1">
        <v>7</v>
      </c>
      <c r="DB172" s="1">
        <v>7</v>
      </c>
      <c r="DC172" s="1">
        <v>7</v>
      </c>
      <c r="DD172" s="1">
        <v>7</v>
      </c>
      <c r="DE172" s="1">
        <v>7</v>
      </c>
      <c r="DF172" s="1">
        <v>7</v>
      </c>
      <c r="DG172" s="1">
        <v>3</v>
      </c>
      <c r="DH172" s="1">
        <v>6</v>
      </c>
      <c r="DI172" s="1">
        <v>6</v>
      </c>
      <c r="DJ172" s="1">
        <v>5</v>
      </c>
      <c r="DK172" s="1">
        <v>3</v>
      </c>
      <c r="DL172" s="1">
        <v>7</v>
      </c>
      <c r="DM172" s="19">
        <v>7</v>
      </c>
      <c r="DN172" s="19">
        <v>7</v>
      </c>
      <c r="DO172" s="1">
        <v>7</v>
      </c>
      <c r="DP172" s="1">
        <v>4</v>
      </c>
      <c r="DQ172" s="1">
        <v>7</v>
      </c>
      <c r="DR172" s="1">
        <v>5</v>
      </c>
      <c r="DS172" s="1">
        <v>7</v>
      </c>
      <c r="DT172" s="1">
        <v>7</v>
      </c>
      <c r="DU172" s="27">
        <v>7</v>
      </c>
      <c r="DV172" s="27">
        <v>7</v>
      </c>
      <c r="DW172" s="27">
        <v>7</v>
      </c>
      <c r="DX172" s="27">
        <v>4</v>
      </c>
      <c r="DY172" s="27">
        <v>4</v>
      </c>
      <c r="DZ172" s="27">
        <v>4</v>
      </c>
      <c r="EA172" s="27">
        <v>4</v>
      </c>
      <c r="EB172" s="27">
        <v>7</v>
      </c>
      <c r="EC172" s="27">
        <v>4</v>
      </c>
      <c r="ED172" s="27">
        <v>4</v>
      </c>
      <c r="EE172" s="27">
        <v>4</v>
      </c>
      <c r="EF172" s="27">
        <v>4</v>
      </c>
      <c r="EG172" s="27">
        <v>7</v>
      </c>
      <c r="EH172" s="27">
        <v>7</v>
      </c>
      <c r="EI172" s="27">
        <v>7</v>
      </c>
      <c r="EJ172" s="27">
        <v>7</v>
      </c>
      <c r="EK172" s="27">
        <v>4</v>
      </c>
      <c r="EL172" s="27">
        <v>7</v>
      </c>
      <c r="EM172" s="27">
        <v>1</v>
      </c>
      <c r="EN172" s="27">
        <v>1</v>
      </c>
      <c r="EO172" s="27">
        <v>7</v>
      </c>
      <c r="EP172" s="27">
        <v>7</v>
      </c>
      <c r="EQ172" s="27">
        <v>7</v>
      </c>
      <c r="ER172" s="27">
        <v>7</v>
      </c>
      <c r="ES172" s="27">
        <v>7</v>
      </c>
      <c r="ET172" s="27">
        <v>7</v>
      </c>
      <c r="EU172" s="27">
        <v>7</v>
      </c>
      <c r="EV172" s="27">
        <v>18</v>
      </c>
      <c r="EW172" s="27">
        <v>1</v>
      </c>
      <c r="EY172" s="27">
        <v>1</v>
      </c>
      <c r="FA172" s="27">
        <v>1</v>
      </c>
      <c r="FB172" s="28" t="s">
        <v>883</v>
      </c>
      <c r="FC172" s="27">
        <v>1</v>
      </c>
      <c r="FD172" s="1">
        <v>8</v>
      </c>
      <c r="FE172" s="4"/>
      <c r="FF172" s="4"/>
      <c r="FG172" s="4"/>
      <c r="FH172" s="4"/>
      <c r="FI172" s="4"/>
      <c r="FJ172" s="23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26"/>
      <c r="GF172" s="26"/>
      <c r="GG172" s="4"/>
      <c r="JH172" s="1"/>
      <c r="JV172" s="1"/>
      <c r="KM172" s="4"/>
      <c r="LA172" s="4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</row>
    <row r="173" spans="1:376" x14ac:dyDescent="0.35">
      <c r="A173" s="14">
        <v>43371</v>
      </c>
      <c r="B173" s="16" t="s">
        <v>131</v>
      </c>
      <c r="C173" s="16" t="s">
        <v>334</v>
      </c>
      <c r="D173" s="1">
        <v>172</v>
      </c>
      <c r="E173" s="1">
        <v>4</v>
      </c>
      <c r="F173" s="3">
        <v>3</v>
      </c>
      <c r="H173" s="1">
        <v>43</v>
      </c>
      <c r="I173" s="1">
        <v>4</v>
      </c>
      <c r="K173" s="18">
        <v>0</v>
      </c>
      <c r="L173" s="18">
        <v>0</v>
      </c>
      <c r="M173" s="18">
        <v>1</v>
      </c>
      <c r="N173" s="18">
        <v>1</v>
      </c>
      <c r="O173" s="18">
        <v>1</v>
      </c>
      <c r="P173" s="4">
        <v>0.6</v>
      </c>
      <c r="Q173" s="3">
        <v>52</v>
      </c>
      <c r="R173" s="1">
        <v>43</v>
      </c>
      <c r="S173" s="1">
        <v>43</v>
      </c>
      <c r="T173" s="1">
        <v>100</v>
      </c>
      <c r="U173" s="1">
        <v>111</v>
      </c>
      <c r="V173" s="1">
        <v>111</v>
      </c>
      <c r="W173" s="1">
        <v>97</v>
      </c>
      <c r="X173" s="1">
        <v>92</v>
      </c>
      <c r="Y173" s="1">
        <v>107</v>
      </c>
      <c r="AI173" s="4"/>
      <c r="AJ173" s="4"/>
      <c r="AK173" s="4"/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9">
        <v>0</v>
      </c>
      <c r="AT173" s="19">
        <v>0</v>
      </c>
      <c r="AU173" s="19">
        <v>0</v>
      </c>
      <c r="AV173" s="19">
        <v>0</v>
      </c>
      <c r="AW173" s="19">
        <v>0</v>
      </c>
      <c r="AX173" s="19"/>
      <c r="AY173"/>
      <c r="AZ173"/>
      <c r="BA173"/>
      <c r="BB173"/>
      <c r="BC173"/>
      <c r="BP173" s="4"/>
      <c r="BQ173" s="4"/>
      <c r="BR173" s="4"/>
      <c r="BS173" s="4"/>
      <c r="BT173" s="4"/>
      <c r="BU173" s="4"/>
      <c r="CI173" s="1">
        <v>7</v>
      </c>
      <c r="CJ173" s="1">
        <v>6</v>
      </c>
      <c r="CK173" s="1">
        <v>7</v>
      </c>
      <c r="CL173" s="1">
        <v>7</v>
      </c>
      <c r="CM173" s="1">
        <v>6</v>
      </c>
      <c r="CN173" s="1">
        <v>7</v>
      </c>
      <c r="CO173" s="1">
        <v>6</v>
      </c>
      <c r="CP173" s="1">
        <v>3</v>
      </c>
      <c r="CQ173" s="1">
        <v>7</v>
      </c>
      <c r="CR173" s="1">
        <v>7</v>
      </c>
      <c r="CS173" s="1">
        <v>7</v>
      </c>
      <c r="CT173" s="1">
        <v>5</v>
      </c>
      <c r="CU173" s="1">
        <v>6</v>
      </c>
      <c r="CV173" s="1">
        <v>7</v>
      </c>
      <c r="CW173" s="1">
        <v>7</v>
      </c>
      <c r="CX173" s="1">
        <v>7</v>
      </c>
      <c r="CY173" s="1">
        <v>7</v>
      </c>
      <c r="CZ173" s="1">
        <v>7</v>
      </c>
      <c r="DA173" s="1">
        <v>7</v>
      </c>
      <c r="DB173" s="1">
        <v>7</v>
      </c>
      <c r="DC173" s="1">
        <v>6</v>
      </c>
      <c r="DD173" s="1">
        <v>6</v>
      </c>
      <c r="DE173" s="1">
        <v>7</v>
      </c>
      <c r="DF173" s="1">
        <v>4</v>
      </c>
      <c r="DG173" s="1">
        <v>3</v>
      </c>
      <c r="DH173" s="1">
        <v>5</v>
      </c>
      <c r="DI173" s="1">
        <v>5</v>
      </c>
      <c r="DJ173" s="1">
        <v>5</v>
      </c>
      <c r="DK173" s="1">
        <v>6</v>
      </c>
      <c r="DL173" s="1">
        <v>7</v>
      </c>
      <c r="DM173" s="19">
        <v>7</v>
      </c>
      <c r="DN173" s="19">
        <v>7</v>
      </c>
      <c r="DO173" s="1">
        <v>6</v>
      </c>
      <c r="DP173" s="1">
        <v>5</v>
      </c>
      <c r="DQ173" s="1">
        <v>6</v>
      </c>
      <c r="DR173" s="1">
        <v>3</v>
      </c>
      <c r="DS173" s="1">
        <v>7</v>
      </c>
      <c r="DT173" s="1">
        <v>7</v>
      </c>
      <c r="DU173" s="27">
        <v>7</v>
      </c>
      <c r="DV173" s="27">
        <v>7</v>
      </c>
      <c r="DW173" s="27">
        <v>7</v>
      </c>
      <c r="DX173" s="27">
        <v>1</v>
      </c>
      <c r="DY173" s="27">
        <v>1</v>
      </c>
      <c r="DZ173" s="27">
        <v>1</v>
      </c>
      <c r="EA173" s="27">
        <v>1</v>
      </c>
      <c r="EB173" s="27">
        <v>7</v>
      </c>
      <c r="EC173" s="27">
        <v>5</v>
      </c>
      <c r="ED173" s="27">
        <v>5</v>
      </c>
      <c r="EE173" s="27">
        <v>7</v>
      </c>
      <c r="EF173" s="27">
        <v>7</v>
      </c>
      <c r="EG173" s="27">
        <v>1</v>
      </c>
      <c r="EH173" s="27">
        <v>7</v>
      </c>
      <c r="EI173" s="27">
        <v>7</v>
      </c>
      <c r="EJ173" s="27">
        <v>1</v>
      </c>
      <c r="EK173" s="27">
        <v>1</v>
      </c>
      <c r="EL173" s="27">
        <v>1</v>
      </c>
      <c r="EM173" s="27">
        <v>6</v>
      </c>
      <c r="EN173" s="27">
        <v>7</v>
      </c>
      <c r="EO173" s="27">
        <v>7</v>
      </c>
      <c r="EP173" s="27">
        <v>6</v>
      </c>
      <c r="EQ173" s="27">
        <v>7</v>
      </c>
      <c r="ER173" s="27">
        <v>1</v>
      </c>
      <c r="ES173" s="27">
        <v>1</v>
      </c>
      <c r="ET173" s="27">
        <v>1</v>
      </c>
      <c r="EU173" s="27">
        <v>1</v>
      </c>
      <c r="EV173" s="27">
        <v>19</v>
      </c>
      <c r="EW173" s="27">
        <v>2</v>
      </c>
      <c r="EY173" s="27">
        <v>8</v>
      </c>
      <c r="EZ173" s="28" t="s">
        <v>764</v>
      </c>
      <c r="FA173" s="27">
        <v>1</v>
      </c>
      <c r="FB173" s="28" t="s">
        <v>838</v>
      </c>
      <c r="FC173" s="27">
        <v>1</v>
      </c>
      <c r="FD173" s="1">
        <v>2</v>
      </c>
      <c r="FE173" s="4"/>
      <c r="FF173" s="4"/>
      <c r="FG173" s="4"/>
      <c r="FH173" s="4"/>
      <c r="FI173" s="4"/>
      <c r="FJ173" s="23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26"/>
      <c r="GF173" s="26"/>
      <c r="GG173" s="4"/>
      <c r="JH173" s="1"/>
      <c r="JV173" s="1"/>
      <c r="KM173" s="4"/>
      <c r="LA173" s="4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</row>
    <row r="174" spans="1:376" x14ac:dyDescent="0.35">
      <c r="A174" s="14">
        <v>43371</v>
      </c>
      <c r="B174" s="16" t="s">
        <v>132</v>
      </c>
      <c r="C174" s="16" t="s">
        <v>335</v>
      </c>
      <c r="D174" s="1">
        <v>173</v>
      </c>
      <c r="E174" s="1">
        <v>4</v>
      </c>
      <c r="F174" s="3">
        <v>3</v>
      </c>
      <c r="G174" s="1">
        <v>0</v>
      </c>
      <c r="H174" s="1">
        <v>44</v>
      </c>
      <c r="I174" s="1">
        <v>1</v>
      </c>
      <c r="J174" s="1">
        <v>1</v>
      </c>
      <c r="K174" s="18">
        <v>1</v>
      </c>
      <c r="L174" s="18">
        <v>1</v>
      </c>
      <c r="M174" s="18">
        <v>0</v>
      </c>
      <c r="N174" s="18">
        <v>1</v>
      </c>
      <c r="O174" s="18">
        <v>1</v>
      </c>
      <c r="P174" s="4">
        <v>0.8</v>
      </c>
      <c r="Q174" s="3">
        <v>52</v>
      </c>
      <c r="R174" s="1">
        <v>55</v>
      </c>
      <c r="S174" s="1">
        <v>65</v>
      </c>
      <c r="T174" s="1">
        <v>116</v>
      </c>
      <c r="U174" s="1">
        <v>108</v>
      </c>
      <c r="V174" s="1">
        <v>95</v>
      </c>
      <c r="W174" s="1">
        <v>105</v>
      </c>
      <c r="X174" s="1">
        <v>118</v>
      </c>
      <c r="Y174" s="1">
        <v>112</v>
      </c>
      <c r="Z174" s="1">
        <v>219</v>
      </c>
      <c r="AA174" s="1">
        <v>194</v>
      </c>
      <c r="AB174" s="1">
        <v>195</v>
      </c>
      <c r="AC174" s="1">
        <v>384</v>
      </c>
      <c r="AD174" s="1">
        <v>385</v>
      </c>
      <c r="AE174" s="1">
        <v>406</v>
      </c>
      <c r="AF174" s="1">
        <v>409</v>
      </c>
      <c r="AG174" s="1">
        <v>443</v>
      </c>
      <c r="AH174" s="1">
        <v>396</v>
      </c>
      <c r="AI174" s="4">
        <v>202.67</v>
      </c>
      <c r="AJ174" s="4">
        <v>391.67</v>
      </c>
      <c r="AK174" s="4">
        <v>416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9">
        <v>0</v>
      </c>
      <c r="AT174" s="19">
        <v>0</v>
      </c>
      <c r="AU174" s="19">
        <v>0</v>
      </c>
      <c r="AV174" s="19">
        <v>0</v>
      </c>
      <c r="AW174" s="19">
        <v>0</v>
      </c>
      <c r="AX174" s="19">
        <f t="shared" ref="AX174:BC174" si="86">AL174+AL175+AL176+AL177</f>
        <v>0</v>
      </c>
      <c r="AY174" s="19">
        <f t="shared" si="86"/>
        <v>0</v>
      </c>
      <c r="AZ174" s="19">
        <f t="shared" si="86"/>
        <v>0</v>
      </c>
      <c r="BA174" s="19">
        <f t="shared" si="86"/>
        <v>0</v>
      </c>
      <c r="BB174" s="19">
        <f t="shared" si="86"/>
        <v>0</v>
      </c>
      <c r="BC174" s="19">
        <f t="shared" si="86"/>
        <v>0</v>
      </c>
      <c r="BD174" s="1">
        <f>AX174*3</f>
        <v>0</v>
      </c>
      <c r="BE174" s="1">
        <f t="shared" ref="BE174:BI174" si="87">AY174*3</f>
        <v>0</v>
      </c>
      <c r="BF174" s="1">
        <f t="shared" si="87"/>
        <v>0</v>
      </c>
      <c r="BG174" s="1">
        <f t="shared" si="87"/>
        <v>0</v>
      </c>
      <c r="BH174" s="1">
        <f t="shared" si="87"/>
        <v>0</v>
      </c>
      <c r="BI174" s="1">
        <f t="shared" si="87"/>
        <v>0</v>
      </c>
      <c r="BJ174" s="1">
        <f>AX174+AY174+AZ174</f>
        <v>0</v>
      </c>
      <c r="BK174" s="1">
        <f>BA174+BB174+BC174</f>
        <v>0</v>
      </c>
      <c r="BL174" s="1">
        <f>BJ174*3</f>
        <v>0</v>
      </c>
      <c r="BM174" s="1">
        <f>BK174*3</f>
        <v>0</v>
      </c>
      <c r="BN174" s="1">
        <f>BL174/3</f>
        <v>0</v>
      </c>
      <c r="BO174" s="1">
        <f>BM174/3</f>
        <v>0</v>
      </c>
      <c r="BP174" s="4">
        <v>202.66666666666666</v>
      </c>
      <c r="BQ174" s="4">
        <v>391.66666666666669</v>
      </c>
      <c r="BR174" s="4">
        <v>416</v>
      </c>
      <c r="BS174" s="4">
        <v>391.67</v>
      </c>
      <c r="BT174" s="4">
        <v>416</v>
      </c>
      <c r="BU174" s="4">
        <v>3.67</v>
      </c>
      <c r="BV174" s="1">
        <v>4</v>
      </c>
      <c r="BW174" s="1">
        <v>4</v>
      </c>
      <c r="BX174" s="1">
        <v>4</v>
      </c>
      <c r="BY174" s="1">
        <v>4</v>
      </c>
      <c r="BZ174" s="1">
        <v>1</v>
      </c>
      <c r="CA174" s="1">
        <v>1</v>
      </c>
      <c r="CB174" s="1">
        <v>1</v>
      </c>
      <c r="CC174" s="1">
        <v>1</v>
      </c>
      <c r="CD174" s="1">
        <v>1</v>
      </c>
      <c r="CE174" s="1">
        <v>1</v>
      </c>
      <c r="CF174" s="1">
        <v>1</v>
      </c>
      <c r="CG174" s="1">
        <v>1</v>
      </c>
      <c r="CH174" s="1">
        <v>0</v>
      </c>
      <c r="CI174" s="1">
        <v>7</v>
      </c>
      <c r="CJ174" s="1">
        <v>7</v>
      </c>
      <c r="CK174" s="1">
        <v>7</v>
      </c>
      <c r="CL174" s="1">
        <v>7</v>
      </c>
      <c r="CM174" s="1">
        <v>7</v>
      </c>
      <c r="CN174" s="1">
        <v>7</v>
      </c>
      <c r="CO174" s="1">
        <v>7</v>
      </c>
      <c r="CP174" s="1">
        <v>1</v>
      </c>
      <c r="CQ174" s="1">
        <v>7</v>
      </c>
      <c r="CR174" s="1">
        <v>7</v>
      </c>
      <c r="CS174" s="1">
        <v>7</v>
      </c>
      <c r="CT174" s="1">
        <v>7</v>
      </c>
      <c r="CU174" s="1">
        <v>7</v>
      </c>
      <c r="CV174" s="1">
        <v>7</v>
      </c>
      <c r="CW174" s="1">
        <v>7</v>
      </c>
      <c r="CX174" s="1">
        <v>7</v>
      </c>
      <c r="CY174" s="1">
        <v>7</v>
      </c>
      <c r="CZ174" s="1">
        <v>7</v>
      </c>
      <c r="DA174" s="1">
        <v>7</v>
      </c>
      <c r="DB174" s="1">
        <v>7</v>
      </c>
      <c r="DC174" s="1">
        <v>7</v>
      </c>
      <c r="DD174" s="1">
        <v>7</v>
      </c>
      <c r="DE174" s="1">
        <v>6</v>
      </c>
      <c r="DF174" s="1">
        <v>1</v>
      </c>
      <c r="DG174" s="1">
        <v>6</v>
      </c>
      <c r="DH174" s="1">
        <v>6</v>
      </c>
      <c r="DI174" s="1">
        <v>1</v>
      </c>
      <c r="DJ174" s="1">
        <v>7</v>
      </c>
      <c r="DK174" s="1">
        <v>2</v>
      </c>
      <c r="DL174" s="1">
        <v>7</v>
      </c>
      <c r="DM174" s="19">
        <v>7</v>
      </c>
      <c r="DN174" s="19">
        <v>7</v>
      </c>
      <c r="DO174" s="1">
        <v>7</v>
      </c>
      <c r="DP174" s="1">
        <v>6</v>
      </c>
      <c r="DQ174" s="1">
        <v>1</v>
      </c>
      <c r="DR174" s="1">
        <v>7</v>
      </c>
      <c r="DS174" s="1">
        <v>7</v>
      </c>
      <c r="DT174" s="1">
        <v>7</v>
      </c>
      <c r="DU174" s="27">
        <v>7</v>
      </c>
      <c r="DV174" s="27">
        <v>7</v>
      </c>
      <c r="DW174" s="27">
        <v>7</v>
      </c>
      <c r="DX174" s="27">
        <v>1</v>
      </c>
      <c r="DY174" s="27">
        <v>1</v>
      </c>
      <c r="DZ174" s="27">
        <v>1</v>
      </c>
      <c r="EA174" s="27">
        <v>1</v>
      </c>
      <c r="EB174" s="27">
        <v>7</v>
      </c>
      <c r="EC174" s="27">
        <v>7</v>
      </c>
      <c r="ED174" s="27">
        <v>7</v>
      </c>
      <c r="EE174" s="27">
        <v>7</v>
      </c>
      <c r="EF174" s="27">
        <v>7</v>
      </c>
      <c r="EG174" s="27">
        <v>7</v>
      </c>
      <c r="EH174" s="27">
        <v>7</v>
      </c>
      <c r="EI174" s="27">
        <v>7</v>
      </c>
      <c r="EJ174" s="27">
        <v>7</v>
      </c>
      <c r="EK174" s="27">
        <v>7</v>
      </c>
      <c r="EL174" s="27">
        <v>7</v>
      </c>
      <c r="EM174" s="27">
        <v>1</v>
      </c>
      <c r="EN174" s="27">
        <v>1</v>
      </c>
      <c r="EO174" s="27">
        <v>7</v>
      </c>
      <c r="EP174" s="27">
        <v>7</v>
      </c>
      <c r="EQ174" s="27">
        <v>7</v>
      </c>
      <c r="ER174" s="27">
        <v>7</v>
      </c>
      <c r="ES174" s="27">
        <v>7</v>
      </c>
      <c r="ET174" s="27">
        <v>7</v>
      </c>
      <c r="EU174" s="27">
        <v>7</v>
      </c>
      <c r="EV174" s="27">
        <v>19</v>
      </c>
      <c r="EW174" s="27">
        <v>1</v>
      </c>
      <c r="EY174" s="27">
        <v>1</v>
      </c>
      <c r="FA174" s="27">
        <v>1</v>
      </c>
      <c r="FB174" s="28" t="s">
        <v>884</v>
      </c>
      <c r="FC174" s="27">
        <v>0</v>
      </c>
      <c r="FD174" s="1">
        <v>9</v>
      </c>
      <c r="FE174" s="4">
        <v>6.75</v>
      </c>
      <c r="FF174" s="4">
        <v>6.38</v>
      </c>
      <c r="FG174" s="4">
        <v>8.06</v>
      </c>
      <c r="FH174" s="4">
        <v>7</v>
      </c>
      <c r="FI174" s="4">
        <v>6.5</v>
      </c>
      <c r="FJ174" s="23">
        <v>6.25</v>
      </c>
      <c r="FK174" s="4">
        <v>4.63</v>
      </c>
      <c r="FL174" s="4">
        <v>6.88</v>
      </c>
      <c r="FM174" s="4">
        <v>5.63</v>
      </c>
      <c r="FN174" s="4">
        <v>5.63</v>
      </c>
      <c r="FO174" s="4">
        <v>6.33</v>
      </c>
      <c r="FP174" s="4">
        <v>6.75</v>
      </c>
      <c r="FQ174" s="4">
        <v>3.25</v>
      </c>
      <c r="FR174" s="4">
        <v>1.75</v>
      </c>
      <c r="FS174" s="4">
        <v>6.25</v>
      </c>
      <c r="FT174" s="4">
        <v>7</v>
      </c>
      <c r="FU174" s="4">
        <v>6</v>
      </c>
      <c r="FV174" s="4">
        <v>6.25</v>
      </c>
      <c r="FW174" s="4">
        <v>5.5</v>
      </c>
      <c r="FX174" s="4">
        <v>7</v>
      </c>
      <c r="FY174" s="4">
        <v>6.75</v>
      </c>
      <c r="FZ174" s="4">
        <v>6.42</v>
      </c>
      <c r="GA174" s="4">
        <v>3.38</v>
      </c>
      <c r="GB174" s="4">
        <v>6.67</v>
      </c>
      <c r="GC174" s="4">
        <v>6.63</v>
      </c>
      <c r="GD174" s="4">
        <v>5.63</v>
      </c>
      <c r="GE174" s="26"/>
      <c r="GF174" s="26"/>
      <c r="GG174" s="4"/>
      <c r="JH174" s="1"/>
      <c r="JV174" s="1"/>
      <c r="KM174" s="4"/>
      <c r="LA174" s="4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</row>
    <row r="175" spans="1:376" x14ac:dyDescent="0.35">
      <c r="A175" s="14">
        <v>43371</v>
      </c>
      <c r="B175" s="16" t="s">
        <v>132</v>
      </c>
      <c r="C175" s="16" t="s">
        <v>336</v>
      </c>
      <c r="D175" s="1">
        <v>174</v>
      </c>
      <c r="E175" s="1">
        <v>4</v>
      </c>
      <c r="F175" s="3">
        <v>3</v>
      </c>
      <c r="H175" s="1">
        <v>44</v>
      </c>
      <c r="I175" s="1">
        <v>2</v>
      </c>
      <c r="K175" s="18">
        <v>0</v>
      </c>
      <c r="L175" s="18">
        <v>1</v>
      </c>
      <c r="M175" s="18">
        <v>1</v>
      </c>
      <c r="N175" s="18">
        <v>1</v>
      </c>
      <c r="O175" s="18">
        <v>0</v>
      </c>
      <c r="P175" s="4">
        <v>0.6</v>
      </c>
      <c r="Q175" s="3">
        <v>72</v>
      </c>
      <c r="R175" s="1">
        <v>57</v>
      </c>
      <c r="S175" s="1">
        <v>47</v>
      </c>
      <c r="T175" s="1">
        <v>100</v>
      </c>
      <c r="U175" s="1">
        <v>77</v>
      </c>
      <c r="V175" s="1">
        <v>118</v>
      </c>
      <c r="W175" s="1">
        <v>98</v>
      </c>
      <c r="X175" s="1">
        <v>121</v>
      </c>
      <c r="Y175" s="1">
        <v>97</v>
      </c>
      <c r="AI175" s="4"/>
      <c r="AJ175" s="4"/>
      <c r="AK175" s="4"/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9">
        <v>0</v>
      </c>
      <c r="AT175" s="19">
        <v>0</v>
      </c>
      <c r="AU175" s="19">
        <v>0</v>
      </c>
      <c r="AV175" s="19">
        <v>0</v>
      </c>
      <c r="AW175" s="19">
        <v>0</v>
      </c>
      <c r="AX175" s="19"/>
      <c r="AY175"/>
      <c r="AZ175"/>
      <c r="BA175"/>
      <c r="BB175"/>
      <c r="BC175"/>
      <c r="BP175" s="4"/>
      <c r="BQ175" s="4"/>
      <c r="BR175" s="4"/>
      <c r="BS175" s="4"/>
      <c r="BT175" s="4"/>
      <c r="BU175" s="4"/>
      <c r="CI175" s="1">
        <v>7</v>
      </c>
      <c r="CJ175" s="1">
        <v>7</v>
      </c>
      <c r="CK175" s="1">
        <v>7</v>
      </c>
      <c r="CL175" s="1">
        <v>6</v>
      </c>
      <c r="CM175" s="1">
        <v>6</v>
      </c>
      <c r="CN175" s="1">
        <v>6</v>
      </c>
      <c r="CO175" s="1">
        <v>6</v>
      </c>
      <c r="CP175" s="1">
        <v>2</v>
      </c>
      <c r="CQ175" s="1">
        <v>6</v>
      </c>
      <c r="CR175" s="1">
        <v>6</v>
      </c>
      <c r="CS175" s="1">
        <v>6</v>
      </c>
      <c r="CT175" s="1">
        <v>6</v>
      </c>
      <c r="CU175" s="1">
        <v>6</v>
      </c>
      <c r="CV175" s="1">
        <v>6</v>
      </c>
      <c r="CW175" s="1">
        <v>6</v>
      </c>
      <c r="CX175" s="1">
        <v>6</v>
      </c>
      <c r="CY175" s="1">
        <v>6</v>
      </c>
      <c r="CZ175" s="1">
        <v>7</v>
      </c>
      <c r="DA175" s="1">
        <v>7</v>
      </c>
      <c r="DB175" s="1">
        <v>7</v>
      </c>
      <c r="DC175" s="1">
        <v>7</v>
      </c>
      <c r="DD175" s="1">
        <v>6</v>
      </c>
      <c r="DE175" s="1">
        <v>7</v>
      </c>
      <c r="DF175" s="1">
        <v>5</v>
      </c>
      <c r="DG175" s="1">
        <v>4</v>
      </c>
      <c r="DH175" s="1">
        <v>7</v>
      </c>
      <c r="DI175" s="1">
        <v>6</v>
      </c>
      <c r="DJ175" s="1">
        <v>7</v>
      </c>
      <c r="DK175" s="1">
        <v>3</v>
      </c>
      <c r="DL175" s="1">
        <v>7</v>
      </c>
      <c r="DM175" s="19">
        <v>6</v>
      </c>
      <c r="DN175" s="19">
        <v>7</v>
      </c>
      <c r="DO175" s="1">
        <v>6</v>
      </c>
      <c r="DP175" s="1">
        <v>6</v>
      </c>
      <c r="DQ175" s="1">
        <v>7</v>
      </c>
      <c r="DR175" s="1">
        <v>4</v>
      </c>
      <c r="DS175" s="1">
        <v>6</v>
      </c>
      <c r="DT175" s="1">
        <v>6</v>
      </c>
      <c r="DU175" s="27">
        <v>7</v>
      </c>
      <c r="DV175" s="27">
        <v>7</v>
      </c>
      <c r="DW175" s="27">
        <v>7</v>
      </c>
      <c r="DX175" s="27">
        <v>6</v>
      </c>
      <c r="DY175" s="27">
        <v>5</v>
      </c>
      <c r="DZ175" s="27">
        <v>3</v>
      </c>
      <c r="EA175" s="27">
        <v>1</v>
      </c>
      <c r="EB175" s="27">
        <v>6</v>
      </c>
      <c r="EC175" s="27">
        <v>7</v>
      </c>
      <c r="ED175" s="27">
        <v>5</v>
      </c>
      <c r="EE175" s="27">
        <v>7</v>
      </c>
      <c r="EF175" s="27">
        <v>3</v>
      </c>
      <c r="EG175" s="27">
        <v>7</v>
      </c>
      <c r="EH175" s="27">
        <v>6</v>
      </c>
      <c r="EI175" s="27">
        <v>6</v>
      </c>
      <c r="EJ175" s="27">
        <v>6</v>
      </c>
      <c r="EK175" s="27">
        <v>6</v>
      </c>
      <c r="EL175" s="27">
        <v>6</v>
      </c>
      <c r="EM175" s="27">
        <v>2</v>
      </c>
      <c r="EN175" s="27">
        <v>2</v>
      </c>
      <c r="EO175" s="27">
        <v>7</v>
      </c>
      <c r="EP175" s="27">
        <v>7</v>
      </c>
      <c r="EQ175" s="27">
        <v>4</v>
      </c>
      <c r="ER175" s="27">
        <v>6</v>
      </c>
      <c r="ES175" s="27">
        <v>6</v>
      </c>
      <c r="ET175" s="27">
        <v>4</v>
      </c>
      <c r="EU175" s="27">
        <v>4</v>
      </c>
      <c r="EV175" s="27">
        <v>18</v>
      </c>
      <c r="EW175" s="27">
        <v>1</v>
      </c>
      <c r="EY175" s="27">
        <v>1</v>
      </c>
      <c r="FA175" s="27">
        <v>1</v>
      </c>
      <c r="FB175" s="28" t="s">
        <v>785</v>
      </c>
      <c r="FC175" s="27">
        <v>1</v>
      </c>
      <c r="FD175" s="1">
        <v>4</v>
      </c>
      <c r="FE175" s="4"/>
      <c r="FF175" s="4"/>
      <c r="FG175" s="4"/>
      <c r="FH175" s="4"/>
      <c r="FI175" s="4"/>
      <c r="FJ175" s="23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26"/>
      <c r="GF175" s="26"/>
      <c r="GG175" s="4"/>
      <c r="JH175" s="1"/>
      <c r="JV175" s="1"/>
      <c r="KM175" s="4"/>
      <c r="LA175" s="4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</row>
    <row r="176" spans="1:376" x14ac:dyDescent="0.35">
      <c r="A176" s="14">
        <v>43371</v>
      </c>
      <c r="B176" s="16" t="s">
        <v>132</v>
      </c>
      <c r="C176" s="16" t="s">
        <v>337</v>
      </c>
      <c r="D176" s="1">
        <v>175</v>
      </c>
      <c r="E176" s="1">
        <v>4</v>
      </c>
      <c r="F176" s="3">
        <v>3</v>
      </c>
      <c r="H176" s="1">
        <v>44</v>
      </c>
      <c r="I176" s="1">
        <v>3</v>
      </c>
      <c r="K176" s="18">
        <v>0</v>
      </c>
      <c r="L176" s="18">
        <v>1</v>
      </c>
      <c r="M176" s="18">
        <v>0</v>
      </c>
      <c r="N176" s="18">
        <v>1</v>
      </c>
      <c r="O176" s="18">
        <v>0</v>
      </c>
      <c r="P176" s="4">
        <v>0.4</v>
      </c>
      <c r="Q176" s="3">
        <v>55</v>
      </c>
      <c r="R176" s="1">
        <v>45</v>
      </c>
      <c r="S176" s="1">
        <v>41</v>
      </c>
      <c r="T176" s="1">
        <v>83</v>
      </c>
      <c r="U176" s="1">
        <v>107</v>
      </c>
      <c r="V176" s="1">
        <v>97</v>
      </c>
      <c r="W176" s="1">
        <v>94</v>
      </c>
      <c r="X176" s="1">
        <v>94</v>
      </c>
      <c r="Y176" s="1">
        <v>87</v>
      </c>
      <c r="AI176" s="4"/>
      <c r="AJ176" s="4"/>
      <c r="AK176" s="4"/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9">
        <v>0</v>
      </c>
      <c r="AT176" s="19">
        <v>0</v>
      </c>
      <c r="AU176" s="19">
        <v>0</v>
      </c>
      <c r="AV176" s="19">
        <v>0</v>
      </c>
      <c r="AW176" s="19">
        <v>0</v>
      </c>
      <c r="AX176" s="19"/>
      <c r="AY176"/>
      <c r="AZ176"/>
      <c r="BA176"/>
      <c r="BB176"/>
      <c r="BC176"/>
      <c r="BP176" s="4"/>
      <c r="BQ176" s="4"/>
      <c r="BR176" s="4"/>
      <c r="BS176" s="4"/>
      <c r="BT176" s="4"/>
      <c r="BU176" s="4"/>
      <c r="CI176" s="1">
        <v>7</v>
      </c>
      <c r="CJ176" s="1">
        <v>7</v>
      </c>
      <c r="CK176" s="1">
        <v>7</v>
      </c>
      <c r="CL176" s="1">
        <v>5</v>
      </c>
      <c r="CM176" s="1">
        <v>7</v>
      </c>
      <c r="CN176" s="1">
        <v>7</v>
      </c>
      <c r="CO176" s="1">
        <v>6</v>
      </c>
      <c r="CP176" s="1">
        <v>3</v>
      </c>
      <c r="CQ176" s="1">
        <v>6</v>
      </c>
      <c r="CR176" s="1">
        <v>6</v>
      </c>
      <c r="CS176" s="1">
        <v>6</v>
      </c>
      <c r="CT176" s="1">
        <v>5</v>
      </c>
      <c r="CU176" s="1">
        <v>6</v>
      </c>
      <c r="CV176" s="1">
        <v>6</v>
      </c>
      <c r="CW176" s="1">
        <v>6</v>
      </c>
      <c r="CX176" s="1">
        <v>6</v>
      </c>
      <c r="CY176" s="1">
        <v>6</v>
      </c>
      <c r="CZ176" s="1">
        <v>7</v>
      </c>
      <c r="DA176" s="1">
        <v>7</v>
      </c>
      <c r="DB176" s="1">
        <v>7</v>
      </c>
      <c r="DC176" s="1">
        <v>6</v>
      </c>
      <c r="DD176" s="1">
        <v>5</v>
      </c>
      <c r="DE176" s="1">
        <v>6</v>
      </c>
      <c r="DF176" s="1">
        <v>4</v>
      </c>
      <c r="DG176" s="1">
        <v>3</v>
      </c>
      <c r="DH176" s="1">
        <v>3</v>
      </c>
      <c r="DI176" s="1">
        <v>4</v>
      </c>
      <c r="DJ176" s="1">
        <v>4</v>
      </c>
      <c r="DK176" s="1">
        <v>6</v>
      </c>
      <c r="DL176" s="1">
        <v>7</v>
      </c>
      <c r="DM176" s="19">
        <v>7</v>
      </c>
      <c r="DN176" s="19">
        <v>7</v>
      </c>
      <c r="DO176" s="1">
        <v>4</v>
      </c>
      <c r="DP176" s="1">
        <v>6</v>
      </c>
      <c r="DQ176" s="1">
        <v>5</v>
      </c>
      <c r="DR176" s="1">
        <v>5</v>
      </c>
      <c r="DS176" s="1">
        <v>7</v>
      </c>
      <c r="DT176" s="1">
        <v>6</v>
      </c>
      <c r="DU176" s="27">
        <v>7</v>
      </c>
      <c r="DV176" s="27">
        <v>7</v>
      </c>
      <c r="DW176" s="27">
        <v>5</v>
      </c>
      <c r="DX176" s="27">
        <v>3</v>
      </c>
      <c r="DY176" s="27">
        <v>1</v>
      </c>
      <c r="DZ176" s="27">
        <v>5</v>
      </c>
      <c r="EA176" s="27">
        <v>1</v>
      </c>
      <c r="EB176" s="27">
        <v>5</v>
      </c>
      <c r="EC176" s="27">
        <v>7</v>
      </c>
      <c r="ED176" s="27">
        <v>7</v>
      </c>
      <c r="EE176" s="27">
        <v>5</v>
      </c>
      <c r="EF176" s="27">
        <v>6</v>
      </c>
      <c r="EG176" s="27">
        <v>7</v>
      </c>
      <c r="EH176" s="27">
        <v>7</v>
      </c>
      <c r="EI176" s="27">
        <v>7</v>
      </c>
      <c r="EJ176" s="27">
        <v>6</v>
      </c>
      <c r="EK176" s="27">
        <v>7</v>
      </c>
      <c r="EL176" s="27">
        <v>7</v>
      </c>
      <c r="EM176" s="27">
        <v>4</v>
      </c>
      <c r="EN176" s="27">
        <v>4</v>
      </c>
      <c r="EO176" s="27">
        <v>7</v>
      </c>
      <c r="EP176" s="27">
        <v>7</v>
      </c>
      <c r="EQ176" s="27">
        <v>7</v>
      </c>
      <c r="ER176" s="27">
        <v>7</v>
      </c>
      <c r="ES176" s="27">
        <v>7</v>
      </c>
      <c r="ET176" s="27">
        <v>5</v>
      </c>
      <c r="EU176" s="27">
        <v>4</v>
      </c>
      <c r="EV176" s="27">
        <v>18</v>
      </c>
      <c r="EW176" s="27">
        <v>2</v>
      </c>
      <c r="EY176" s="27">
        <v>1</v>
      </c>
      <c r="FA176" s="27">
        <v>1</v>
      </c>
      <c r="FB176" s="28" t="s">
        <v>785</v>
      </c>
      <c r="FC176" s="27">
        <v>1</v>
      </c>
      <c r="FD176" s="1">
        <v>7</v>
      </c>
      <c r="FE176" s="4"/>
      <c r="FF176" s="4"/>
      <c r="FG176" s="4"/>
      <c r="FH176" s="4"/>
      <c r="FI176" s="4"/>
      <c r="FJ176" s="23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26"/>
      <c r="GF176" s="26"/>
      <c r="GG176" s="4"/>
      <c r="JH176" s="1"/>
      <c r="JV176" s="1"/>
      <c r="KM176" s="4"/>
      <c r="LA176" s="4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</row>
    <row r="177" spans="1:376" x14ac:dyDescent="0.35">
      <c r="A177" s="14">
        <v>43371</v>
      </c>
      <c r="B177" s="16" t="s">
        <v>132</v>
      </c>
      <c r="C177" s="16" t="s">
        <v>338</v>
      </c>
      <c r="D177" s="1">
        <v>176</v>
      </c>
      <c r="E177" s="1">
        <v>4</v>
      </c>
      <c r="F177" s="3">
        <v>3</v>
      </c>
      <c r="H177" s="1">
        <v>44</v>
      </c>
      <c r="I177" s="1">
        <v>4</v>
      </c>
      <c r="K177" s="18">
        <v>0</v>
      </c>
      <c r="L177" s="18">
        <v>1</v>
      </c>
      <c r="M177" s="18">
        <v>1</v>
      </c>
      <c r="N177" s="18">
        <v>1</v>
      </c>
      <c r="O177" s="18">
        <v>1</v>
      </c>
      <c r="P177" s="4">
        <v>0.8</v>
      </c>
      <c r="Q177" s="3">
        <v>40</v>
      </c>
      <c r="R177" s="1">
        <v>37</v>
      </c>
      <c r="S177" s="1">
        <v>42</v>
      </c>
      <c r="T177" s="1">
        <v>85</v>
      </c>
      <c r="U177" s="1">
        <v>93</v>
      </c>
      <c r="V177" s="1">
        <v>96</v>
      </c>
      <c r="W177" s="1">
        <v>112</v>
      </c>
      <c r="X177" s="1">
        <v>110</v>
      </c>
      <c r="Y177" s="1">
        <v>100</v>
      </c>
      <c r="AI177" s="4"/>
      <c r="AJ177" s="4"/>
      <c r="AK177" s="4"/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9">
        <v>0</v>
      </c>
      <c r="AT177" s="19">
        <v>0</v>
      </c>
      <c r="AU177" s="19">
        <v>0</v>
      </c>
      <c r="AV177" s="19">
        <v>0</v>
      </c>
      <c r="AW177" s="19">
        <v>0</v>
      </c>
      <c r="AX177" s="19"/>
      <c r="AY177"/>
      <c r="AZ177"/>
      <c r="BA177"/>
      <c r="BB177"/>
      <c r="BC177"/>
      <c r="BP177" s="4"/>
      <c r="BQ177" s="4"/>
      <c r="BR177" s="4"/>
      <c r="BS177" s="4"/>
      <c r="BT177" s="4"/>
      <c r="BU177" s="4"/>
      <c r="CI177" s="1">
        <v>7</v>
      </c>
      <c r="CJ177" s="1">
        <v>7</v>
      </c>
      <c r="CK177" s="1">
        <v>7</v>
      </c>
      <c r="CL177" s="1">
        <v>7</v>
      </c>
      <c r="CM177" s="1">
        <v>7</v>
      </c>
      <c r="CN177" s="1">
        <v>7</v>
      </c>
      <c r="CO177" s="1">
        <v>7</v>
      </c>
      <c r="CP177" s="1">
        <v>2</v>
      </c>
      <c r="CQ177" s="1">
        <v>7</v>
      </c>
      <c r="CR177" s="1">
        <v>7</v>
      </c>
      <c r="CS177" s="1">
        <v>7</v>
      </c>
      <c r="CT177" s="1">
        <v>6</v>
      </c>
      <c r="CU177" s="1">
        <v>7</v>
      </c>
      <c r="CV177" s="1">
        <v>7</v>
      </c>
      <c r="CW177" s="1">
        <v>7</v>
      </c>
      <c r="CX177" s="1">
        <v>7</v>
      </c>
      <c r="CY177" s="1">
        <v>6</v>
      </c>
      <c r="CZ177" s="1">
        <v>7</v>
      </c>
      <c r="DA177" s="1">
        <v>7</v>
      </c>
      <c r="DB177" s="1">
        <v>7</v>
      </c>
      <c r="DC177" s="1">
        <v>7</v>
      </c>
      <c r="DD177" s="1">
        <v>7</v>
      </c>
      <c r="DE177" s="1">
        <v>6</v>
      </c>
      <c r="DF177" s="1">
        <v>5</v>
      </c>
      <c r="DG177" s="1">
        <v>1</v>
      </c>
      <c r="DH177" s="1">
        <v>6</v>
      </c>
      <c r="DI177" s="1">
        <v>6</v>
      </c>
      <c r="DJ177" s="1">
        <v>7</v>
      </c>
      <c r="DK177" s="1">
        <v>7</v>
      </c>
      <c r="DL177" s="1">
        <v>7</v>
      </c>
      <c r="DM177" s="19">
        <v>7</v>
      </c>
      <c r="DN177" s="19">
        <v>3</v>
      </c>
      <c r="DO177" s="1">
        <v>4</v>
      </c>
      <c r="DP177" s="1">
        <v>7</v>
      </c>
      <c r="DQ177" s="1">
        <v>7</v>
      </c>
      <c r="DR177" s="1">
        <v>7</v>
      </c>
      <c r="DS177" s="1">
        <v>7</v>
      </c>
      <c r="DT177" s="1">
        <v>7</v>
      </c>
      <c r="DU177" s="27">
        <v>7</v>
      </c>
      <c r="DV177" s="27">
        <v>7</v>
      </c>
      <c r="DW177" s="27">
        <v>6</v>
      </c>
      <c r="DX177" s="27">
        <v>6</v>
      </c>
      <c r="DY177" s="27">
        <v>3</v>
      </c>
      <c r="DZ177" s="27">
        <v>6</v>
      </c>
      <c r="EA177" s="27">
        <v>4</v>
      </c>
      <c r="EB177" s="27">
        <v>7</v>
      </c>
      <c r="EC177" s="27">
        <v>7</v>
      </c>
      <c r="ED177" s="27">
        <v>5</v>
      </c>
      <c r="EE177" s="27">
        <v>6</v>
      </c>
      <c r="EF177" s="27">
        <v>6</v>
      </c>
      <c r="EG177" s="27">
        <v>7</v>
      </c>
      <c r="EH177" s="27">
        <v>7</v>
      </c>
      <c r="EI177" s="27">
        <v>7</v>
      </c>
      <c r="EJ177" s="27">
        <v>4</v>
      </c>
      <c r="EK177" s="27">
        <v>7</v>
      </c>
      <c r="EL177" s="27">
        <v>7</v>
      </c>
      <c r="EM177" s="27">
        <v>6</v>
      </c>
      <c r="EN177" s="27">
        <v>7</v>
      </c>
      <c r="EO177" s="27">
        <v>7</v>
      </c>
      <c r="EP177" s="27">
        <v>7</v>
      </c>
      <c r="EQ177" s="27">
        <v>6</v>
      </c>
      <c r="ER177" s="27">
        <v>7</v>
      </c>
      <c r="ES177" s="27">
        <v>6</v>
      </c>
      <c r="ET177" s="27">
        <v>7</v>
      </c>
      <c r="EU177" s="27">
        <v>7</v>
      </c>
      <c r="EV177" s="27">
        <v>18</v>
      </c>
      <c r="EW177" s="27">
        <v>2</v>
      </c>
      <c r="EY177" s="27">
        <v>1</v>
      </c>
      <c r="FA177" s="27">
        <v>1</v>
      </c>
      <c r="FB177" s="28" t="s">
        <v>877</v>
      </c>
      <c r="FC177" s="27">
        <v>1</v>
      </c>
      <c r="FD177" s="1">
        <v>5</v>
      </c>
      <c r="FE177" s="4"/>
      <c r="FF177" s="4"/>
      <c r="FG177" s="4"/>
      <c r="FH177" s="4"/>
      <c r="FI177" s="4"/>
      <c r="FJ177" s="23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26"/>
      <c r="GF177" s="26"/>
      <c r="GG177" s="4"/>
      <c r="JH177" s="1"/>
      <c r="JV177" s="1"/>
      <c r="KM177" s="4"/>
      <c r="LA177" s="4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</row>
    <row r="178" spans="1:376" x14ac:dyDescent="0.35">
      <c r="A178" s="14">
        <v>43371</v>
      </c>
      <c r="B178" s="16" t="s">
        <v>133</v>
      </c>
      <c r="C178" s="16" t="s">
        <v>339</v>
      </c>
      <c r="D178" s="1">
        <v>177</v>
      </c>
      <c r="E178" s="1">
        <v>4</v>
      </c>
      <c r="F178" s="3">
        <v>3</v>
      </c>
      <c r="G178" s="1">
        <v>0</v>
      </c>
      <c r="H178" s="1">
        <v>45</v>
      </c>
      <c r="I178" s="1">
        <v>1</v>
      </c>
      <c r="J178" s="1">
        <v>1</v>
      </c>
      <c r="K178" s="18">
        <v>1</v>
      </c>
      <c r="L178" s="18">
        <v>1</v>
      </c>
      <c r="M178" s="18">
        <v>1</v>
      </c>
      <c r="N178" s="18">
        <v>1</v>
      </c>
      <c r="O178" s="18">
        <v>0</v>
      </c>
      <c r="P178" s="4">
        <v>0.8</v>
      </c>
      <c r="Q178" s="3">
        <v>39</v>
      </c>
      <c r="R178" s="1">
        <v>44</v>
      </c>
      <c r="S178" s="1">
        <v>52</v>
      </c>
      <c r="T178" s="1">
        <v>81</v>
      </c>
      <c r="U178" s="1">
        <v>82</v>
      </c>
      <c r="V178" s="1">
        <v>89</v>
      </c>
      <c r="W178" s="1">
        <v>40</v>
      </c>
      <c r="X178" s="1">
        <v>44</v>
      </c>
      <c r="Y178" s="1">
        <v>49</v>
      </c>
      <c r="Z178" s="1">
        <v>226</v>
      </c>
      <c r="AA178" s="1">
        <v>218</v>
      </c>
      <c r="AB178" s="1">
        <v>207</v>
      </c>
      <c r="AC178" s="1">
        <v>284</v>
      </c>
      <c r="AD178" s="1">
        <v>356</v>
      </c>
      <c r="AE178" s="1">
        <v>338</v>
      </c>
      <c r="AF178" s="1">
        <v>206</v>
      </c>
      <c r="AG178" s="1">
        <v>196</v>
      </c>
      <c r="AH178" s="1">
        <v>202</v>
      </c>
      <c r="AI178" s="4">
        <v>217</v>
      </c>
      <c r="AJ178" s="4">
        <v>326</v>
      </c>
      <c r="AK178" s="4">
        <v>201.33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9">
        <v>0</v>
      </c>
      <c r="AT178" s="19">
        <v>0</v>
      </c>
      <c r="AU178" s="19">
        <v>0</v>
      </c>
      <c r="AV178" s="19">
        <v>0</v>
      </c>
      <c r="AW178" s="19">
        <v>0</v>
      </c>
      <c r="AX178" s="19">
        <f t="shared" ref="AX178:BC178" si="88">AL178+AL179+AL180+AL181</f>
        <v>0</v>
      </c>
      <c r="AY178" s="19">
        <f t="shared" si="88"/>
        <v>0</v>
      </c>
      <c r="AZ178" s="19">
        <f t="shared" si="88"/>
        <v>0</v>
      </c>
      <c r="BA178" s="19">
        <f t="shared" si="88"/>
        <v>7</v>
      </c>
      <c r="BB178" s="19">
        <f t="shared" si="88"/>
        <v>0</v>
      </c>
      <c r="BC178" s="19">
        <f t="shared" si="88"/>
        <v>0</v>
      </c>
      <c r="BD178" s="1">
        <f>AX178*3</f>
        <v>0</v>
      </c>
      <c r="BE178" s="1">
        <f t="shared" ref="BE178:BI178" si="89">AY178*3</f>
        <v>0</v>
      </c>
      <c r="BF178" s="1">
        <f t="shared" si="89"/>
        <v>0</v>
      </c>
      <c r="BG178" s="1">
        <f t="shared" si="89"/>
        <v>21</v>
      </c>
      <c r="BH178" s="1">
        <f t="shared" si="89"/>
        <v>0</v>
      </c>
      <c r="BI178" s="1">
        <f t="shared" si="89"/>
        <v>0</v>
      </c>
      <c r="BJ178" s="1">
        <f>AX178+AY178+AZ178</f>
        <v>0</v>
      </c>
      <c r="BK178" s="1">
        <f>BA178+BB178+BC178</f>
        <v>7</v>
      </c>
      <c r="BL178" s="1">
        <f>BJ178*3</f>
        <v>0</v>
      </c>
      <c r="BM178" s="1">
        <f>BK178*3</f>
        <v>21</v>
      </c>
      <c r="BN178" s="1">
        <f>BL178/3</f>
        <v>0</v>
      </c>
      <c r="BO178" s="1">
        <f>BM178/3</f>
        <v>7</v>
      </c>
      <c r="BP178" s="4">
        <v>217</v>
      </c>
      <c r="BQ178" s="4">
        <v>319</v>
      </c>
      <c r="BR178" s="4">
        <v>201.33333333333334</v>
      </c>
      <c r="BS178" s="4">
        <v>319</v>
      </c>
      <c r="BT178" s="4">
        <v>201.33</v>
      </c>
      <c r="BU178" s="4">
        <v>2.5</v>
      </c>
      <c r="BV178" s="1">
        <v>2</v>
      </c>
      <c r="BW178" s="1">
        <v>2</v>
      </c>
      <c r="BX178" s="1">
        <v>2</v>
      </c>
      <c r="BY178" s="1">
        <v>2</v>
      </c>
      <c r="BZ178" s="1">
        <v>1</v>
      </c>
      <c r="CA178" s="1">
        <v>1</v>
      </c>
      <c r="CB178" s="1">
        <v>1</v>
      </c>
      <c r="CC178" s="1">
        <v>1</v>
      </c>
      <c r="CD178" s="1">
        <v>1</v>
      </c>
      <c r="CE178" s="1">
        <v>1</v>
      </c>
      <c r="CF178" s="1">
        <v>1</v>
      </c>
      <c r="CG178" s="1">
        <v>1</v>
      </c>
      <c r="CH178" s="1">
        <v>0</v>
      </c>
      <c r="CI178" s="1">
        <v>7</v>
      </c>
      <c r="CJ178" s="1">
        <v>5</v>
      </c>
      <c r="CK178" s="1">
        <v>6</v>
      </c>
      <c r="CL178" s="1">
        <v>7</v>
      </c>
      <c r="CM178" s="1">
        <v>7</v>
      </c>
      <c r="CN178" s="1">
        <v>7</v>
      </c>
      <c r="CO178" s="1">
        <v>6</v>
      </c>
      <c r="CP178" s="1">
        <v>1</v>
      </c>
      <c r="CQ178" s="1">
        <v>7</v>
      </c>
      <c r="CR178" s="1">
        <v>6</v>
      </c>
      <c r="CS178" s="1">
        <v>7</v>
      </c>
      <c r="CT178" s="1">
        <v>7</v>
      </c>
      <c r="CU178" s="1">
        <v>5</v>
      </c>
      <c r="CV178" s="1">
        <v>7</v>
      </c>
      <c r="CW178" s="1">
        <v>5</v>
      </c>
      <c r="CX178" s="1">
        <v>6</v>
      </c>
      <c r="CY178" s="1">
        <v>5</v>
      </c>
      <c r="CZ178" s="1">
        <v>6</v>
      </c>
      <c r="DA178" s="1">
        <v>6</v>
      </c>
      <c r="DB178" s="1">
        <v>6</v>
      </c>
      <c r="DC178" s="1">
        <v>7</v>
      </c>
      <c r="DD178" s="1">
        <v>7</v>
      </c>
      <c r="DE178" s="1">
        <v>7</v>
      </c>
      <c r="DF178" s="1">
        <v>1</v>
      </c>
      <c r="DG178" s="1">
        <v>3</v>
      </c>
      <c r="DH178" s="1">
        <v>6</v>
      </c>
      <c r="DI178" s="1">
        <v>7</v>
      </c>
      <c r="DJ178" s="1">
        <v>1</v>
      </c>
      <c r="DK178" s="1">
        <v>2</v>
      </c>
      <c r="DL178" s="1">
        <v>7</v>
      </c>
      <c r="DM178" s="19">
        <v>7</v>
      </c>
      <c r="DN178" s="19">
        <v>5</v>
      </c>
      <c r="DO178" s="1">
        <v>5</v>
      </c>
      <c r="DP178" s="1">
        <v>6</v>
      </c>
      <c r="DQ178" s="1">
        <v>7</v>
      </c>
      <c r="DR178" s="1">
        <v>4</v>
      </c>
      <c r="DS178" s="1">
        <v>5</v>
      </c>
      <c r="DT178" s="1">
        <v>5</v>
      </c>
      <c r="DU178" s="27">
        <v>6</v>
      </c>
      <c r="DV178" s="27">
        <v>7</v>
      </c>
      <c r="DW178" s="27">
        <v>7</v>
      </c>
      <c r="DX178" s="27">
        <v>7</v>
      </c>
      <c r="DY178" s="27">
        <v>1</v>
      </c>
      <c r="DZ178" s="27">
        <v>1</v>
      </c>
      <c r="EA178" s="27">
        <v>1</v>
      </c>
      <c r="EB178" s="27">
        <v>5</v>
      </c>
      <c r="EC178" s="27">
        <v>7</v>
      </c>
      <c r="ED178" s="27">
        <v>7</v>
      </c>
      <c r="EE178" s="27">
        <v>6</v>
      </c>
      <c r="EF178" s="27">
        <v>4</v>
      </c>
      <c r="EG178" s="27">
        <v>7</v>
      </c>
      <c r="EH178" s="27">
        <v>7</v>
      </c>
      <c r="EI178" s="27">
        <v>7</v>
      </c>
      <c r="EJ178" s="27">
        <v>7</v>
      </c>
      <c r="EK178" s="27">
        <v>7</v>
      </c>
      <c r="EL178" s="27">
        <v>7</v>
      </c>
      <c r="EM178" s="27">
        <v>1</v>
      </c>
      <c r="EN178" s="27">
        <v>1</v>
      </c>
      <c r="EO178" s="27">
        <v>7</v>
      </c>
      <c r="EP178" s="27">
        <v>7</v>
      </c>
      <c r="EQ178" s="27">
        <v>6</v>
      </c>
      <c r="ER178" s="27">
        <v>7</v>
      </c>
      <c r="ES178" s="27">
        <v>7</v>
      </c>
      <c r="ET178" s="27">
        <v>2</v>
      </c>
      <c r="EU178" s="27">
        <v>4</v>
      </c>
      <c r="EV178" s="27">
        <v>18</v>
      </c>
      <c r="EW178" s="27">
        <v>2</v>
      </c>
      <c r="EY178" s="27">
        <v>1</v>
      </c>
      <c r="FA178" s="27">
        <v>1</v>
      </c>
      <c r="FB178" s="28" t="s">
        <v>834</v>
      </c>
      <c r="FC178" s="27">
        <v>0</v>
      </c>
      <c r="FD178" s="1">
        <v>9</v>
      </c>
      <c r="FE178" s="4">
        <v>5.75</v>
      </c>
      <c r="FF178" s="4">
        <v>5.13</v>
      </c>
      <c r="FG178" s="4">
        <v>5.63</v>
      </c>
      <c r="FH178" s="4">
        <v>5.17</v>
      </c>
      <c r="FI178" s="4">
        <v>5.88</v>
      </c>
      <c r="FJ178" s="23">
        <v>6.25</v>
      </c>
      <c r="FK178" s="4">
        <v>3.5</v>
      </c>
      <c r="FL178" s="4">
        <v>5.88</v>
      </c>
      <c r="FM178" s="4">
        <v>5</v>
      </c>
      <c r="FN178" s="4">
        <v>6</v>
      </c>
      <c r="FO178" s="4">
        <v>3.67</v>
      </c>
      <c r="FP178" s="4">
        <v>5.08</v>
      </c>
      <c r="FQ178" s="4">
        <v>4.13</v>
      </c>
      <c r="FR178" s="4">
        <v>2.75</v>
      </c>
      <c r="FS178" s="4">
        <v>5.25</v>
      </c>
      <c r="FT178" s="4">
        <v>5.75</v>
      </c>
      <c r="FU178" s="4">
        <v>5.75</v>
      </c>
      <c r="FV178" s="4">
        <v>6.25</v>
      </c>
      <c r="FW178" s="4">
        <v>2.5</v>
      </c>
      <c r="FX178" s="4">
        <v>6.75</v>
      </c>
      <c r="FY178" s="4">
        <v>6</v>
      </c>
      <c r="FZ178" s="4">
        <v>5.25</v>
      </c>
      <c r="GA178" s="4">
        <v>2.75</v>
      </c>
      <c r="GB178" s="4">
        <v>6.42</v>
      </c>
      <c r="GC178" s="4">
        <v>5.25</v>
      </c>
      <c r="GD178" s="4">
        <v>4.75</v>
      </c>
      <c r="GE178" s="26"/>
      <c r="GF178" s="26"/>
      <c r="GG178" s="4"/>
      <c r="JH178" s="1"/>
      <c r="JV178" s="1"/>
      <c r="KM178" s="4"/>
      <c r="LA178" s="4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</row>
    <row r="179" spans="1:376" x14ac:dyDescent="0.35">
      <c r="A179" s="14">
        <v>43371</v>
      </c>
      <c r="B179" s="16" t="s">
        <v>133</v>
      </c>
      <c r="C179" s="16" t="s">
        <v>340</v>
      </c>
      <c r="D179" s="1">
        <v>178</v>
      </c>
      <c r="E179" s="1">
        <v>4</v>
      </c>
      <c r="F179" s="3">
        <v>3</v>
      </c>
      <c r="H179" s="1">
        <v>45</v>
      </c>
      <c r="I179" s="1">
        <v>2</v>
      </c>
      <c r="K179" s="18">
        <v>1</v>
      </c>
      <c r="L179" s="18">
        <v>1</v>
      </c>
      <c r="M179" s="18">
        <v>1</v>
      </c>
      <c r="N179" s="18">
        <v>1</v>
      </c>
      <c r="O179" s="18">
        <v>0</v>
      </c>
      <c r="P179" s="4">
        <v>0.8</v>
      </c>
      <c r="Q179" s="3">
        <v>60</v>
      </c>
      <c r="R179" s="1">
        <v>48</v>
      </c>
      <c r="S179" s="1">
        <v>39</v>
      </c>
      <c r="T179" s="1">
        <v>91</v>
      </c>
      <c r="U179" s="1">
        <v>108</v>
      </c>
      <c r="V179" s="1">
        <v>85</v>
      </c>
      <c r="W179" s="1">
        <v>38</v>
      </c>
      <c r="X179" s="1">
        <v>44</v>
      </c>
      <c r="Y179" s="1">
        <v>47</v>
      </c>
      <c r="AI179" s="4"/>
      <c r="AJ179" s="4"/>
      <c r="AK179" s="4"/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9">
        <v>0</v>
      </c>
      <c r="AT179" s="19">
        <v>0</v>
      </c>
      <c r="AU179" s="19">
        <v>0</v>
      </c>
      <c r="AV179" s="19">
        <v>0</v>
      </c>
      <c r="AW179" s="19">
        <v>0</v>
      </c>
      <c r="AX179" s="19"/>
      <c r="AY179"/>
      <c r="AZ179"/>
      <c r="BA179"/>
      <c r="BB179"/>
      <c r="BC179"/>
      <c r="BP179" s="4"/>
      <c r="BQ179" s="4"/>
      <c r="BR179" s="4"/>
      <c r="BS179" s="4"/>
      <c r="BT179" s="4"/>
      <c r="BU179" s="4"/>
      <c r="CI179" s="1">
        <v>7</v>
      </c>
      <c r="CJ179" s="1">
        <v>6</v>
      </c>
      <c r="CK179" s="1">
        <v>6</v>
      </c>
      <c r="CL179" s="1">
        <v>7</v>
      </c>
      <c r="CM179" s="1">
        <v>6</v>
      </c>
      <c r="CN179" s="1">
        <v>6</v>
      </c>
      <c r="CO179" s="1">
        <v>6</v>
      </c>
      <c r="CP179" s="1">
        <v>3</v>
      </c>
      <c r="CQ179" s="1">
        <v>6</v>
      </c>
      <c r="CR179" s="1">
        <v>6</v>
      </c>
      <c r="CS179" s="1">
        <v>6</v>
      </c>
      <c r="CT179" s="1">
        <v>5</v>
      </c>
      <c r="CU179" s="1">
        <v>6</v>
      </c>
      <c r="CV179" s="1">
        <v>7</v>
      </c>
      <c r="CW179" s="1">
        <v>6</v>
      </c>
      <c r="CX179" s="1">
        <v>6</v>
      </c>
      <c r="CY179" s="1">
        <v>5</v>
      </c>
      <c r="CZ179" s="1">
        <v>7</v>
      </c>
      <c r="DA179" s="1">
        <v>6</v>
      </c>
      <c r="DB179" s="1">
        <v>7</v>
      </c>
      <c r="DC179" s="1">
        <v>7</v>
      </c>
      <c r="DD179" s="1">
        <v>7</v>
      </c>
      <c r="DE179" s="1">
        <v>6</v>
      </c>
      <c r="DF179" s="1">
        <v>3</v>
      </c>
      <c r="DG179" s="1">
        <v>3</v>
      </c>
      <c r="DH179" s="1">
        <v>2</v>
      </c>
      <c r="DI179" s="1">
        <v>2</v>
      </c>
      <c r="DJ179" s="1">
        <v>4</v>
      </c>
      <c r="DK179" s="1">
        <v>5</v>
      </c>
      <c r="DL179" s="1">
        <v>7</v>
      </c>
      <c r="DM179" s="19">
        <v>7</v>
      </c>
      <c r="DN179" s="19">
        <v>5</v>
      </c>
      <c r="DO179" s="1">
        <v>5</v>
      </c>
      <c r="DP179" s="1">
        <v>6</v>
      </c>
      <c r="DQ179" s="1">
        <v>7</v>
      </c>
      <c r="DR179" s="1">
        <v>2</v>
      </c>
      <c r="DS179" s="1">
        <v>6</v>
      </c>
      <c r="DT179" s="1">
        <v>7</v>
      </c>
      <c r="DU179" s="27">
        <v>7</v>
      </c>
      <c r="DV179" s="27">
        <v>7</v>
      </c>
      <c r="DW179" s="27">
        <v>7</v>
      </c>
      <c r="DX179" s="27">
        <v>1</v>
      </c>
      <c r="DY179" s="27">
        <v>1</v>
      </c>
      <c r="DZ179" s="27">
        <v>1</v>
      </c>
      <c r="EA179" s="27">
        <v>1</v>
      </c>
      <c r="EB179" s="27">
        <v>7</v>
      </c>
      <c r="EC179" s="27">
        <v>6</v>
      </c>
      <c r="ED179" s="27">
        <v>7</v>
      </c>
      <c r="EE179" s="27">
        <v>7</v>
      </c>
      <c r="EF179" s="27">
        <v>3</v>
      </c>
      <c r="EG179" s="27">
        <v>6</v>
      </c>
      <c r="EH179" s="27">
        <v>7</v>
      </c>
      <c r="EI179" s="27">
        <v>7</v>
      </c>
      <c r="EJ179" s="27">
        <v>7</v>
      </c>
      <c r="EK179" s="27">
        <v>7</v>
      </c>
      <c r="EL179" s="27">
        <v>7</v>
      </c>
      <c r="EM179" s="27">
        <v>1</v>
      </c>
      <c r="EN179" s="27">
        <v>1</v>
      </c>
      <c r="EO179" s="27">
        <v>6</v>
      </c>
      <c r="EP179" s="27">
        <v>6</v>
      </c>
      <c r="EQ179" s="27">
        <v>6</v>
      </c>
      <c r="ER179" s="27">
        <v>7</v>
      </c>
      <c r="ES179" s="27">
        <v>7</v>
      </c>
      <c r="ET179" s="27">
        <v>5</v>
      </c>
      <c r="EU179" s="27">
        <v>4</v>
      </c>
      <c r="EV179" s="27">
        <v>18</v>
      </c>
      <c r="EW179" s="27">
        <v>2</v>
      </c>
      <c r="EY179" s="27">
        <v>1</v>
      </c>
      <c r="FA179" s="27">
        <v>1</v>
      </c>
      <c r="FB179" s="28" t="s">
        <v>885</v>
      </c>
      <c r="FC179" s="27">
        <v>0</v>
      </c>
      <c r="FD179" s="1">
        <v>2</v>
      </c>
      <c r="FE179" s="4"/>
      <c r="FF179" s="4"/>
      <c r="FG179" s="4"/>
      <c r="FH179" s="4"/>
      <c r="FI179" s="4"/>
      <c r="FJ179" s="23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26"/>
      <c r="GF179" s="26"/>
      <c r="GG179" s="4"/>
      <c r="JH179" s="1"/>
      <c r="JV179" s="1"/>
      <c r="KM179" s="4"/>
      <c r="LA179" s="4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</row>
    <row r="180" spans="1:376" x14ac:dyDescent="0.35">
      <c r="A180" s="14">
        <v>43371</v>
      </c>
      <c r="B180" s="16" t="s">
        <v>133</v>
      </c>
      <c r="C180" s="16" t="s">
        <v>341</v>
      </c>
      <c r="D180" s="1">
        <v>179</v>
      </c>
      <c r="E180" s="1">
        <v>4</v>
      </c>
      <c r="F180" s="3">
        <v>3</v>
      </c>
      <c r="H180" s="1">
        <v>45</v>
      </c>
      <c r="I180" s="1">
        <v>3</v>
      </c>
      <c r="K180" s="18">
        <v>0</v>
      </c>
      <c r="L180" s="18">
        <v>1</v>
      </c>
      <c r="M180" s="18">
        <v>1</v>
      </c>
      <c r="N180" s="18">
        <v>1</v>
      </c>
      <c r="O180" s="18">
        <v>1</v>
      </c>
      <c r="P180" s="4">
        <v>0.8</v>
      </c>
      <c r="Q180" s="3">
        <v>58</v>
      </c>
      <c r="R180" s="1">
        <v>67</v>
      </c>
      <c r="S180" s="1">
        <v>64</v>
      </c>
      <c r="T180" s="1">
        <v>59</v>
      </c>
      <c r="U180" s="1">
        <v>99</v>
      </c>
      <c r="V180" s="1">
        <v>73</v>
      </c>
      <c r="W180" s="1">
        <v>48</v>
      </c>
      <c r="X180" s="1">
        <v>55</v>
      </c>
      <c r="Y180" s="1">
        <v>55</v>
      </c>
      <c r="AI180" s="4"/>
      <c r="AJ180" s="4"/>
      <c r="AK180" s="4"/>
      <c r="AL180" s="1">
        <v>0</v>
      </c>
      <c r="AM180" s="1">
        <v>0</v>
      </c>
      <c r="AN180" s="1">
        <v>0</v>
      </c>
      <c r="AO180" s="1">
        <v>7</v>
      </c>
      <c r="AP180" s="1">
        <v>0</v>
      </c>
      <c r="AQ180" s="1">
        <v>0</v>
      </c>
      <c r="AR180" s="1">
        <v>0</v>
      </c>
      <c r="AS180" s="19">
        <v>0</v>
      </c>
      <c r="AT180" s="19">
        <v>0</v>
      </c>
      <c r="AU180" s="19">
        <v>0</v>
      </c>
      <c r="AV180" s="19">
        <v>0</v>
      </c>
      <c r="AW180" s="19">
        <v>0</v>
      </c>
      <c r="AX180" s="19"/>
      <c r="AY180"/>
      <c r="AZ180"/>
      <c r="BA180"/>
      <c r="BB180"/>
      <c r="BC180"/>
      <c r="BP180" s="4"/>
      <c r="BQ180" s="4"/>
      <c r="BR180" s="4"/>
      <c r="BS180" s="4"/>
      <c r="BT180" s="4"/>
      <c r="BU180" s="4"/>
      <c r="CI180" s="1">
        <v>5</v>
      </c>
      <c r="CJ180" s="1">
        <v>6</v>
      </c>
      <c r="CK180" s="1">
        <v>5</v>
      </c>
      <c r="CL180" s="1">
        <v>5</v>
      </c>
      <c r="CM180" s="1">
        <v>5</v>
      </c>
      <c r="CN180" s="1">
        <v>5</v>
      </c>
      <c r="CO180" s="1">
        <v>5</v>
      </c>
      <c r="CP180" s="1">
        <v>2</v>
      </c>
      <c r="CQ180" s="1">
        <v>3</v>
      </c>
      <c r="CR180" s="1">
        <v>3</v>
      </c>
      <c r="CS180" s="1">
        <v>3</v>
      </c>
      <c r="CT180" s="1">
        <v>6</v>
      </c>
      <c r="CU180" s="1">
        <v>2</v>
      </c>
      <c r="CV180" s="1">
        <v>2</v>
      </c>
      <c r="CW180" s="1">
        <v>2</v>
      </c>
      <c r="CX180" s="1">
        <v>2</v>
      </c>
      <c r="CY180" s="1">
        <v>1</v>
      </c>
      <c r="CZ180" s="1">
        <v>6</v>
      </c>
      <c r="DA180" s="1">
        <v>5</v>
      </c>
      <c r="DB180" s="1">
        <v>5</v>
      </c>
      <c r="DC180" s="1">
        <v>7</v>
      </c>
      <c r="DD180" s="1">
        <v>7</v>
      </c>
      <c r="DE180" s="1">
        <v>6</v>
      </c>
      <c r="DF180" s="1">
        <v>4</v>
      </c>
      <c r="DG180" s="1">
        <v>6</v>
      </c>
      <c r="DH180" s="1">
        <v>5</v>
      </c>
      <c r="DI180" s="1">
        <v>4</v>
      </c>
      <c r="DJ180" s="1">
        <v>6</v>
      </c>
      <c r="DK180" s="1">
        <v>6</v>
      </c>
      <c r="DL180" s="1">
        <v>7</v>
      </c>
      <c r="DM180" s="19">
        <v>7</v>
      </c>
      <c r="DN180" s="19">
        <v>4</v>
      </c>
      <c r="DO180" s="1">
        <v>6</v>
      </c>
      <c r="DP180" s="1">
        <v>7</v>
      </c>
      <c r="DQ180" s="1">
        <v>7</v>
      </c>
      <c r="DR180" s="1">
        <v>1</v>
      </c>
      <c r="DS180" s="1">
        <v>3</v>
      </c>
      <c r="DT180" s="1">
        <v>6</v>
      </c>
      <c r="DU180" s="27">
        <v>2</v>
      </c>
      <c r="DV180" s="27">
        <v>2</v>
      </c>
      <c r="DW180" s="27">
        <v>2</v>
      </c>
      <c r="DX180" s="27">
        <v>2</v>
      </c>
      <c r="DY180" s="27">
        <v>7</v>
      </c>
      <c r="DZ180" s="27">
        <v>2</v>
      </c>
      <c r="EA180" s="27">
        <v>2</v>
      </c>
      <c r="EB180" s="27">
        <v>2</v>
      </c>
      <c r="EC180" s="27">
        <v>6</v>
      </c>
      <c r="ED180" s="27">
        <v>2</v>
      </c>
      <c r="EE180" s="27">
        <v>5</v>
      </c>
      <c r="EF180" s="27">
        <v>2</v>
      </c>
      <c r="EG180" s="27">
        <v>7</v>
      </c>
      <c r="EH180" s="27">
        <v>7</v>
      </c>
      <c r="EI180" s="27">
        <v>7</v>
      </c>
      <c r="EJ180" s="27">
        <v>4</v>
      </c>
      <c r="EK180" s="27">
        <v>4</v>
      </c>
      <c r="EL180" s="27">
        <v>4</v>
      </c>
      <c r="EM180" s="27">
        <v>4</v>
      </c>
      <c r="EN180" s="27">
        <v>4</v>
      </c>
      <c r="EO180" s="27">
        <v>6</v>
      </c>
      <c r="EP180" s="27">
        <v>6</v>
      </c>
      <c r="EQ180" s="27">
        <v>6</v>
      </c>
      <c r="ER180" s="27">
        <v>4</v>
      </c>
      <c r="ES180" s="27">
        <v>4</v>
      </c>
      <c r="ET180" s="27">
        <v>4</v>
      </c>
      <c r="EU180" s="27">
        <v>5</v>
      </c>
      <c r="EV180" s="27">
        <v>18</v>
      </c>
      <c r="EW180" s="27">
        <v>2</v>
      </c>
      <c r="EY180" s="27">
        <v>1</v>
      </c>
      <c r="FA180" s="27">
        <v>1</v>
      </c>
      <c r="FB180" s="28" t="s">
        <v>816</v>
      </c>
      <c r="FC180" s="27">
        <v>1</v>
      </c>
      <c r="FD180" s="1">
        <v>8</v>
      </c>
      <c r="FE180" s="4"/>
      <c r="FF180" s="4"/>
      <c r="FG180" s="4"/>
      <c r="FH180" s="4"/>
      <c r="FI180" s="4"/>
      <c r="FJ180" s="23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26"/>
      <c r="GF180" s="26"/>
      <c r="GG180" s="4"/>
      <c r="JH180" s="1"/>
      <c r="JV180" s="1"/>
      <c r="KM180" s="4"/>
      <c r="LA180" s="4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</row>
    <row r="181" spans="1:376" x14ac:dyDescent="0.35">
      <c r="A181" s="14">
        <v>43371</v>
      </c>
      <c r="B181" s="16" t="s">
        <v>133</v>
      </c>
      <c r="C181" s="16" t="s">
        <v>342</v>
      </c>
      <c r="D181" s="1">
        <v>180</v>
      </c>
      <c r="E181" s="1">
        <v>4</v>
      </c>
      <c r="F181" s="3">
        <v>3</v>
      </c>
      <c r="H181" s="1">
        <v>45</v>
      </c>
      <c r="I181" s="1">
        <v>4</v>
      </c>
      <c r="K181" s="18">
        <v>1</v>
      </c>
      <c r="L181" s="18">
        <v>1</v>
      </c>
      <c r="M181" s="18">
        <v>0</v>
      </c>
      <c r="N181" s="18">
        <v>1</v>
      </c>
      <c r="O181" s="18">
        <v>0</v>
      </c>
      <c r="P181" s="4">
        <v>0.6</v>
      </c>
      <c r="Q181" s="3">
        <v>69</v>
      </c>
      <c r="R181" s="1">
        <v>59</v>
      </c>
      <c r="S181" s="1">
        <v>52</v>
      </c>
      <c r="T181" s="1">
        <v>53</v>
      </c>
      <c r="U181" s="1">
        <v>67</v>
      </c>
      <c r="V181" s="1">
        <v>91</v>
      </c>
      <c r="W181" s="1">
        <v>80</v>
      </c>
      <c r="X181" s="1">
        <v>53</v>
      </c>
      <c r="Y181" s="1">
        <v>51</v>
      </c>
      <c r="AI181" s="4"/>
      <c r="AJ181" s="4"/>
      <c r="AK181" s="4"/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9">
        <v>0</v>
      </c>
      <c r="AT181" s="19">
        <v>0</v>
      </c>
      <c r="AU181" s="19">
        <v>14</v>
      </c>
      <c r="AV181" s="19">
        <v>0</v>
      </c>
      <c r="AW181" s="19">
        <v>0</v>
      </c>
      <c r="AX181" s="19"/>
      <c r="AY181"/>
      <c r="AZ181"/>
      <c r="BA181"/>
      <c r="BB181"/>
      <c r="BC181"/>
      <c r="BP181" s="4"/>
      <c r="BQ181" s="4"/>
      <c r="BR181" s="4"/>
      <c r="BS181" s="4"/>
      <c r="BT181" s="4"/>
      <c r="BU181" s="4"/>
      <c r="CI181" s="1">
        <v>6</v>
      </c>
      <c r="CJ181" s="1">
        <v>5</v>
      </c>
      <c r="CK181" s="1">
        <v>5</v>
      </c>
      <c r="CL181" s="1">
        <v>4</v>
      </c>
      <c r="CM181" s="1">
        <v>6</v>
      </c>
      <c r="CN181" s="1">
        <v>6</v>
      </c>
      <c r="CO181" s="1">
        <v>4</v>
      </c>
      <c r="CP181" s="1">
        <v>4</v>
      </c>
      <c r="CQ181" s="1">
        <v>3</v>
      </c>
      <c r="CR181" s="1">
        <v>4</v>
      </c>
      <c r="CS181" s="1">
        <v>6</v>
      </c>
      <c r="CT181" s="1">
        <v>4</v>
      </c>
      <c r="CU181" s="1">
        <v>7</v>
      </c>
      <c r="CV181" s="1">
        <v>1</v>
      </c>
      <c r="CW181" s="1">
        <v>7</v>
      </c>
      <c r="CX181" s="1">
        <v>7</v>
      </c>
      <c r="CY181" s="1">
        <v>1</v>
      </c>
      <c r="CZ181" s="1">
        <v>4</v>
      </c>
      <c r="DA181" s="1">
        <v>2</v>
      </c>
      <c r="DB181" s="1">
        <v>2</v>
      </c>
      <c r="DC181" s="1">
        <v>4</v>
      </c>
      <c r="DD181" s="1">
        <v>1</v>
      </c>
      <c r="DE181" s="1">
        <v>6</v>
      </c>
      <c r="DF181" s="1">
        <v>1</v>
      </c>
      <c r="DG181" s="1">
        <v>5</v>
      </c>
      <c r="DH181" s="1">
        <v>4</v>
      </c>
      <c r="DI181" s="1">
        <v>1</v>
      </c>
      <c r="DJ181" s="1">
        <v>2</v>
      </c>
      <c r="DK181" s="1">
        <v>1</v>
      </c>
      <c r="DL181" s="1">
        <v>1</v>
      </c>
      <c r="DM181" s="19">
        <v>4</v>
      </c>
      <c r="DN181" s="19">
        <v>3</v>
      </c>
      <c r="DO181" s="1">
        <v>7</v>
      </c>
      <c r="DP181" s="1">
        <v>4</v>
      </c>
      <c r="DQ181" s="1">
        <v>4</v>
      </c>
      <c r="DR181" s="1">
        <v>1</v>
      </c>
      <c r="DS181" s="1">
        <v>3</v>
      </c>
      <c r="DT181" s="1">
        <v>1</v>
      </c>
      <c r="DU181" s="27">
        <v>6</v>
      </c>
      <c r="DV181" s="27">
        <v>4</v>
      </c>
      <c r="DW181" s="27">
        <v>4</v>
      </c>
      <c r="DX181" s="27">
        <v>7</v>
      </c>
      <c r="DY181" s="27">
        <v>7</v>
      </c>
      <c r="DZ181" s="27">
        <v>5</v>
      </c>
      <c r="EA181" s="27">
        <v>7</v>
      </c>
      <c r="EB181" s="27">
        <v>7</v>
      </c>
      <c r="EC181" s="27">
        <v>4</v>
      </c>
      <c r="ED181" s="27">
        <v>7</v>
      </c>
      <c r="EE181" s="27">
        <v>7</v>
      </c>
      <c r="EF181" s="27">
        <v>1</v>
      </c>
      <c r="EG181" s="27">
        <v>7</v>
      </c>
      <c r="EH181" s="27">
        <v>2</v>
      </c>
      <c r="EI181" s="27">
        <v>4</v>
      </c>
      <c r="EJ181" s="27">
        <v>4</v>
      </c>
      <c r="EK181" s="27">
        <v>1</v>
      </c>
      <c r="EL181" s="27">
        <v>4</v>
      </c>
      <c r="EM181" s="27">
        <v>3</v>
      </c>
      <c r="EN181" s="27">
        <v>7</v>
      </c>
      <c r="EO181" s="27">
        <v>7</v>
      </c>
      <c r="EP181" s="27">
        <v>7</v>
      </c>
      <c r="EQ181" s="27">
        <v>7</v>
      </c>
      <c r="ER181" s="27">
        <v>4</v>
      </c>
      <c r="ES181" s="27">
        <v>2</v>
      </c>
      <c r="ET181" s="27">
        <v>7</v>
      </c>
      <c r="EU181" s="27">
        <v>7</v>
      </c>
      <c r="EV181" s="27">
        <v>18</v>
      </c>
      <c r="EW181" s="27">
        <v>1</v>
      </c>
      <c r="EY181" s="27">
        <v>8</v>
      </c>
      <c r="EZ181" s="28" t="s">
        <v>765</v>
      </c>
      <c r="FA181" s="27">
        <v>1</v>
      </c>
      <c r="FB181" s="28" t="s">
        <v>784</v>
      </c>
      <c r="FC181" s="27">
        <v>1</v>
      </c>
      <c r="FD181" s="1">
        <v>4</v>
      </c>
      <c r="FE181" s="4"/>
      <c r="FF181" s="4"/>
      <c r="FG181" s="4"/>
      <c r="FH181" s="4"/>
      <c r="FI181" s="4"/>
      <c r="FJ181" s="23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26"/>
      <c r="GF181" s="26"/>
      <c r="GG181" s="4"/>
      <c r="JH181" s="1"/>
      <c r="JV181" s="1"/>
      <c r="KM181" s="4"/>
      <c r="LA181" s="4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</row>
    <row r="182" spans="1:376" x14ac:dyDescent="0.35">
      <c r="A182" s="14">
        <v>43725</v>
      </c>
      <c r="B182" s="16" t="s">
        <v>134</v>
      </c>
      <c r="C182" s="16" t="s">
        <v>343</v>
      </c>
      <c r="D182" s="1">
        <v>181</v>
      </c>
      <c r="E182" s="1">
        <v>4</v>
      </c>
      <c r="F182" s="3">
        <v>3</v>
      </c>
      <c r="G182" s="1">
        <v>0</v>
      </c>
      <c r="H182" s="1">
        <v>46</v>
      </c>
      <c r="I182" s="1">
        <v>1</v>
      </c>
      <c r="J182" s="1">
        <v>1</v>
      </c>
      <c r="K182" s="18">
        <v>1</v>
      </c>
      <c r="L182" s="18">
        <v>1</v>
      </c>
      <c r="M182" s="18">
        <v>1</v>
      </c>
      <c r="N182" s="18">
        <v>1</v>
      </c>
      <c r="O182" s="18">
        <v>1</v>
      </c>
      <c r="P182" s="4">
        <v>1</v>
      </c>
      <c r="Q182" s="3">
        <v>33</v>
      </c>
      <c r="R182" s="1">
        <v>59</v>
      </c>
      <c r="S182" s="1">
        <v>60</v>
      </c>
      <c r="T182" s="1">
        <v>73</v>
      </c>
      <c r="U182" s="1">
        <v>92</v>
      </c>
      <c r="V182" s="1">
        <v>108</v>
      </c>
      <c r="W182" s="1">
        <v>106</v>
      </c>
      <c r="X182" s="1">
        <v>109</v>
      </c>
      <c r="Y182" s="1">
        <v>120</v>
      </c>
      <c r="Z182" s="1">
        <v>221</v>
      </c>
      <c r="AA182" s="1">
        <v>212</v>
      </c>
      <c r="AB182" s="1">
        <v>199</v>
      </c>
      <c r="AC182" s="1">
        <v>293</v>
      </c>
      <c r="AD182" s="1">
        <v>367</v>
      </c>
      <c r="AE182" s="1">
        <v>384</v>
      </c>
      <c r="AF182" s="1">
        <v>403</v>
      </c>
      <c r="AG182" s="1">
        <v>421</v>
      </c>
      <c r="AH182" s="1">
        <v>428</v>
      </c>
      <c r="AI182" s="4">
        <v>210.67</v>
      </c>
      <c r="AJ182" s="4">
        <v>348</v>
      </c>
      <c r="AK182" s="4">
        <v>417.33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9">
        <v>0</v>
      </c>
      <c r="AT182" s="19">
        <v>0</v>
      </c>
      <c r="AU182" s="19">
        <v>0</v>
      </c>
      <c r="AV182" s="19">
        <v>0</v>
      </c>
      <c r="AW182" s="19">
        <v>0</v>
      </c>
      <c r="AX182" s="19">
        <f t="shared" ref="AX182:BC182" si="90">AL182+AL183+AL184+AL185</f>
        <v>0</v>
      </c>
      <c r="AY182" s="19">
        <f t="shared" si="90"/>
        <v>0</v>
      </c>
      <c r="AZ182" s="19">
        <f t="shared" si="90"/>
        <v>0</v>
      </c>
      <c r="BA182" s="19">
        <f t="shared" si="90"/>
        <v>0</v>
      </c>
      <c r="BB182" s="19">
        <f t="shared" si="90"/>
        <v>0</v>
      </c>
      <c r="BC182" s="19">
        <f t="shared" si="90"/>
        <v>0</v>
      </c>
      <c r="BD182" s="1">
        <f>AX182*3</f>
        <v>0</v>
      </c>
      <c r="BE182" s="1">
        <f t="shared" ref="BE182:BI182" si="91">AY182*3</f>
        <v>0</v>
      </c>
      <c r="BF182" s="1">
        <f t="shared" si="91"/>
        <v>0</v>
      </c>
      <c r="BG182" s="1">
        <f t="shared" si="91"/>
        <v>0</v>
      </c>
      <c r="BH182" s="1">
        <f t="shared" si="91"/>
        <v>0</v>
      </c>
      <c r="BI182" s="1">
        <f t="shared" si="91"/>
        <v>0</v>
      </c>
      <c r="BJ182" s="1">
        <f>AX182+AY182+AZ182</f>
        <v>0</v>
      </c>
      <c r="BK182" s="1">
        <f>BA182+BB182+BC182</f>
        <v>0</v>
      </c>
      <c r="BL182" s="1">
        <f>BJ182*3</f>
        <v>0</v>
      </c>
      <c r="BM182" s="1">
        <f>BK182*3</f>
        <v>0</v>
      </c>
      <c r="BN182" s="1">
        <f>BL182/3</f>
        <v>0</v>
      </c>
      <c r="BO182" s="1">
        <f>BM182/3</f>
        <v>0</v>
      </c>
      <c r="BP182" s="4">
        <v>210.66666666666666</v>
      </c>
      <c r="BQ182" s="4">
        <v>348</v>
      </c>
      <c r="BR182" s="4">
        <v>417.33333333333331</v>
      </c>
      <c r="BS182" s="4">
        <v>348</v>
      </c>
      <c r="BT182" s="4">
        <v>417.33</v>
      </c>
      <c r="BU182" s="4">
        <v>3.6</v>
      </c>
      <c r="BV182" s="1">
        <v>2</v>
      </c>
      <c r="BW182" s="1">
        <v>2</v>
      </c>
      <c r="BX182" s="1">
        <v>2</v>
      </c>
      <c r="BY182" s="1">
        <v>2</v>
      </c>
      <c r="BZ182" s="1">
        <v>1</v>
      </c>
      <c r="CA182" s="1">
        <v>1</v>
      </c>
      <c r="CB182" s="1">
        <v>1</v>
      </c>
      <c r="CC182" s="1">
        <v>1</v>
      </c>
      <c r="CD182" s="1">
        <v>1</v>
      </c>
      <c r="CE182" s="1">
        <v>1</v>
      </c>
      <c r="CF182" s="1">
        <v>1</v>
      </c>
      <c r="CG182" s="1">
        <v>1</v>
      </c>
      <c r="CH182" s="1">
        <v>0</v>
      </c>
      <c r="CI182" s="1">
        <v>7</v>
      </c>
      <c r="CJ182" s="1">
        <v>7</v>
      </c>
      <c r="CK182" s="1">
        <v>7</v>
      </c>
      <c r="CL182" s="1">
        <v>7</v>
      </c>
      <c r="CM182" s="1">
        <v>7</v>
      </c>
      <c r="CN182" s="1">
        <v>7</v>
      </c>
      <c r="CO182" s="1">
        <v>7</v>
      </c>
      <c r="CP182" s="1">
        <v>1</v>
      </c>
      <c r="CQ182" s="1">
        <v>7</v>
      </c>
      <c r="CR182" s="1">
        <v>7</v>
      </c>
      <c r="CS182" s="1">
        <v>7</v>
      </c>
      <c r="CT182" s="1">
        <v>7</v>
      </c>
      <c r="CU182" s="1">
        <v>7</v>
      </c>
      <c r="CV182" s="1">
        <v>5</v>
      </c>
      <c r="CW182" s="1">
        <v>7</v>
      </c>
      <c r="CX182" s="1">
        <v>6</v>
      </c>
      <c r="CY182" s="1">
        <v>7</v>
      </c>
      <c r="CZ182" s="1">
        <v>7</v>
      </c>
      <c r="DA182" s="1">
        <v>7</v>
      </c>
      <c r="DB182" s="1">
        <v>7</v>
      </c>
      <c r="DC182" s="1">
        <v>6</v>
      </c>
      <c r="DD182" s="1">
        <v>7</v>
      </c>
      <c r="DE182" s="1">
        <v>7</v>
      </c>
      <c r="DF182" s="1">
        <v>4</v>
      </c>
      <c r="DG182" s="1">
        <v>4</v>
      </c>
      <c r="DH182" s="1">
        <v>6</v>
      </c>
      <c r="DI182" s="1">
        <v>2</v>
      </c>
      <c r="DJ182" s="1">
        <v>3</v>
      </c>
      <c r="DK182" s="1">
        <v>4</v>
      </c>
      <c r="DL182" s="1">
        <v>7</v>
      </c>
      <c r="DM182" s="19">
        <v>7</v>
      </c>
      <c r="DN182" s="19">
        <v>6</v>
      </c>
      <c r="DO182" s="1">
        <v>6</v>
      </c>
      <c r="DP182" s="1">
        <v>3</v>
      </c>
      <c r="DQ182" s="1">
        <v>7</v>
      </c>
      <c r="DR182" s="1">
        <v>7</v>
      </c>
      <c r="DS182" s="1">
        <v>7</v>
      </c>
      <c r="DT182" s="1">
        <v>7</v>
      </c>
      <c r="DU182" s="27">
        <v>7</v>
      </c>
      <c r="DV182" s="27">
        <v>7</v>
      </c>
      <c r="DW182" s="27">
        <v>6</v>
      </c>
      <c r="DX182" s="27">
        <v>2</v>
      </c>
      <c r="DY182" s="27">
        <v>1</v>
      </c>
      <c r="DZ182" s="27">
        <v>1</v>
      </c>
      <c r="EA182" s="27">
        <v>1</v>
      </c>
      <c r="EB182" s="27">
        <v>2</v>
      </c>
      <c r="EC182" s="27">
        <v>4</v>
      </c>
      <c r="ED182" s="27">
        <v>7</v>
      </c>
      <c r="EE182" s="27">
        <v>6</v>
      </c>
      <c r="EF182" s="27">
        <v>4</v>
      </c>
      <c r="EG182" s="27">
        <v>4</v>
      </c>
      <c r="EH182" s="27">
        <v>7</v>
      </c>
      <c r="EI182" s="27">
        <v>7</v>
      </c>
      <c r="EJ182" s="27">
        <v>4</v>
      </c>
      <c r="EK182" s="27">
        <v>4</v>
      </c>
      <c r="EL182" s="27">
        <v>4</v>
      </c>
      <c r="EM182" s="27">
        <v>4</v>
      </c>
      <c r="EN182" s="27">
        <v>4</v>
      </c>
      <c r="EO182" s="27">
        <v>7</v>
      </c>
      <c r="EP182" s="27">
        <v>7</v>
      </c>
      <c r="EQ182" s="27">
        <v>4</v>
      </c>
      <c r="ER182" s="27">
        <v>4</v>
      </c>
      <c r="ES182" s="27">
        <v>4</v>
      </c>
      <c r="ET182" s="27">
        <v>4</v>
      </c>
      <c r="EU182" s="27">
        <v>4</v>
      </c>
      <c r="EV182" s="27">
        <v>21</v>
      </c>
      <c r="EW182" s="27">
        <v>1</v>
      </c>
      <c r="EY182" s="27">
        <v>1</v>
      </c>
      <c r="FA182" s="27">
        <v>2</v>
      </c>
      <c r="FB182" s="28" t="s">
        <v>817</v>
      </c>
      <c r="FC182" s="27">
        <v>1</v>
      </c>
      <c r="FD182" s="1">
        <v>6</v>
      </c>
      <c r="FE182" s="4">
        <v>6.46</v>
      </c>
      <c r="FF182" s="4">
        <v>6.56</v>
      </c>
      <c r="FG182" s="4">
        <v>7.94</v>
      </c>
      <c r="FH182" s="4">
        <v>6.75</v>
      </c>
      <c r="FI182" s="4">
        <v>6.38</v>
      </c>
      <c r="FJ182" s="23">
        <v>6.75</v>
      </c>
      <c r="FK182" s="4">
        <v>3.96</v>
      </c>
      <c r="FL182" s="4">
        <v>6.75</v>
      </c>
      <c r="FM182" s="4">
        <v>3.88</v>
      </c>
      <c r="FN182" s="4">
        <v>4.25</v>
      </c>
      <c r="FO182" s="4">
        <v>6.58</v>
      </c>
      <c r="FP182" s="4">
        <v>6.58</v>
      </c>
      <c r="FQ182" s="4">
        <v>2</v>
      </c>
      <c r="FR182" s="4">
        <v>1.25</v>
      </c>
      <c r="FS182" s="4">
        <v>5.25</v>
      </c>
      <c r="FT182" s="4">
        <v>5.25</v>
      </c>
      <c r="FU182" s="4">
        <v>5.75</v>
      </c>
      <c r="FV182" s="4">
        <v>5.25</v>
      </c>
      <c r="FW182" s="4">
        <v>4.75</v>
      </c>
      <c r="FX182" s="4">
        <v>5.5</v>
      </c>
      <c r="FY182" s="4">
        <v>6.5</v>
      </c>
      <c r="FZ182" s="4">
        <v>5.75</v>
      </c>
      <c r="GA182" s="4">
        <v>2.5</v>
      </c>
      <c r="GB182" s="4">
        <v>6</v>
      </c>
      <c r="GC182" s="4">
        <v>5.5</v>
      </c>
      <c r="GD182" s="4">
        <v>4.5</v>
      </c>
      <c r="GE182" s="26"/>
      <c r="GF182" s="26"/>
      <c r="GG182" s="4"/>
      <c r="JH182" s="1"/>
      <c r="JV182" s="1"/>
      <c r="KM182" s="4"/>
      <c r="LA182" s="4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</row>
    <row r="183" spans="1:376" x14ac:dyDescent="0.35">
      <c r="A183" s="14">
        <v>43725</v>
      </c>
      <c r="B183" s="16" t="s">
        <v>134</v>
      </c>
      <c r="C183" s="16" t="s">
        <v>344</v>
      </c>
      <c r="D183" s="1">
        <v>182</v>
      </c>
      <c r="E183" s="1">
        <v>4</v>
      </c>
      <c r="F183" s="3">
        <v>3</v>
      </c>
      <c r="H183" s="1">
        <v>46</v>
      </c>
      <c r="I183" s="1">
        <v>2</v>
      </c>
      <c r="K183" s="18">
        <v>1</v>
      </c>
      <c r="L183" s="18">
        <v>1</v>
      </c>
      <c r="M183" s="18">
        <v>1</v>
      </c>
      <c r="N183" s="18">
        <v>1</v>
      </c>
      <c r="O183" s="18">
        <v>0</v>
      </c>
      <c r="P183" s="4">
        <v>0.8</v>
      </c>
      <c r="Q183" s="3">
        <v>89</v>
      </c>
      <c r="R183" s="1">
        <v>63</v>
      </c>
      <c r="S183" s="1">
        <v>57</v>
      </c>
      <c r="T183" s="1">
        <v>81</v>
      </c>
      <c r="U183" s="1">
        <v>104</v>
      </c>
      <c r="V183" s="1">
        <v>114</v>
      </c>
      <c r="W183" s="1">
        <v>121</v>
      </c>
      <c r="X183" s="1">
        <v>133</v>
      </c>
      <c r="Y183" s="1">
        <v>131</v>
      </c>
      <c r="AI183" s="4"/>
      <c r="AJ183" s="4"/>
      <c r="AK183" s="4"/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9">
        <v>0</v>
      </c>
      <c r="AT183" s="19">
        <v>0</v>
      </c>
      <c r="AU183" s="19">
        <v>0</v>
      </c>
      <c r="AV183" s="19">
        <v>0</v>
      </c>
      <c r="AW183" s="19">
        <v>0</v>
      </c>
      <c r="AX183" s="19"/>
      <c r="AY183"/>
      <c r="AZ183"/>
      <c r="BA183"/>
      <c r="BB183"/>
      <c r="BC183"/>
      <c r="BP183" s="4"/>
      <c r="BQ183" s="4"/>
      <c r="BR183" s="4"/>
      <c r="BS183" s="4"/>
      <c r="BT183" s="4"/>
      <c r="BU183" s="4"/>
      <c r="CI183" s="1">
        <v>7</v>
      </c>
      <c r="CJ183" s="1">
        <v>7</v>
      </c>
      <c r="CK183" s="1">
        <v>7</v>
      </c>
      <c r="CL183" s="1">
        <v>7</v>
      </c>
      <c r="CM183" s="1">
        <v>6</v>
      </c>
      <c r="CN183" s="1">
        <v>6</v>
      </c>
      <c r="CO183" s="1">
        <v>7</v>
      </c>
      <c r="CP183" s="1">
        <v>1</v>
      </c>
      <c r="CQ183" s="1">
        <v>7</v>
      </c>
      <c r="CR183" s="1">
        <v>7</v>
      </c>
      <c r="CS183" s="1">
        <v>7</v>
      </c>
      <c r="CT183" s="1">
        <v>7</v>
      </c>
      <c r="CU183" s="1">
        <v>7</v>
      </c>
      <c r="CV183" s="1">
        <v>7</v>
      </c>
      <c r="CW183" s="1">
        <v>7</v>
      </c>
      <c r="CX183" s="1">
        <v>7</v>
      </c>
      <c r="CY183" s="1">
        <v>7</v>
      </c>
      <c r="CZ183" s="1">
        <v>7</v>
      </c>
      <c r="DA183" s="1">
        <v>7</v>
      </c>
      <c r="DB183" s="1">
        <v>7</v>
      </c>
      <c r="DC183" s="1">
        <v>7</v>
      </c>
      <c r="DD183" s="1">
        <v>6</v>
      </c>
      <c r="DE183" s="1">
        <v>7</v>
      </c>
      <c r="DF183" s="1">
        <v>5</v>
      </c>
      <c r="DG183" s="1">
        <v>3</v>
      </c>
      <c r="DH183" s="1">
        <v>2</v>
      </c>
      <c r="DI183" s="1">
        <v>6</v>
      </c>
      <c r="DJ183" s="1">
        <v>2</v>
      </c>
      <c r="DK183" s="1">
        <v>6</v>
      </c>
      <c r="DL183" s="1">
        <v>7</v>
      </c>
      <c r="DM183" s="19">
        <v>7</v>
      </c>
      <c r="DN183" s="19">
        <v>1</v>
      </c>
      <c r="DO183" s="1">
        <v>2</v>
      </c>
      <c r="DP183" s="1">
        <v>2</v>
      </c>
      <c r="DQ183" s="1">
        <v>2</v>
      </c>
      <c r="DR183" s="1">
        <v>5</v>
      </c>
      <c r="DS183" s="1">
        <v>7</v>
      </c>
      <c r="DT183" s="1">
        <v>7</v>
      </c>
      <c r="DU183" s="27">
        <v>7</v>
      </c>
      <c r="DV183" s="27">
        <v>7</v>
      </c>
      <c r="DW183" s="27">
        <v>7</v>
      </c>
      <c r="DX183" s="27">
        <v>4</v>
      </c>
      <c r="DY183" s="27">
        <v>1</v>
      </c>
      <c r="DZ183" s="27">
        <v>7</v>
      </c>
      <c r="EA183" s="27">
        <v>1</v>
      </c>
      <c r="EB183" s="27">
        <v>7</v>
      </c>
      <c r="EC183" s="27">
        <v>7</v>
      </c>
      <c r="ED183" s="27">
        <v>6</v>
      </c>
      <c r="EE183" s="27">
        <v>7</v>
      </c>
      <c r="EF183" s="27">
        <v>4</v>
      </c>
      <c r="EG183" s="27">
        <v>7</v>
      </c>
      <c r="EH183" s="27">
        <v>7</v>
      </c>
      <c r="EI183" s="27">
        <v>7</v>
      </c>
      <c r="EJ183" s="27">
        <v>7</v>
      </c>
      <c r="EK183" s="27">
        <v>7</v>
      </c>
      <c r="EL183" s="27">
        <v>7</v>
      </c>
      <c r="EM183" s="27">
        <v>1</v>
      </c>
      <c r="EN183" s="27">
        <v>1</v>
      </c>
      <c r="EO183" s="27">
        <v>7</v>
      </c>
      <c r="EP183" s="27">
        <v>7</v>
      </c>
      <c r="EQ183" s="27">
        <v>4</v>
      </c>
      <c r="ER183" s="27">
        <v>7</v>
      </c>
      <c r="ES183" s="27">
        <v>4</v>
      </c>
      <c r="ET183" s="27">
        <v>4</v>
      </c>
      <c r="EU183" s="27">
        <v>4</v>
      </c>
      <c r="EV183" s="27">
        <v>20</v>
      </c>
      <c r="EW183" s="27">
        <v>2</v>
      </c>
      <c r="EY183" s="27">
        <v>1</v>
      </c>
      <c r="FA183" s="27">
        <v>3</v>
      </c>
      <c r="FB183" s="28" t="s">
        <v>817</v>
      </c>
      <c r="FC183" s="27">
        <v>1</v>
      </c>
      <c r="FD183" s="1">
        <v>7</v>
      </c>
      <c r="FE183" s="4"/>
      <c r="FF183" s="4"/>
      <c r="FG183" s="4"/>
      <c r="FH183" s="4"/>
      <c r="FI183" s="4"/>
      <c r="FJ183" s="23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26"/>
      <c r="GF183" s="26"/>
      <c r="GG183" s="4"/>
      <c r="JH183" s="1"/>
      <c r="JV183" s="1"/>
      <c r="KM183" s="4"/>
      <c r="LA183" s="4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</row>
    <row r="184" spans="1:376" x14ac:dyDescent="0.35">
      <c r="A184" s="14">
        <v>43725</v>
      </c>
      <c r="B184" s="16" t="s">
        <v>134</v>
      </c>
      <c r="C184" s="16" t="s">
        <v>345</v>
      </c>
      <c r="D184" s="1">
        <v>183</v>
      </c>
      <c r="E184" s="1">
        <v>4</v>
      </c>
      <c r="F184" s="3">
        <v>3</v>
      </c>
      <c r="H184" s="1">
        <v>46</v>
      </c>
      <c r="I184" s="1">
        <v>3</v>
      </c>
      <c r="K184" s="18">
        <v>0</v>
      </c>
      <c r="L184" s="18">
        <v>1</v>
      </c>
      <c r="M184" s="18">
        <v>1</v>
      </c>
      <c r="N184" s="18">
        <v>1</v>
      </c>
      <c r="O184" s="18">
        <v>0</v>
      </c>
      <c r="P184" s="4">
        <v>0.6</v>
      </c>
      <c r="Q184" s="3">
        <v>40</v>
      </c>
      <c r="R184" s="1">
        <v>41</v>
      </c>
      <c r="S184" s="1">
        <v>40</v>
      </c>
      <c r="T184" s="1">
        <v>72</v>
      </c>
      <c r="U184" s="1">
        <v>86</v>
      </c>
      <c r="V184" s="1">
        <v>67</v>
      </c>
      <c r="W184" s="1">
        <v>86</v>
      </c>
      <c r="X184" s="1">
        <v>87</v>
      </c>
      <c r="Y184" s="1">
        <v>74</v>
      </c>
      <c r="AI184" s="4"/>
      <c r="AJ184" s="4"/>
      <c r="AK184" s="4"/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9">
        <v>0</v>
      </c>
      <c r="AT184" s="19">
        <v>0</v>
      </c>
      <c r="AU184" s="19">
        <v>0</v>
      </c>
      <c r="AV184" s="19">
        <v>0</v>
      </c>
      <c r="AW184" s="19">
        <v>0</v>
      </c>
      <c r="AX184" s="19"/>
      <c r="AY184"/>
      <c r="AZ184"/>
      <c r="BA184"/>
      <c r="BB184"/>
      <c r="BC184"/>
      <c r="BP184" s="4"/>
      <c r="BQ184" s="4"/>
      <c r="BR184" s="4"/>
      <c r="BS184" s="4"/>
      <c r="BT184" s="4"/>
      <c r="BU184" s="4"/>
      <c r="CI184" s="1">
        <v>6</v>
      </c>
      <c r="CJ184" s="1">
        <v>6</v>
      </c>
      <c r="CK184" s="1">
        <v>6</v>
      </c>
      <c r="CL184" s="1">
        <v>6</v>
      </c>
      <c r="CM184" s="1">
        <v>6</v>
      </c>
      <c r="CN184" s="1">
        <v>6</v>
      </c>
      <c r="CO184" s="1">
        <v>6</v>
      </c>
      <c r="CP184" s="1">
        <v>2</v>
      </c>
      <c r="CQ184" s="1">
        <v>6</v>
      </c>
      <c r="CR184" s="1">
        <v>6</v>
      </c>
      <c r="CS184" s="1">
        <v>6</v>
      </c>
      <c r="CT184" s="1">
        <v>6</v>
      </c>
      <c r="CU184" s="1">
        <v>6</v>
      </c>
      <c r="CV184" s="1">
        <v>6</v>
      </c>
      <c r="CW184" s="1">
        <v>6</v>
      </c>
      <c r="CX184" s="1">
        <v>6</v>
      </c>
      <c r="CY184" s="1">
        <v>6</v>
      </c>
      <c r="CZ184" s="1">
        <v>6</v>
      </c>
      <c r="DA184" s="1">
        <v>6</v>
      </c>
      <c r="DB184" s="1">
        <v>6</v>
      </c>
      <c r="DC184" s="1">
        <v>6</v>
      </c>
      <c r="DD184" s="1">
        <v>6</v>
      </c>
      <c r="DE184" s="1">
        <v>6</v>
      </c>
      <c r="DF184" s="1">
        <v>6</v>
      </c>
      <c r="DG184" s="1">
        <v>6</v>
      </c>
      <c r="DH184" s="1">
        <v>6</v>
      </c>
      <c r="DI184" s="1">
        <v>6</v>
      </c>
      <c r="DJ184" s="1">
        <v>6</v>
      </c>
      <c r="DK184" s="1">
        <v>6</v>
      </c>
      <c r="DL184" s="1">
        <v>6</v>
      </c>
      <c r="DM184" s="19">
        <v>6</v>
      </c>
      <c r="DN184" s="19">
        <v>6</v>
      </c>
      <c r="DO184" s="1">
        <v>6</v>
      </c>
      <c r="DP184" s="1">
        <v>6</v>
      </c>
      <c r="DQ184" s="1">
        <v>6</v>
      </c>
      <c r="DR184" s="1">
        <v>7</v>
      </c>
      <c r="DS184" s="1">
        <v>6</v>
      </c>
      <c r="DT184" s="1">
        <v>6</v>
      </c>
      <c r="DU184" s="27">
        <v>6</v>
      </c>
      <c r="DV184" s="27">
        <v>6</v>
      </c>
      <c r="DW184" s="27">
        <v>6</v>
      </c>
      <c r="DX184" s="27">
        <v>2</v>
      </c>
      <c r="DY184" s="27">
        <v>2</v>
      </c>
      <c r="DZ184" s="27">
        <v>2</v>
      </c>
      <c r="EA184" s="27">
        <v>2</v>
      </c>
      <c r="EB184" s="27">
        <v>6</v>
      </c>
      <c r="EC184" s="27">
        <v>6</v>
      </c>
      <c r="ED184" s="27">
        <v>6</v>
      </c>
      <c r="EE184" s="27">
        <v>2</v>
      </c>
      <c r="EF184" s="27">
        <v>6</v>
      </c>
      <c r="EG184" s="27">
        <v>6</v>
      </c>
      <c r="EH184" s="27">
        <v>6</v>
      </c>
      <c r="EI184" s="27">
        <v>6</v>
      </c>
      <c r="EJ184" s="27">
        <v>6</v>
      </c>
      <c r="EK184" s="27">
        <v>6</v>
      </c>
      <c r="EL184" s="27">
        <v>5</v>
      </c>
      <c r="EM184" s="27">
        <v>4</v>
      </c>
      <c r="EN184" s="27">
        <v>2</v>
      </c>
      <c r="EO184" s="27">
        <v>6</v>
      </c>
      <c r="EP184" s="27">
        <v>6</v>
      </c>
      <c r="EQ184" s="27">
        <v>6</v>
      </c>
      <c r="ER184" s="27">
        <v>6</v>
      </c>
      <c r="ES184" s="27">
        <v>6</v>
      </c>
      <c r="ET184" s="27">
        <v>6</v>
      </c>
      <c r="EU184" s="27">
        <v>6</v>
      </c>
      <c r="EV184" s="27">
        <v>18</v>
      </c>
      <c r="EW184" s="27">
        <v>2</v>
      </c>
      <c r="EY184" s="27">
        <v>1</v>
      </c>
      <c r="FA184" s="27">
        <v>1</v>
      </c>
      <c r="FB184" s="28" t="s">
        <v>886</v>
      </c>
      <c r="FC184" s="27">
        <v>1</v>
      </c>
      <c r="FD184" s="1">
        <v>3</v>
      </c>
      <c r="FE184" s="4"/>
      <c r="FF184" s="4"/>
      <c r="FG184" s="4"/>
      <c r="FH184" s="4"/>
      <c r="FI184" s="4"/>
      <c r="FJ184" s="23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26"/>
      <c r="GF184" s="26"/>
      <c r="GG184" s="4"/>
      <c r="JH184" s="1"/>
      <c r="JV184" s="1"/>
      <c r="KM184" s="4"/>
      <c r="LA184" s="4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</row>
    <row r="185" spans="1:376" x14ac:dyDescent="0.35">
      <c r="A185" s="14">
        <v>43725</v>
      </c>
      <c r="B185" s="16" t="s">
        <v>134</v>
      </c>
      <c r="C185" s="16" t="s">
        <v>346</v>
      </c>
      <c r="D185" s="1">
        <v>184</v>
      </c>
      <c r="E185" s="1">
        <v>4</v>
      </c>
      <c r="F185" s="3">
        <v>3</v>
      </c>
      <c r="H185" s="1">
        <v>46</v>
      </c>
      <c r="I185" s="1">
        <v>4</v>
      </c>
      <c r="K185" s="18">
        <v>0</v>
      </c>
      <c r="L185" s="18">
        <v>1</v>
      </c>
      <c r="M185" s="18">
        <v>1</v>
      </c>
      <c r="N185" s="18">
        <v>1</v>
      </c>
      <c r="O185" s="18">
        <v>0</v>
      </c>
      <c r="P185" s="4">
        <v>0.6</v>
      </c>
      <c r="Q185" s="3">
        <v>59</v>
      </c>
      <c r="R185" s="1">
        <v>49</v>
      </c>
      <c r="S185" s="1">
        <v>42</v>
      </c>
      <c r="T185" s="1">
        <v>67</v>
      </c>
      <c r="U185" s="1">
        <v>85</v>
      </c>
      <c r="V185" s="1">
        <v>95</v>
      </c>
      <c r="W185" s="1">
        <v>90</v>
      </c>
      <c r="X185" s="1">
        <v>92</v>
      </c>
      <c r="Y185" s="1">
        <v>103</v>
      </c>
      <c r="AI185" s="4"/>
      <c r="AJ185" s="4"/>
      <c r="AK185" s="4"/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9">
        <v>0</v>
      </c>
      <c r="AT185" s="19">
        <v>0</v>
      </c>
      <c r="AU185" s="19">
        <v>0</v>
      </c>
      <c r="AV185" s="19">
        <v>0</v>
      </c>
      <c r="AW185" s="19">
        <v>0</v>
      </c>
      <c r="AX185" s="19"/>
      <c r="AY185"/>
      <c r="AZ185"/>
      <c r="BA185"/>
      <c r="BB185"/>
      <c r="BC185"/>
      <c r="BP185" s="4"/>
      <c r="BQ185" s="4"/>
      <c r="BR185" s="4"/>
      <c r="BS185" s="4"/>
      <c r="BT185" s="4"/>
      <c r="BU185" s="4"/>
      <c r="CI185" s="1">
        <v>7</v>
      </c>
      <c r="CJ185" s="1">
        <v>7</v>
      </c>
      <c r="CK185" s="1">
        <v>7</v>
      </c>
      <c r="CL185" s="1">
        <v>6</v>
      </c>
      <c r="CM185" s="1">
        <v>5</v>
      </c>
      <c r="CN185" s="1">
        <v>6</v>
      </c>
      <c r="CO185" s="1">
        <v>5</v>
      </c>
      <c r="CP185" s="1">
        <v>2</v>
      </c>
      <c r="CQ185" s="1">
        <v>6</v>
      </c>
      <c r="CR185" s="1">
        <v>7</v>
      </c>
      <c r="CS185" s="1">
        <v>6</v>
      </c>
      <c r="CT185" s="1">
        <v>6</v>
      </c>
      <c r="CU185" s="1">
        <v>6</v>
      </c>
      <c r="CV185" s="1">
        <v>6</v>
      </c>
      <c r="CW185" s="1">
        <v>6</v>
      </c>
      <c r="CX185" s="1">
        <v>6</v>
      </c>
      <c r="CY185" s="1">
        <v>6</v>
      </c>
      <c r="CZ185" s="1">
        <v>7</v>
      </c>
      <c r="DA185" s="1">
        <v>7</v>
      </c>
      <c r="DB185" s="1">
        <v>7</v>
      </c>
      <c r="DC185" s="1">
        <v>6</v>
      </c>
      <c r="DD185" s="1">
        <v>7</v>
      </c>
      <c r="DE185" s="1">
        <v>7</v>
      </c>
      <c r="DF185" s="1">
        <v>2</v>
      </c>
      <c r="DG185" s="1">
        <v>2</v>
      </c>
      <c r="DH185" s="1">
        <v>2</v>
      </c>
      <c r="DI185" s="1">
        <v>2</v>
      </c>
      <c r="DJ185" s="1">
        <v>2</v>
      </c>
      <c r="DK185" s="1">
        <v>2</v>
      </c>
      <c r="DL185" s="1">
        <v>7</v>
      </c>
      <c r="DM185" s="19">
        <v>7</v>
      </c>
      <c r="DN185" s="19">
        <v>2</v>
      </c>
      <c r="DO185" s="1">
        <v>2</v>
      </c>
      <c r="DP185" s="1">
        <v>2</v>
      </c>
      <c r="DQ185" s="1">
        <v>6</v>
      </c>
      <c r="DR185" s="1">
        <v>7</v>
      </c>
      <c r="DS185" s="1">
        <v>7</v>
      </c>
      <c r="DT185" s="1">
        <v>6</v>
      </c>
      <c r="DU185" s="27">
        <v>7</v>
      </c>
      <c r="DV185" s="27">
        <v>7</v>
      </c>
      <c r="DW185" s="27">
        <v>6</v>
      </c>
      <c r="DX185" s="27">
        <v>2</v>
      </c>
      <c r="DY185" s="27">
        <v>2</v>
      </c>
      <c r="DZ185" s="27">
        <v>2</v>
      </c>
      <c r="EA185" s="27">
        <v>1</v>
      </c>
      <c r="EB185" s="27">
        <v>6</v>
      </c>
      <c r="EC185" s="27">
        <v>4</v>
      </c>
      <c r="ED185" s="27">
        <v>4</v>
      </c>
      <c r="EE185" s="27">
        <v>6</v>
      </c>
      <c r="EF185" s="27">
        <v>5</v>
      </c>
      <c r="EG185" s="27">
        <v>5</v>
      </c>
      <c r="EH185" s="27">
        <v>6</v>
      </c>
      <c r="EI185" s="27">
        <v>6</v>
      </c>
      <c r="EJ185" s="27">
        <v>7</v>
      </c>
      <c r="EK185" s="27">
        <v>6</v>
      </c>
      <c r="EL185" s="27">
        <v>6</v>
      </c>
      <c r="EM185" s="27">
        <v>2</v>
      </c>
      <c r="EN185" s="27">
        <v>2</v>
      </c>
      <c r="EO185" s="27">
        <v>7</v>
      </c>
      <c r="EP185" s="27">
        <v>7</v>
      </c>
      <c r="EQ185" s="27">
        <v>4</v>
      </c>
      <c r="ER185" s="27">
        <v>7</v>
      </c>
      <c r="ES185" s="27">
        <v>6</v>
      </c>
      <c r="ET185" s="27">
        <v>4</v>
      </c>
      <c r="EU185" s="27">
        <v>4</v>
      </c>
      <c r="EV185" s="27">
        <v>18</v>
      </c>
      <c r="EW185" s="27">
        <v>1</v>
      </c>
      <c r="EY185" s="27">
        <v>9</v>
      </c>
      <c r="FA185" s="27">
        <v>1</v>
      </c>
      <c r="FB185" s="28" t="s">
        <v>887</v>
      </c>
      <c r="FC185" s="27">
        <v>1</v>
      </c>
      <c r="FD185" s="1">
        <v>2</v>
      </c>
      <c r="FE185" s="4"/>
      <c r="FF185" s="4"/>
      <c r="FG185" s="4"/>
      <c r="FH185" s="4"/>
      <c r="FI185" s="4"/>
      <c r="FJ185" s="23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26"/>
      <c r="GF185" s="26"/>
      <c r="GG185" s="4"/>
      <c r="JH185" s="1"/>
      <c r="JV185" s="1"/>
      <c r="KM185" s="4"/>
      <c r="LA185" s="4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</row>
    <row r="186" spans="1:376" x14ac:dyDescent="0.35">
      <c r="A186" s="14">
        <v>43725</v>
      </c>
      <c r="B186" s="16" t="s">
        <v>135</v>
      </c>
      <c r="C186" s="16" t="s">
        <v>347</v>
      </c>
      <c r="D186" s="1">
        <v>185</v>
      </c>
      <c r="E186" s="1">
        <v>4</v>
      </c>
      <c r="F186" s="3">
        <v>3</v>
      </c>
      <c r="G186" s="1">
        <v>0</v>
      </c>
      <c r="H186" s="1">
        <v>47</v>
      </c>
      <c r="I186" s="1">
        <v>1</v>
      </c>
      <c r="J186" s="1">
        <v>1</v>
      </c>
      <c r="K186" s="18">
        <v>0</v>
      </c>
      <c r="L186" s="18">
        <v>1</v>
      </c>
      <c r="M186" s="18">
        <v>1</v>
      </c>
      <c r="N186" s="18">
        <v>1</v>
      </c>
      <c r="O186" s="18">
        <v>0</v>
      </c>
      <c r="P186" s="4">
        <v>0.6</v>
      </c>
      <c r="Q186" s="3">
        <v>36</v>
      </c>
      <c r="R186" s="1">
        <v>44</v>
      </c>
      <c r="S186" s="1">
        <v>44</v>
      </c>
      <c r="T186" s="1">
        <v>94</v>
      </c>
      <c r="U186" s="1">
        <v>65</v>
      </c>
      <c r="V186" s="1">
        <v>94</v>
      </c>
      <c r="W186" s="1">
        <v>75</v>
      </c>
      <c r="X186" s="1">
        <v>85</v>
      </c>
      <c r="Y186" s="1">
        <v>81</v>
      </c>
      <c r="Z186" s="1">
        <v>229</v>
      </c>
      <c r="AA186" s="1">
        <v>225</v>
      </c>
      <c r="AB186" s="1">
        <v>226</v>
      </c>
      <c r="AC186" s="1">
        <v>455</v>
      </c>
      <c r="AD186" s="1">
        <v>327</v>
      </c>
      <c r="AE186" s="1">
        <v>372</v>
      </c>
      <c r="AF186" s="1">
        <v>311</v>
      </c>
      <c r="AG186" s="1">
        <v>312</v>
      </c>
      <c r="AH186" s="1">
        <v>328</v>
      </c>
      <c r="AI186" s="4">
        <v>226.67</v>
      </c>
      <c r="AJ186" s="4">
        <v>384.67</v>
      </c>
      <c r="AK186" s="4">
        <v>317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1</v>
      </c>
      <c r="AR186" s="1">
        <v>0</v>
      </c>
      <c r="AS186" s="19">
        <v>0</v>
      </c>
      <c r="AT186" s="19">
        <v>0</v>
      </c>
      <c r="AU186" s="19">
        <v>0</v>
      </c>
      <c r="AV186" s="19">
        <v>0</v>
      </c>
      <c r="AW186" s="19">
        <v>0</v>
      </c>
      <c r="AX186" s="19">
        <f t="shared" ref="AX186:BC186" si="92">AL186+AL187+AL188+AL189</f>
        <v>0</v>
      </c>
      <c r="AY186" s="19">
        <f t="shared" si="92"/>
        <v>0</v>
      </c>
      <c r="AZ186" s="19">
        <f t="shared" si="92"/>
        <v>0</v>
      </c>
      <c r="BA186" s="19">
        <f t="shared" si="92"/>
        <v>0</v>
      </c>
      <c r="BB186" s="19">
        <f t="shared" si="92"/>
        <v>0</v>
      </c>
      <c r="BC186" s="19">
        <f t="shared" si="92"/>
        <v>1</v>
      </c>
      <c r="BD186" s="1">
        <f>AX186*3</f>
        <v>0</v>
      </c>
      <c r="BE186" s="1">
        <f t="shared" ref="BE186:BI186" si="93">AY186*3</f>
        <v>0</v>
      </c>
      <c r="BF186" s="1">
        <f t="shared" si="93"/>
        <v>0</v>
      </c>
      <c r="BG186" s="1">
        <f t="shared" si="93"/>
        <v>0</v>
      </c>
      <c r="BH186" s="1">
        <f t="shared" si="93"/>
        <v>0</v>
      </c>
      <c r="BI186" s="1">
        <f t="shared" si="93"/>
        <v>3</v>
      </c>
      <c r="BJ186" s="1">
        <f>AX186+AY186+AZ186</f>
        <v>0</v>
      </c>
      <c r="BK186" s="1">
        <f>BA186+BB186+BC186</f>
        <v>1</v>
      </c>
      <c r="BL186" s="1">
        <f>BJ186*3</f>
        <v>0</v>
      </c>
      <c r="BM186" s="1">
        <f>BK186*3</f>
        <v>3</v>
      </c>
      <c r="BN186" s="1">
        <f>BL186/3</f>
        <v>0</v>
      </c>
      <c r="BO186" s="1">
        <f>BM186/3</f>
        <v>1</v>
      </c>
      <c r="BP186" s="4">
        <v>226.66666666666666</v>
      </c>
      <c r="BQ186" s="4">
        <v>383.66666666666669</v>
      </c>
      <c r="BR186" s="4">
        <v>317</v>
      </c>
      <c r="BS186" s="4">
        <v>383.67</v>
      </c>
      <c r="BT186" s="4">
        <v>317</v>
      </c>
      <c r="BU186" s="4">
        <v>3</v>
      </c>
      <c r="BV186" s="1">
        <v>4</v>
      </c>
      <c r="BW186" s="1">
        <v>4</v>
      </c>
      <c r="BX186" s="1">
        <v>4</v>
      </c>
      <c r="BY186" s="1">
        <v>4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7</v>
      </c>
      <c r="CJ186" s="1">
        <v>6</v>
      </c>
      <c r="CK186" s="1">
        <v>6</v>
      </c>
      <c r="CL186" s="1">
        <v>7</v>
      </c>
      <c r="CM186" s="1">
        <v>6</v>
      </c>
      <c r="CN186" s="1">
        <v>6</v>
      </c>
      <c r="CO186" s="1">
        <v>7</v>
      </c>
      <c r="CP186" s="1">
        <v>3</v>
      </c>
      <c r="CQ186" s="1">
        <v>6</v>
      </c>
      <c r="CR186" s="1">
        <v>5</v>
      </c>
      <c r="CS186" s="1">
        <v>7</v>
      </c>
      <c r="CT186" s="1">
        <v>5</v>
      </c>
      <c r="CU186" s="1">
        <v>7</v>
      </c>
      <c r="CV186" s="1">
        <v>4</v>
      </c>
      <c r="CW186" s="1">
        <v>7</v>
      </c>
      <c r="CX186" s="1">
        <v>7</v>
      </c>
      <c r="CY186" s="1">
        <v>6</v>
      </c>
      <c r="CZ186" s="1">
        <v>7</v>
      </c>
      <c r="DA186" s="1">
        <v>4</v>
      </c>
      <c r="DB186" s="1">
        <v>7</v>
      </c>
      <c r="DC186" s="1">
        <v>7</v>
      </c>
      <c r="DD186" s="1">
        <v>2</v>
      </c>
      <c r="DE186" s="1">
        <v>7</v>
      </c>
      <c r="DF186" s="1">
        <v>5</v>
      </c>
      <c r="DG186" s="1">
        <v>3</v>
      </c>
      <c r="DH186" s="1">
        <v>4</v>
      </c>
      <c r="DI186" s="1">
        <v>6</v>
      </c>
      <c r="DJ186" s="1">
        <v>7</v>
      </c>
      <c r="DK186" s="1">
        <v>7</v>
      </c>
      <c r="DL186" s="1">
        <v>7</v>
      </c>
      <c r="DM186" s="19">
        <v>7</v>
      </c>
      <c r="DN186" s="19">
        <v>7</v>
      </c>
      <c r="DO186" s="1">
        <v>4</v>
      </c>
      <c r="DP186" s="1">
        <v>5</v>
      </c>
      <c r="DQ186" s="1">
        <v>7</v>
      </c>
      <c r="DR186" s="1">
        <v>5</v>
      </c>
      <c r="DS186" s="1">
        <v>5</v>
      </c>
      <c r="DT186" s="1">
        <v>4</v>
      </c>
      <c r="DU186" s="27">
        <v>3</v>
      </c>
      <c r="DV186" s="27">
        <v>6</v>
      </c>
      <c r="DW186" s="27">
        <v>1</v>
      </c>
      <c r="DX186" s="27">
        <v>7</v>
      </c>
      <c r="DY186" s="27">
        <v>7</v>
      </c>
      <c r="DZ186" s="27">
        <v>4</v>
      </c>
      <c r="EA186" s="27">
        <v>1</v>
      </c>
      <c r="EB186" s="27">
        <v>1</v>
      </c>
      <c r="EC186" s="27">
        <v>7</v>
      </c>
      <c r="ED186" s="27">
        <v>2</v>
      </c>
      <c r="EE186" s="27">
        <v>2</v>
      </c>
      <c r="EF186" s="27">
        <v>2</v>
      </c>
      <c r="EG186" s="27">
        <v>7</v>
      </c>
      <c r="EH186" s="27">
        <v>7</v>
      </c>
      <c r="EI186" s="27">
        <v>7</v>
      </c>
      <c r="EJ186" s="27">
        <v>6</v>
      </c>
      <c r="EK186" s="27">
        <v>4</v>
      </c>
      <c r="EL186" s="27">
        <v>5</v>
      </c>
      <c r="EM186" s="27">
        <v>4</v>
      </c>
      <c r="EN186" s="27">
        <v>4</v>
      </c>
      <c r="EO186" s="27">
        <v>4</v>
      </c>
      <c r="EP186" s="27">
        <v>4</v>
      </c>
      <c r="EQ186" s="27">
        <v>3</v>
      </c>
      <c r="ER186" s="27">
        <v>7</v>
      </c>
      <c r="ES186" s="27">
        <v>7</v>
      </c>
      <c r="ET186" s="27">
        <v>6</v>
      </c>
      <c r="EU186" s="27">
        <v>6</v>
      </c>
      <c r="EV186" s="27">
        <v>18</v>
      </c>
      <c r="EW186" s="27">
        <v>2</v>
      </c>
      <c r="EY186" s="27">
        <v>2</v>
      </c>
      <c r="FA186" s="27">
        <v>1</v>
      </c>
      <c r="FB186" s="28" t="s">
        <v>888</v>
      </c>
      <c r="FC186" s="27">
        <v>0</v>
      </c>
      <c r="FD186" s="1">
        <v>4</v>
      </c>
      <c r="FE186" s="4">
        <v>6.18</v>
      </c>
      <c r="FF186" s="4">
        <v>5.5</v>
      </c>
      <c r="FG186" s="4">
        <v>7.19</v>
      </c>
      <c r="FH186" s="4">
        <v>5.5</v>
      </c>
      <c r="FI186" s="4">
        <v>5</v>
      </c>
      <c r="FJ186" s="23">
        <v>6.25</v>
      </c>
      <c r="FK186" s="4">
        <v>5.29</v>
      </c>
      <c r="FL186" s="4">
        <v>5.88</v>
      </c>
      <c r="FM186" s="4">
        <v>5.63</v>
      </c>
      <c r="FN186" s="4">
        <v>5.5</v>
      </c>
      <c r="FO186" s="4">
        <v>5.33</v>
      </c>
      <c r="FP186" s="4">
        <v>5.58</v>
      </c>
      <c r="FQ186" s="4">
        <v>3.75</v>
      </c>
      <c r="FR186" s="4">
        <v>2</v>
      </c>
      <c r="FS186" s="4">
        <v>3.5</v>
      </c>
      <c r="FT186" s="4">
        <v>6</v>
      </c>
      <c r="FU186" s="4">
        <v>2.5</v>
      </c>
      <c r="FV186" s="4">
        <v>4.5</v>
      </c>
      <c r="FW186" s="4">
        <v>3.25</v>
      </c>
      <c r="FX186" s="4">
        <v>6</v>
      </c>
      <c r="FY186" s="4">
        <v>5.88</v>
      </c>
      <c r="FZ186" s="4">
        <v>4.67</v>
      </c>
      <c r="GA186" s="4">
        <v>3</v>
      </c>
      <c r="GB186" s="4">
        <v>3.58</v>
      </c>
      <c r="GC186" s="4">
        <v>5</v>
      </c>
      <c r="GD186" s="4">
        <v>4.25</v>
      </c>
      <c r="GE186" s="26"/>
      <c r="GF186" s="26"/>
      <c r="GG186" s="4"/>
      <c r="JH186" s="1"/>
      <c r="JV186" s="1"/>
      <c r="KM186" s="4"/>
      <c r="LA186" s="4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</row>
    <row r="187" spans="1:376" x14ac:dyDescent="0.35">
      <c r="A187" s="14">
        <v>43725</v>
      </c>
      <c r="B187" s="16" t="s">
        <v>135</v>
      </c>
      <c r="C187" s="16" t="s">
        <v>348</v>
      </c>
      <c r="D187" s="1">
        <v>186</v>
      </c>
      <c r="E187" s="1">
        <v>4</v>
      </c>
      <c r="F187" s="3">
        <v>3</v>
      </c>
      <c r="H187" s="1">
        <v>47</v>
      </c>
      <c r="I187" s="1">
        <v>2</v>
      </c>
      <c r="K187" s="18">
        <v>0</v>
      </c>
      <c r="L187" s="18">
        <v>1</v>
      </c>
      <c r="M187" s="18">
        <v>1</v>
      </c>
      <c r="N187" s="18">
        <v>1</v>
      </c>
      <c r="O187" s="18">
        <v>0</v>
      </c>
      <c r="P187" s="4">
        <v>0.6</v>
      </c>
      <c r="Q187" s="3">
        <v>67</v>
      </c>
      <c r="R187" s="1">
        <v>52</v>
      </c>
      <c r="S187" s="1">
        <v>56</v>
      </c>
      <c r="T187" s="1">
        <v>119</v>
      </c>
      <c r="U187" s="1">
        <v>100</v>
      </c>
      <c r="V187" s="1">
        <v>70</v>
      </c>
      <c r="W187" s="1">
        <v>72</v>
      </c>
      <c r="X187" s="1">
        <v>76</v>
      </c>
      <c r="Y187" s="1">
        <v>51</v>
      </c>
      <c r="AI187" s="4"/>
      <c r="AJ187" s="4"/>
      <c r="AK187" s="4"/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9">
        <v>0</v>
      </c>
      <c r="AT187" s="19">
        <v>0</v>
      </c>
      <c r="AU187" s="19">
        <v>0</v>
      </c>
      <c r="AV187" s="19">
        <v>0</v>
      </c>
      <c r="AW187" s="19">
        <v>2</v>
      </c>
      <c r="AX187" s="19"/>
      <c r="AY187"/>
      <c r="AZ187"/>
      <c r="BA187"/>
      <c r="BB187"/>
      <c r="BC187"/>
      <c r="BP187" s="4"/>
      <c r="BQ187" s="4"/>
      <c r="BR187" s="4"/>
      <c r="BS187" s="4"/>
      <c r="BT187" s="4"/>
      <c r="BU187" s="4"/>
      <c r="CI187" s="1">
        <v>6</v>
      </c>
      <c r="CJ187" s="1">
        <v>5</v>
      </c>
      <c r="CK187" s="1">
        <v>6</v>
      </c>
      <c r="CL187" s="1">
        <v>6</v>
      </c>
      <c r="CM187" s="1">
        <v>6</v>
      </c>
      <c r="CN187" s="1">
        <v>5</v>
      </c>
      <c r="CO187" s="1">
        <v>6</v>
      </c>
      <c r="CP187" s="1">
        <v>4</v>
      </c>
      <c r="CQ187" s="1">
        <v>5</v>
      </c>
      <c r="CR187" s="1">
        <v>6</v>
      </c>
      <c r="CS187" s="1">
        <v>5</v>
      </c>
      <c r="CT187" s="1">
        <v>4</v>
      </c>
      <c r="CU187" s="1">
        <v>5</v>
      </c>
      <c r="CV187" s="1">
        <v>6</v>
      </c>
      <c r="CW187" s="1">
        <v>4</v>
      </c>
      <c r="CX187" s="1">
        <v>5</v>
      </c>
      <c r="CY187" s="1">
        <v>6</v>
      </c>
      <c r="CZ187" s="1">
        <v>3</v>
      </c>
      <c r="DA187" s="1">
        <v>3</v>
      </c>
      <c r="DB187" s="1">
        <v>4</v>
      </c>
      <c r="DC187" s="1">
        <v>4</v>
      </c>
      <c r="DD187" s="1">
        <v>4</v>
      </c>
      <c r="DE187" s="1">
        <v>5</v>
      </c>
      <c r="DF187" s="1">
        <v>6</v>
      </c>
      <c r="DG187" s="1">
        <v>6</v>
      </c>
      <c r="DH187" s="1">
        <v>6</v>
      </c>
      <c r="DI187" s="1">
        <v>6</v>
      </c>
      <c r="DJ187" s="1">
        <v>4</v>
      </c>
      <c r="DK187" s="1">
        <v>3</v>
      </c>
      <c r="DL187" s="1">
        <v>4</v>
      </c>
      <c r="DM187" s="19">
        <v>5</v>
      </c>
      <c r="DN187" s="19">
        <v>6</v>
      </c>
      <c r="DO187" s="1">
        <v>5</v>
      </c>
      <c r="DP187" s="1">
        <v>5</v>
      </c>
      <c r="DQ187" s="1">
        <v>4</v>
      </c>
      <c r="DR187" s="1">
        <v>5</v>
      </c>
      <c r="DS187" s="1">
        <v>5</v>
      </c>
      <c r="DT187" s="1">
        <v>5</v>
      </c>
      <c r="DU187" s="27">
        <v>7</v>
      </c>
      <c r="DV187" s="27">
        <v>7</v>
      </c>
      <c r="DW187" s="27">
        <v>6</v>
      </c>
      <c r="DX187" s="27">
        <v>4</v>
      </c>
      <c r="DY187" s="27">
        <v>4</v>
      </c>
      <c r="DZ187" s="27">
        <v>4</v>
      </c>
      <c r="EA187" s="27">
        <v>4</v>
      </c>
      <c r="EB187" s="27">
        <v>5</v>
      </c>
      <c r="EC187" s="27">
        <v>4</v>
      </c>
      <c r="ED187" s="27">
        <v>5</v>
      </c>
      <c r="EE187" s="27">
        <v>5</v>
      </c>
      <c r="EF187" s="27">
        <v>5</v>
      </c>
      <c r="EG187" s="27">
        <v>6</v>
      </c>
      <c r="EH187" s="27">
        <v>4</v>
      </c>
      <c r="EI187" s="27">
        <v>3</v>
      </c>
      <c r="EJ187" s="27">
        <v>3</v>
      </c>
      <c r="EK187" s="27">
        <v>3</v>
      </c>
      <c r="EL187" s="27">
        <v>3</v>
      </c>
      <c r="EM187" s="27">
        <v>4</v>
      </c>
      <c r="EN187" s="27">
        <v>6</v>
      </c>
      <c r="EO187" s="27">
        <v>3</v>
      </c>
      <c r="EP187" s="27">
        <v>3</v>
      </c>
      <c r="EQ187" s="27">
        <v>5</v>
      </c>
      <c r="ER187" s="27">
        <v>3</v>
      </c>
      <c r="ES187" s="27">
        <v>3</v>
      </c>
      <c r="ET187" s="27">
        <v>5</v>
      </c>
      <c r="EU187" s="27">
        <v>5</v>
      </c>
      <c r="EV187" s="27">
        <v>18</v>
      </c>
      <c r="EW187" s="27">
        <v>2</v>
      </c>
      <c r="EY187" s="27">
        <v>1</v>
      </c>
      <c r="FA187" s="27">
        <v>1</v>
      </c>
      <c r="FB187" s="28" t="s">
        <v>852</v>
      </c>
      <c r="FC187" s="27">
        <v>1</v>
      </c>
      <c r="FD187" s="1">
        <v>1</v>
      </c>
      <c r="FE187" s="4"/>
      <c r="FF187" s="4"/>
      <c r="FG187" s="4"/>
      <c r="FH187" s="4"/>
      <c r="FI187" s="4"/>
      <c r="FJ187" s="23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26"/>
      <c r="GF187" s="26"/>
      <c r="GG187" s="4"/>
      <c r="JH187" s="1"/>
      <c r="JV187" s="1"/>
      <c r="KM187" s="4"/>
      <c r="LA187" s="4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</row>
    <row r="188" spans="1:376" x14ac:dyDescent="0.35">
      <c r="A188" s="14">
        <v>43725</v>
      </c>
      <c r="B188" s="16" t="s">
        <v>135</v>
      </c>
      <c r="C188" s="16" t="s">
        <v>349</v>
      </c>
      <c r="D188" s="1">
        <v>187</v>
      </c>
      <c r="E188" s="1">
        <v>4</v>
      </c>
      <c r="F188" s="3">
        <v>3</v>
      </c>
      <c r="H188" s="1">
        <v>47</v>
      </c>
      <c r="I188" s="1">
        <v>3</v>
      </c>
      <c r="K188" s="18">
        <v>0</v>
      </c>
      <c r="L188" s="18">
        <v>1</v>
      </c>
      <c r="M188" s="18">
        <v>1</v>
      </c>
      <c r="N188" s="18">
        <v>1</v>
      </c>
      <c r="O188" s="18">
        <v>1</v>
      </c>
      <c r="P188" s="4">
        <v>0.8</v>
      </c>
      <c r="Q188" s="3">
        <v>91</v>
      </c>
      <c r="R188" s="1">
        <v>81</v>
      </c>
      <c r="S188" s="1">
        <v>79</v>
      </c>
      <c r="T188" s="1">
        <v>130</v>
      </c>
      <c r="U188" s="1">
        <v>100</v>
      </c>
      <c r="V188" s="1">
        <v>101</v>
      </c>
      <c r="W188" s="1">
        <v>87</v>
      </c>
      <c r="X188" s="1">
        <v>75</v>
      </c>
      <c r="Y188" s="1">
        <v>92</v>
      </c>
      <c r="AI188" s="4"/>
      <c r="AJ188" s="4"/>
      <c r="AK188" s="4"/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9">
        <v>0</v>
      </c>
      <c r="AT188" s="19">
        <v>0</v>
      </c>
      <c r="AU188" s="19">
        <v>0</v>
      </c>
      <c r="AV188" s="19">
        <v>0</v>
      </c>
      <c r="AW188" s="19">
        <v>0</v>
      </c>
      <c r="AX188" s="19"/>
      <c r="AY188"/>
      <c r="AZ188"/>
      <c r="BA188"/>
      <c r="BB188"/>
      <c r="BC188"/>
      <c r="BP188" s="4"/>
      <c r="BQ188" s="4"/>
      <c r="BR188" s="4"/>
      <c r="BS188" s="4"/>
      <c r="BT188" s="4"/>
      <c r="BU188" s="4"/>
      <c r="CI188" s="1">
        <v>7</v>
      </c>
      <c r="CJ188" s="1">
        <v>7</v>
      </c>
      <c r="CK188" s="1">
        <v>7</v>
      </c>
      <c r="CL188" s="1">
        <v>7</v>
      </c>
      <c r="CM188" s="1">
        <v>6</v>
      </c>
      <c r="CN188" s="1">
        <v>6</v>
      </c>
      <c r="CO188" s="1">
        <v>6</v>
      </c>
      <c r="CP188" s="1">
        <v>2</v>
      </c>
      <c r="CQ188" s="1">
        <v>6</v>
      </c>
      <c r="CR188" s="1">
        <v>6</v>
      </c>
      <c r="CS188" s="1">
        <v>6</v>
      </c>
      <c r="CT188" s="1">
        <v>6</v>
      </c>
      <c r="CU188" s="1">
        <v>5</v>
      </c>
      <c r="CV188" s="1">
        <v>6</v>
      </c>
      <c r="CW188" s="1">
        <v>5</v>
      </c>
      <c r="CX188" s="1">
        <v>6</v>
      </c>
      <c r="CY188" s="1">
        <v>6</v>
      </c>
      <c r="CZ188" s="1">
        <v>7</v>
      </c>
      <c r="DA188" s="1">
        <v>7</v>
      </c>
      <c r="DB188" s="1">
        <v>6</v>
      </c>
      <c r="DC188" s="1">
        <v>4</v>
      </c>
      <c r="DD188" s="1">
        <v>6</v>
      </c>
      <c r="DE188" s="1">
        <v>7</v>
      </c>
      <c r="DF188" s="1">
        <v>6</v>
      </c>
      <c r="DG188" s="1">
        <v>5</v>
      </c>
      <c r="DH188" s="1">
        <v>6</v>
      </c>
      <c r="DI188" s="1">
        <v>6</v>
      </c>
      <c r="DJ188" s="1">
        <v>5</v>
      </c>
      <c r="DK188" s="1">
        <v>6</v>
      </c>
      <c r="DL188" s="1">
        <v>6</v>
      </c>
      <c r="DM188" s="19">
        <v>6</v>
      </c>
      <c r="DN188" s="19">
        <v>7</v>
      </c>
      <c r="DO188" s="1">
        <v>6</v>
      </c>
      <c r="DP188" s="1">
        <v>5</v>
      </c>
      <c r="DQ188" s="1">
        <v>6</v>
      </c>
      <c r="DR188" s="1">
        <v>5</v>
      </c>
      <c r="DS188" s="1">
        <v>6</v>
      </c>
      <c r="DT188" s="1">
        <v>6</v>
      </c>
      <c r="DU188" s="27">
        <v>7</v>
      </c>
      <c r="DV188" s="27">
        <v>7</v>
      </c>
      <c r="DW188" s="27">
        <v>5</v>
      </c>
      <c r="DX188" s="27">
        <v>1</v>
      </c>
      <c r="DY188" s="27">
        <v>3</v>
      </c>
      <c r="DZ188" s="27">
        <v>1</v>
      </c>
      <c r="EA188" s="27">
        <v>2</v>
      </c>
      <c r="EB188" s="27">
        <v>6</v>
      </c>
      <c r="EC188" s="27">
        <v>7</v>
      </c>
      <c r="ED188" s="27">
        <v>1</v>
      </c>
      <c r="EE188" s="27">
        <v>5</v>
      </c>
      <c r="EF188" s="27">
        <v>2</v>
      </c>
      <c r="EG188" s="27">
        <v>5</v>
      </c>
      <c r="EH188" s="27">
        <v>7</v>
      </c>
      <c r="EI188" s="27">
        <v>7</v>
      </c>
      <c r="EJ188" s="27">
        <v>6</v>
      </c>
      <c r="EK188" s="27">
        <v>7</v>
      </c>
      <c r="EL188" s="27">
        <v>7</v>
      </c>
      <c r="EM188" s="27">
        <v>2</v>
      </c>
      <c r="EN188" s="27">
        <v>2</v>
      </c>
      <c r="EO188" s="27">
        <v>4</v>
      </c>
      <c r="EP188" s="27">
        <v>3</v>
      </c>
      <c r="EQ188" s="27">
        <v>3</v>
      </c>
      <c r="ER188" s="27">
        <v>7</v>
      </c>
      <c r="ES188" s="27">
        <v>5</v>
      </c>
      <c r="ET188" s="27">
        <v>5</v>
      </c>
      <c r="EU188" s="27">
        <v>3</v>
      </c>
      <c r="EV188" s="27">
        <v>18</v>
      </c>
      <c r="EW188" s="27">
        <v>2</v>
      </c>
      <c r="EY188" s="27">
        <v>8</v>
      </c>
      <c r="EZ188" s="28" t="s">
        <v>766</v>
      </c>
      <c r="FA188" s="27">
        <v>1</v>
      </c>
      <c r="FB188" s="28" t="s">
        <v>797</v>
      </c>
      <c r="FC188" s="27">
        <v>1</v>
      </c>
      <c r="FD188" s="1">
        <v>3</v>
      </c>
      <c r="FE188" s="4"/>
      <c r="FF188" s="4"/>
      <c r="FG188" s="4"/>
      <c r="FH188" s="4"/>
      <c r="FI188" s="4"/>
      <c r="FJ188" s="23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26"/>
      <c r="GF188" s="26"/>
      <c r="GG188" s="4"/>
      <c r="JH188" s="1"/>
      <c r="JV188" s="1"/>
      <c r="KM188" s="4"/>
      <c r="LA188" s="4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</row>
    <row r="189" spans="1:376" x14ac:dyDescent="0.35">
      <c r="A189" s="14">
        <v>43725</v>
      </c>
      <c r="B189" s="16" t="s">
        <v>135</v>
      </c>
      <c r="C189" s="16" t="s">
        <v>350</v>
      </c>
      <c r="D189" s="1">
        <v>188</v>
      </c>
      <c r="E189" s="1">
        <v>4</v>
      </c>
      <c r="F189" s="3">
        <v>3</v>
      </c>
      <c r="H189" s="1">
        <v>47</v>
      </c>
      <c r="I189" s="1">
        <v>4</v>
      </c>
      <c r="K189" s="18">
        <v>0</v>
      </c>
      <c r="L189" s="18">
        <v>0</v>
      </c>
      <c r="M189" s="18">
        <v>1</v>
      </c>
      <c r="N189" s="18">
        <v>1</v>
      </c>
      <c r="O189" s="18">
        <v>0</v>
      </c>
      <c r="P189" s="4">
        <v>0.4</v>
      </c>
      <c r="Q189" s="3">
        <v>35</v>
      </c>
      <c r="R189" s="1">
        <v>48</v>
      </c>
      <c r="S189" s="1">
        <v>47</v>
      </c>
      <c r="T189" s="1">
        <v>112</v>
      </c>
      <c r="U189" s="1">
        <v>62</v>
      </c>
      <c r="V189" s="1">
        <v>107</v>
      </c>
      <c r="W189" s="1">
        <v>77</v>
      </c>
      <c r="X189" s="1">
        <v>76</v>
      </c>
      <c r="Y189" s="1">
        <v>104</v>
      </c>
      <c r="AI189" s="4"/>
      <c r="AJ189" s="4"/>
      <c r="AK189" s="4"/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9">
        <v>0</v>
      </c>
      <c r="AT189" s="19">
        <v>0</v>
      </c>
      <c r="AU189" s="19">
        <v>0</v>
      </c>
      <c r="AV189" s="19">
        <v>0</v>
      </c>
      <c r="AW189" s="19">
        <v>0</v>
      </c>
      <c r="AX189" s="19"/>
      <c r="AY189"/>
      <c r="AZ189"/>
      <c r="BA189"/>
      <c r="BB189"/>
      <c r="BC189"/>
      <c r="BP189" s="4"/>
      <c r="BQ189" s="4"/>
      <c r="BR189" s="4"/>
      <c r="BS189" s="4"/>
      <c r="BT189" s="4"/>
      <c r="BU189" s="4"/>
      <c r="CI189" s="1">
        <v>6</v>
      </c>
      <c r="CJ189" s="1">
        <v>6</v>
      </c>
      <c r="CK189" s="1">
        <v>6</v>
      </c>
      <c r="CL189" s="1">
        <v>6</v>
      </c>
      <c r="CM189" s="1">
        <v>6</v>
      </c>
      <c r="CN189" s="1">
        <v>6</v>
      </c>
      <c r="CO189" s="1">
        <v>6</v>
      </c>
      <c r="CP189" s="1">
        <v>5</v>
      </c>
      <c r="CQ189" s="1">
        <v>6</v>
      </c>
      <c r="CR189" s="1">
        <v>6</v>
      </c>
      <c r="CS189" s="1">
        <v>6</v>
      </c>
      <c r="CT189" s="1">
        <v>3</v>
      </c>
      <c r="CU189" s="1">
        <v>6</v>
      </c>
      <c r="CV189" s="1">
        <v>6</v>
      </c>
      <c r="CW189" s="1">
        <v>6</v>
      </c>
      <c r="CX189" s="1">
        <v>6</v>
      </c>
      <c r="CY189" s="1">
        <v>6</v>
      </c>
      <c r="CZ189" s="1">
        <v>6</v>
      </c>
      <c r="DA189" s="1">
        <v>6</v>
      </c>
      <c r="DB189" s="1">
        <v>6</v>
      </c>
      <c r="DC189" s="1">
        <v>6</v>
      </c>
      <c r="DD189" s="1">
        <v>7</v>
      </c>
      <c r="DE189" s="1">
        <v>6</v>
      </c>
      <c r="DF189" s="1">
        <v>6</v>
      </c>
      <c r="DG189" s="1">
        <v>2</v>
      </c>
      <c r="DH189" s="1">
        <v>6</v>
      </c>
      <c r="DI189" s="1">
        <v>5</v>
      </c>
      <c r="DJ189" s="1">
        <v>6</v>
      </c>
      <c r="DK189" s="1">
        <v>5</v>
      </c>
      <c r="DL189" s="1">
        <v>6</v>
      </c>
      <c r="DM189" s="19">
        <v>6</v>
      </c>
      <c r="DN189" s="19">
        <v>5</v>
      </c>
      <c r="DO189" s="1">
        <v>5</v>
      </c>
      <c r="DP189" s="1">
        <v>6</v>
      </c>
      <c r="DQ189" s="1">
        <v>6</v>
      </c>
      <c r="DR189" s="1">
        <v>6</v>
      </c>
      <c r="DS189" s="1">
        <v>6</v>
      </c>
      <c r="DT189" s="1">
        <v>6</v>
      </c>
      <c r="DU189" s="27">
        <v>6</v>
      </c>
      <c r="DV189" s="27">
        <v>6</v>
      </c>
      <c r="DW189" s="27">
        <v>6</v>
      </c>
      <c r="DX189" s="27">
        <v>3</v>
      </c>
      <c r="DY189" s="27">
        <v>1</v>
      </c>
      <c r="DZ189" s="27">
        <v>1</v>
      </c>
      <c r="EA189" s="27">
        <v>1</v>
      </c>
      <c r="EB189" s="27">
        <v>2</v>
      </c>
      <c r="EC189" s="27">
        <v>6</v>
      </c>
      <c r="ED189" s="27">
        <v>2</v>
      </c>
      <c r="EE189" s="27">
        <v>6</v>
      </c>
      <c r="EF189" s="27">
        <v>4</v>
      </c>
      <c r="EG189" s="27">
        <v>6</v>
      </c>
      <c r="EH189" s="27">
        <v>6</v>
      </c>
      <c r="EI189" s="27">
        <v>6</v>
      </c>
      <c r="EJ189" s="27">
        <v>4</v>
      </c>
      <c r="EK189" s="27">
        <v>4</v>
      </c>
      <c r="EL189" s="27">
        <v>4</v>
      </c>
      <c r="EM189" s="27">
        <v>1</v>
      </c>
      <c r="EN189" s="27">
        <v>1</v>
      </c>
      <c r="EO189" s="27">
        <v>5</v>
      </c>
      <c r="EP189" s="27">
        <v>2</v>
      </c>
      <c r="EQ189" s="27">
        <v>4</v>
      </c>
      <c r="ER189" s="27">
        <v>4</v>
      </c>
      <c r="ES189" s="27">
        <v>4</v>
      </c>
      <c r="ET189" s="27">
        <v>2</v>
      </c>
      <c r="EU189" s="27">
        <v>2</v>
      </c>
      <c r="EV189" s="27">
        <v>18</v>
      </c>
      <c r="EW189" s="27">
        <v>2</v>
      </c>
      <c r="EY189" s="27">
        <v>4</v>
      </c>
      <c r="FA189" s="27">
        <v>1</v>
      </c>
      <c r="FB189" s="28" t="s">
        <v>889</v>
      </c>
      <c r="FC189" s="27">
        <v>0</v>
      </c>
      <c r="FD189" s="1">
        <v>5</v>
      </c>
      <c r="FE189" s="4"/>
      <c r="FF189" s="4"/>
      <c r="FG189" s="4"/>
      <c r="FH189" s="4"/>
      <c r="FI189" s="4"/>
      <c r="FJ189" s="23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26"/>
      <c r="GF189" s="26"/>
      <c r="GG189" s="4"/>
      <c r="JH189" s="1"/>
      <c r="JV189" s="1"/>
      <c r="KM189" s="4"/>
      <c r="LA189" s="4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</row>
    <row r="190" spans="1:376" x14ac:dyDescent="0.35">
      <c r="A190" s="14">
        <v>43488</v>
      </c>
      <c r="B190" s="16" t="s">
        <v>136</v>
      </c>
      <c r="C190" s="16" t="s">
        <v>351</v>
      </c>
      <c r="D190" s="1">
        <v>189</v>
      </c>
      <c r="E190" s="1">
        <v>5</v>
      </c>
      <c r="F190" s="1">
        <v>5</v>
      </c>
      <c r="G190" s="1">
        <v>0</v>
      </c>
      <c r="H190" s="1">
        <v>48</v>
      </c>
      <c r="I190" s="1">
        <v>1</v>
      </c>
      <c r="J190" s="1">
        <v>1</v>
      </c>
      <c r="K190" s="18">
        <v>1</v>
      </c>
      <c r="L190" s="18">
        <v>1</v>
      </c>
      <c r="M190" s="18">
        <v>1</v>
      </c>
      <c r="N190" s="18">
        <v>1</v>
      </c>
      <c r="O190" s="18">
        <v>1</v>
      </c>
      <c r="P190" s="4">
        <v>1</v>
      </c>
      <c r="Q190" s="3">
        <v>57</v>
      </c>
      <c r="R190" s="1">
        <v>70</v>
      </c>
      <c r="S190" s="1">
        <v>61</v>
      </c>
      <c r="T190" s="1">
        <v>104</v>
      </c>
      <c r="U190" s="1">
        <v>58</v>
      </c>
      <c r="V190" s="1">
        <v>70</v>
      </c>
      <c r="W190" s="1">
        <v>58</v>
      </c>
      <c r="X190" s="1">
        <v>41</v>
      </c>
      <c r="Y190" s="1">
        <v>49</v>
      </c>
      <c r="Z190" s="1">
        <v>254</v>
      </c>
      <c r="AA190" s="1">
        <v>256</v>
      </c>
      <c r="AB190" s="1">
        <v>216</v>
      </c>
      <c r="AC190" s="1">
        <v>412</v>
      </c>
      <c r="AD190" s="1">
        <v>364</v>
      </c>
      <c r="AE190" s="1">
        <v>285</v>
      </c>
      <c r="AF190" s="1">
        <v>241</v>
      </c>
      <c r="AG190" s="1">
        <v>216</v>
      </c>
      <c r="AH190" s="1">
        <v>208</v>
      </c>
      <c r="AI190" s="4">
        <v>242</v>
      </c>
      <c r="AJ190" s="4">
        <v>353.67</v>
      </c>
      <c r="AK190" s="4">
        <v>221.67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9">
        <v>0</v>
      </c>
      <c r="AT190" s="19">
        <v>0</v>
      </c>
      <c r="AU190" s="19">
        <v>0</v>
      </c>
      <c r="AV190" s="19">
        <v>0</v>
      </c>
      <c r="AW190" s="19">
        <v>0</v>
      </c>
      <c r="AX190" s="19">
        <f t="shared" ref="AX190:BC190" si="94">AL190+AL191+AL192+AL193</f>
        <v>0</v>
      </c>
      <c r="AY190" s="19">
        <f t="shared" si="94"/>
        <v>0</v>
      </c>
      <c r="AZ190" s="19">
        <f t="shared" si="94"/>
        <v>0</v>
      </c>
      <c r="BA190" s="19">
        <f t="shared" si="94"/>
        <v>0</v>
      </c>
      <c r="BB190" s="19">
        <f t="shared" si="94"/>
        <v>0</v>
      </c>
      <c r="BC190" s="19">
        <f t="shared" si="94"/>
        <v>0</v>
      </c>
      <c r="BD190" s="1">
        <f>AX190*3</f>
        <v>0</v>
      </c>
      <c r="BE190" s="1">
        <f t="shared" ref="BE190:BI190" si="95">AY190*3</f>
        <v>0</v>
      </c>
      <c r="BF190" s="1">
        <f t="shared" si="95"/>
        <v>0</v>
      </c>
      <c r="BG190" s="1">
        <f t="shared" si="95"/>
        <v>0</v>
      </c>
      <c r="BH190" s="1">
        <f t="shared" si="95"/>
        <v>0</v>
      </c>
      <c r="BI190" s="1">
        <f t="shared" si="95"/>
        <v>0</v>
      </c>
      <c r="BJ190" s="1">
        <f>AX190+AY190+AZ190</f>
        <v>0</v>
      </c>
      <c r="BK190" s="1">
        <f>BA190+BB190+BC190</f>
        <v>0</v>
      </c>
      <c r="BL190" s="1">
        <f>BJ190*3</f>
        <v>0</v>
      </c>
      <c r="BM190" s="1">
        <f>BK190*3</f>
        <v>0</v>
      </c>
      <c r="BN190" s="1">
        <f>BL190/3</f>
        <v>0</v>
      </c>
      <c r="BO190" s="1">
        <f>BM190/3</f>
        <v>0</v>
      </c>
      <c r="BP190" s="4">
        <v>242</v>
      </c>
      <c r="BQ190" s="4">
        <v>353.66666666666669</v>
      </c>
      <c r="BR190" s="4">
        <v>221.66666666666666</v>
      </c>
      <c r="BS190" s="4">
        <v>353.67</v>
      </c>
      <c r="BT190" s="4">
        <v>221.67</v>
      </c>
      <c r="BU190" s="4">
        <v>3.83</v>
      </c>
      <c r="BV190" s="1">
        <v>4</v>
      </c>
      <c r="BW190" s="1">
        <v>4</v>
      </c>
      <c r="BX190" s="1">
        <v>4</v>
      </c>
      <c r="BY190" s="1">
        <v>4</v>
      </c>
      <c r="BZ190" s="1">
        <v>0</v>
      </c>
      <c r="CA190" s="1">
        <v>0</v>
      </c>
      <c r="CB190" s="1">
        <v>1</v>
      </c>
      <c r="CC190" s="1">
        <v>1</v>
      </c>
      <c r="CD190" s="1">
        <v>1</v>
      </c>
      <c r="CE190" s="1">
        <v>1</v>
      </c>
      <c r="CF190" s="1">
        <v>1</v>
      </c>
      <c r="CG190" s="1">
        <v>1</v>
      </c>
      <c r="CH190" s="1">
        <v>0</v>
      </c>
      <c r="CI190" s="1">
        <v>7</v>
      </c>
      <c r="CJ190" s="1">
        <v>7</v>
      </c>
      <c r="CK190" s="1">
        <v>7</v>
      </c>
      <c r="CL190" s="1">
        <v>7</v>
      </c>
      <c r="CM190" s="1">
        <v>7</v>
      </c>
      <c r="CN190" s="1">
        <v>7</v>
      </c>
      <c r="CO190" s="1">
        <v>7</v>
      </c>
      <c r="CP190" s="1">
        <v>1</v>
      </c>
      <c r="CQ190" s="1">
        <v>7</v>
      </c>
      <c r="CR190" s="1">
        <v>7</v>
      </c>
      <c r="CS190" s="1">
        <v>7</v>
      </c>
      <c r="CT190" s="1">
        <v>7</v>
      </c>
      <c r="CU190" s="1">
        <v>7</v>
      </c>
      <c r="CV190" s="1">
        <v>7</v>
      </c>
      <c r="CW190" s="1">
        <v>7</v>
      </c>
      <c r="CX190" s="1">
        <v>7</v>
      </c>
      <c r="CY190" s="1">
        <v>7</v>
      </c>
      <c r="CZ190" s="1">
        <v>7</v>
      </c>
      <c r="DA190" s="1">
        <v>7</v>
      </c>
      <c r="DB190" s="1">
        <v>7</v>
      </c>
      <c r="DC190" s="1">
        <v>6</v>
      </c>
      <c r="DD190" s="1">
        <v>7</v>
      </c>
      <c r="DE190" s="1">
        <v>7</v>
      </c>
      <c r="DF190" s="1">
        <v>6</v>
      </c>
      <c r="DG190" s="1">
        <v>2</v>
      </c>
      <c r="DH190" s="1">
        <v>6</v>
      </c>
      <c r="DI190" s="1">
        <v>6</v>
      </c>
      <c r="DJ190" s="1">
        <v>6</v>
      </c>
      <c r="DK190" s="1">
        <v>7</v>
      </c>
      <c r="DL190" s="1">
        <v>7</v>
      </c>
      <c r="DM190" s="19">
        <v>7</v>
      </c>
      <c r="DN190" s="19">
        <v>6</v>
      </c>
      <c r="DO190" s="1">
        <v>5</v>
      </c>
      <c r="DP190" s="1">
        <v>6</v>
      </c>
      <c r="DQ190" s="1">
        <v>5</v>
      </c>
      <c r="DR190" s="1">
        <v>7</v>
      </c>
      <c r="DS190" s="1">
        <v>7</v>
      </c>
      <c r="DT190" s="1">
        <v>7</v>
      </c>
      <c r="DU190" s="27">
        <v>7</v>
      </c>
      <c r="DV190" s="27">
        <v>7</v>
      </c>
      <c r="DW190" s="27">
        <v>5</v>
      </c>
      <c r="DX190" s="27">
        <v>2</v>
      </c>
      <c r="DY190" s="27">
        <v>1</v>
      </c>
      <c r="DZ190" s="27">
        <v>2</v>
      </c>
      <c r="EA190" s="27">
        <v>1</v>
      </c>
      <c r="EB190" s="27">
        <v>6</v>
      </c>
      <c r="EC190" s="27">
        <v>7</v>
      </c>
      <c r="ED190" s="27">
        <v>4</v>
      </c>
      <c r="EE190" s="27">
        <v>3</v>
      </c>
      <c r="EF190" s="27">
        <v>5</v>
      </c>
      <c r="EG190" s="27">
        <v>4</v>
      </c>
      <c r="EH190" s="27">
        <v>7</v>
      </c>
      <c r="EI190" s="27">
        <v>7</v>
      </c>
      <c r="EJ190" s="27">
        <v>7</v>
      </c>
      <c r="EK190" s="27">
        <v>7</v>
      </c>
      <c r="EL190" s="27">
        <v>7</v>
      </c>
      <c r="EM190" s="27">
        <v>1</v>
      </c>
      <c r="EN190" s="27">
        <v>1</v>
      </c>
      <c r="EO190" s="27">
        <v>7</v>
      </c>
      <c r="EP190" s="27">
        <v>7</v>
      </c>
      <c r="EQ190" s="27">
        <v>7</v>
      </c>
      <c r="ER190" s="27">
        <v>7</v>
      </c>
      <c r="ES190" s="27">
        <v>7</v>
      </c>
      <c r="ET190" s="27">
        <v>4</v>
      </c>
      <c r="EU190" s="27">
        <v>4</v>
      </c>
      <c r="EV190" s="27">
        <v>19</v>
      </c>
      <c r="EW190" s="27">
        <v>1</v>
      </c>
      <c r="EY190" s="27">
        <v>5</v>
      </c>
      <c r="FA190" s="27">
        <v>2</v>
      </c>
      <c r="FB190" s="28" t="s">
        <v>852</v>
      </c>
      <c r="FC190" s="27">
        <v>1</v>
      </c>
      <c r="FD190" s="1">
        <v>6</v>
      </c>
      <c r="FE190" s="4">
        <v>6.68</v>
      </c>
      <c r="FF190" s="4">
        <v>6.63</v>
      </c>
      <c r="FG190" s="4">
        <v>8.06</v>
      </c>
      <c r="FH190" s="4">
        <v>6.67</v>
      </c>
      <c r="FI190" s="4">
        <v>6.5</v>
      </c>
      <c r="FJ190" s="23">
        <v>6.25</v>
      </c>
      <c r="FK190" s="4">
        <v>4.58</v>
      </c>
      <c r="FL190" s="4">
        <v>7</v>
      </c>
      <c r="FM190" s="4">
        <v>5</v>
      </c>
      <c r="FN190" s="4">
        <v>5.63</v>
      </c>
      <c r="FO190" s="4">
        <v>6.58</v>
      </c>
      <c r="FP190" s="4">
        <v>6.83</v>
      </c>
      <c r="FQ190" s="4">
        <v>3.25</v>
      </c>
      <c r="FR190" s="4">
        <v>1.75</v>
      </c>
      <c r="FS190" s="4">
        <v>6</v>
      </c>
      <c r="FT190" s="4">
        <v>6.75</v>
      </c>
      <c r="FU190" s="4">
        <v>5.5</v>
      </c>
      <c r="FV190" s="4">
        <v>6</v>
      </c>
      <c r="FW190" s="4">
        <v>5</v>
      </c>
      <c r="FX190" s="4">
        <v>5.25</v>
      </c>
      <c r="FY190" s="4">
        <v>6.25</v>
      </c>
      <c r="FZ190" s="4">
        <v>5.92</v>
      </c>
      <c r="GA190" s="4">
        <v>1.38</v>
      </c>
      <c r="GB190" s="4">
        <v>7</v>
      </c>
      <c r="GC190" s="4">
        <v>6.25</v>
      </c>
      <c r="GD190" s="4">
        <v>4</v>
      </c>
      <c r="GE190" s="26"/>
      <c r="GF190" s="26"/>
      <c r="GG190" s="4"/>
      <c r="JH190" s="1"/>
      <c r="JV190" s="1"/>
      <c r="KM190" s="4"/>
      <c r="LA190" s="4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</row>
    <row r="191" spans="1:376" x14ac:dyDescent="0.35">
      <c r="A191" s="14">
        <v>43488</v>
      </c>
      <c r="B191" s="16" t="s">
        <v>136</v>
      </c>
      <c r="C191" s="17" t="s">
        <v>352</v>
      </c>
      <c r="D191" s="1">
        <v>190</v>
      </c>
      <c r="E191" s="1">
        <v>5</v>
      </c>
      <c r="F191" s="1">
        <v>5</v>
      </c>
      <c r="H191" s="1">
        <v>48</v>
      </c>
      <c r="I191" s="1">
        <v>2</v>
      </c>
      <c r="K191" s="18">
        <v>1</v>
      </c>
      <c r="L191" s="18">
        <v>0</v>
      </c>
      <c r="M191" s="18">
        <v>1</v>
      </c>
      <c r="N191" s="18">
        <v>1</v>
      </c>
      <c r="O191" s="18">
        <v>0</v>
      </c>
      <c r="P191" s="4">
        <v>0.6</v>
      </c>
      <c r="Q191" s="3">
        <v>94</v>
      </c>
      <c r="R191" s="1">
        <v>81</v>
      </c>
      <c r="S191" s="1">
        <v>63</v>
      </c>
      <c r="T191" s="1">
        <v>107</v>
      </c>
      <c r="U191" s="1">
        <v>95</v>
      </c>
      <c r="V191" s="1">
        <v>79</v>
      </c>
      <c r="W191" s="1">
        <v>83</v>
      </c>
      <c r="X191" s="1">
        <v>78</v>
      </c>
      <c r="Y191" s="1">
        <v>69</v>
      </c>
      <c r="AI191" s="4"/>
      <c r="AJ191" s="4"/>
      <c r="AK191" s="4"/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9">
        <v>0</v>
      </c>
      <c r="AT191" s="19">
        <v>0</v>
      </c>
      <c r="AU191" s="19">
        <v>0</v>
      </c>
      <c r="AV191" s="19">
        <v>0</v>
      </c>
      <c r="AW191" s="19">
        <v>0</v>
      </c>
      <c r="AX191" s="19"/>
      <c r="AY191"/>
      <c r="AZ191"/>
      <c r="BA191"/>
      <c r="BB191"/>
      <c r="BC191"/>
      <c r="BP191" s="4"/>
      <c r="BQ191" s="4"/>
      <c r="BR191" s="4"/>
      <c r="BS191" s="4"/>
      <c r="BT191" s="4"/>
      <c r="BU191" s="4"/>
      <c r="CI191" s="1">
        <v>7</v>
      </c>
      <c r="CJ191" s="1">
        <v>7</v>
      </c>
      <c r="CK191" s="1">
        <v>7</v>
      </c>
      <c r="CL191" s="1">
        <v>7</v>
      </c>
      <c r="CM191" s="1">
        <v>7</v>
      </c>
      <c r="CN191" s="1">
        <v>7</v>
      </c>
      <c r="CO191" s="1">
        <v>4</v>
      </c>
      <c r="CP191" s="1">
        <v>4</v>
      </c>
      <c r="CQ191" s="1">
        <v>6</v>
      </c>
      <c r="CR191" s="1">
        <v>6</v>
      </c>
      <c r="CS191" s="1">
        <v>6</v>
      </c>
      <c r="CT191" s="1">
        <v>4</v>
      </c>
      <c r="CU191" s="1">
        <v>6</v>
      </c>
      <c r="CV191" s="1">
        <v>6</v>
      </c>
      <c r="CW191" s="1">
        <v>6</v>
      </c>
      <c r="CX191" s="1">
        <v>6</v>
      </c>
      <c r="CY191" s="1">
        <v>6</v>
      </c>
      <c r="CZ191" s="1">
        <v>6</v>
      </c>
      <c r="DA191" s="1">
        <v>6</v>
      </c>
      <c r="DB191" s="1">
        <v>6</v>
      </c>
      <c r="DC191" s="1">
        <v>5</v>
      </c>
      <c r="DD191" s="1">
        <v>7</v>
      </c>
      <c r="DE191" s="1">
        <v>5</v>
      </c>
      <c r="DF191" s="1">
        <v>7</v>
      </c>
      <c r="DG191" s="1">
        <v>1</v>
      </c>
      <c r="DH191" s="1">
        <v>4</v>
      </c>
      <c r="DI191" s="1">
        <v>4</v>
      </c>
      <c r="DJ191" s="1">
        <v>7</v>
      </c>
      <c r="DK191" s="1">
        <v>7</v>
      </c>
      <c r="DL191" s="1">
        <v>7</v>
      </c>
      <c r="DM191" s="19">
        <v>7</v>
      </c>
      <c r="DN191" s="19">
        <v>7</v>
      </c>
      <c r="DO191" s="1">
        <v>7</v>
      </c>
      <c r="DP191" s="1">
        <v>7</v>
      </c>
      <c r="DQ191" s="1">
        <v>7</v>
      </c>
      <c r="DR191" s="1">
        <v>4</v>
      </c>
      <c r="DS191" s="1">
        <v>7</v>
      </c>
      <c r="DT191" s="1">
        <v>7</v>
      </c>
      <c r="DU191" s="27">
        <v>7</v>
      </c>
      <c r="DV191" s="27">
        <v>7</v>
      </c>
      <c r="DW191" s="27">
        <v>7</v>
      </c>
      <c r="DX191" s="27">
        <v>4</v>
      </c>
      <c r="DY191" s="27">
        <v>4</v>
      </c>
      <c r="DZ191" s="27">
        <v>1</v>
      </c>
      <c r="EA191" s="27">
        <v>1</v>
      </c>
      <c r="EB191" s="27">
        <v>7</v>
      </c>
      <c r="EC191" s="27">
        <v>7</v>
      </c>
      <c r="ED191" s="27">
        <v>7</v>
      </c>
      <c r="EE191" s="27">
        <v>7</v>
      </c>
      <c r="EF191" s="27">
        <v>4</v>
      </c>
      <c r="EG191" s="27">
        <v>4</v>
      </c>
      <c r="EH191" s="27">
        <v>4</v>
      </c>
      <c r="EI191" s="27">
        <v>4</v>
      </c>
      <c r="EJ191" s="27">
        <v>1</v>
      </c>
      <c r="EK191" s="27">
        <v>4</v>
      </c>
      <c r="EL191" s="27">
        <v>4</v>
      </c>
      <c r="EM191" s="27">
        <v>4</v>
      </c>
      <c r="EN191" s="27">
        <v>1</v>
      </c>
      <c r="EO191" s="27">
        <v>7</v>
      </c>
      <c r="EP191" s="27">
        <v>7</v>
      </c>
      <c r="EQ191" s="27">
        <v>7</v>
      </c>
      <c r="ER191" s="27">
        <v>4</v>
      </c>
      <c r="ES191" s="27">
        <v>4</v>
      </c>
      <c r="ET191" s="27">
        <v>4</v>
      </c>
      <c r="EU191" s="27">
        <v>4</v>
      </c>
      <c r="EV191" s="27">
        <v>18</v>
      </c>
      <c r="EW191" s="27">
        <v>2</v>
      </c>
      <c r="EY191" s="27">
        <v>1</v>
      </c>
      <c r="FA191" s="27">
        <v>1</v>
      </c>
      <c r="FB191" s="28" t="s">
        <v>854</v>
      </c>
      <c r="FC191" s="27">
        <v>0</v>
      </c>
      <c r="FD191" s="1">
        <v>1</v>
      </c>
      <c r="FE191" s="4"/>
      <c r="FF191" s="4"/>
      <c r="FG191" s="4"/>
      <c r="FH191" s="4"/>
      <c r="FI191" s="4"/>
      <c r="FJ191" s="23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26"/>
      <c r="GF191" s="26"/>
      <c r="GG191" s="4"/>
      <c r="JH191" s="1"/>
      <c r="JV191" s="1"/>
      <c r="KM191" s="4"/>
      <c r="LA191" s="4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</row>
    <row r="192" spans="1:376" x14ac:dyDescent="0.35">
      <c r="A192" s="14">
        <v>43488</v>
      </c>
      <c r="B192" s="16" t="s">
        <v>136</v>
      </c>
      <c r="C192" s="16" t="s">
        <v>353</v>
      </c>
      <c r="D192" s="1">
        <v>191</v>
      </c>
      <c r="E192" s="1">
        <v>5</v>
      </c>
      <c r="F192" s="1">
        <v>5</v>
      </c>
      <c r="H192" s="1">
        <v>48</v>
      </c>
      <c r="I192" s="1">
        <v>3</v>
      </c>
      <c r="K192" s="18">
        <v>0</v>
      </c>
      <c r="L192" s="18">
        <v>0</v>
      </c>
      <c r="M192" s="18">
        <v>1</v>
      </c>
      <c r="N192" s="18">
        <v>1</v>
      </c>
      <c r="O192" s="18">
        <v>0</v>
      </c>
      <c r="P192" s="4">
        <v>0.4</v>
      </c>
      <c r="Q192" s="3">
        <v>40</v>
      </c>
      <c r="R192" s="1">
        <v>55</v>
      </c>
      <c r="S192" s="1">
        <v>48</v>
      </c>
      <c r="T192" s="1">
        <v>98</v>
      </c>
      <c r="U192" s="1">
        <v>113</v>
      </c>
      <c r="V192" s="1">
        <v>68</v>
      </c>
      <c r="W192" s="1">
        <v>47</v>
      </c>
      <c r="X192" s="1">
        <v>46</v>
      </c>
      <c r="Y192" s="1">
        <v>38</v>
      </c>
      <c r="AI192" s="4"/>
      <c r="AJ192" s="4"/>
      <c r="AK192" s="4"/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9">
        <v>0</v>
      </c>
      <c r="AT192" s="19">
        <v>0</v>
      </c>
      <c r="AU192" s="19">
        <v>0</v>
      </c>
      <c r="AV192" s="19">
        <v>0</v>
      </c>
      <c r="AW192" s="19">
        <v>0</v>
      </c>
      <c r="AX192" s="19"/>
      <c r="AY192"/>
      <c r="AZ192"/>
      <c r="BA192"/>
      <c r="BB192"/>
      <c r="BC192"/>
      <c r="BP192" s="4"/>
      <c r="BQ192" s="4"/>
      <c r="BR192" s="4"/>
      <c r="BS192" s="4"/>
      <c r="BT192" s="4"/>
      <c r="BU192" s="4"/>
      <c r="CI192" s="1">
        <v>7</v>
      </c>
      <c r="CJ192" s="1">
        <v>7</v>
      </c>
      <c r="CK192" s="1">
        <v>7</v>
      </c>
      <c r="CL192" s="1">
        <v>7</v>
      </c>
      <c r="CM192" s="1">
        <v>6</v>
      </c>
      <c r="CN192" s="1">
        <v>7</v>
      </c>
      <c r="CO192" s="1">
        <v>7</v>
      </c>
      <c r="CP192" s="1">
        <v>1</v>
      </c>
      <c r="CQ192" s="1">
        <v>7</v>
      </c>
      <c r="CR192" s="1">
        <v>7</v>
      </c>
      <c r="CS192" s="1">
        <v>7</v>
      </c>
      <c r="CT192" s="1">
        <v>7</v>
      </c>
      <c r="CU192" s="1">
        <v>7</v>
      </c>
      <c r="CV192" s="1">
        <v>7</v>
      </c>
      <c r="CW192" s="1">
        <v>4</v>
      </c>
      <c r="CX192" s="1">
        <v>4</v>
      </c>
      <c r="CY192" s="1">
        <v>7</v>
      </c>
      <c r="CZ192" s="1">
        <v>7</v>
      </c>
      <c r="DA192" s="1">
        <v>7</v>
      </c>
      <c r="DB192" s="1">
        <v>7</v>
      </c>
      <c r="DC192" s="1">
        <v>7</v>
      </c>
      <c r="DD192" s="1">
        <v>7</v>
      </c>
      <c r="DE192" s="1">
        <v>7</v>
      </c>
      <c r="DF192" s="1">
        <v>1</v>
      </c>
      <c r="DG192" s="1">
        <v>1</v>
      </c>
      <c r="DH192" s="1">
        <v>1</v>
      </c>
      <c r="DI192" s="1">
        <v>2</v>
      </c>
      <c r="DJ192" s="1">
        <v>2</v>
      </c>
      <c r="DK192" s="1">
        <v>1</v>
      </c>
      <c r="DL192" s="1">
        <v>7</v>
      </c>
      <c r="DM192" s="19">
        <v>7</v>
      </c>
      <c r="DN192" s="19">
        <v>2</v>
      </c>
      <c r="DO192" s="1">
        <v>2</v>
      </c>
      <c r="DP192" s="1">
        <v>2</v>
      </c>
      <c r="DQ192" s="1">
        <v>4</v>
      </c>
      <c r="DR192" s="1">
        <v>7</v>
      </c>
      <c r="DS192" s="1">
        <v>7</v>
      </c>
      <c r="DT192" s="1">
        <v>7</v>
      </c>
      <c r="DU192" s="27">
        <v>7</v>
      </c>
      <c r="DV192" s="27">
        <v>7</v>
      </c>
      <c r="DW192" s="27">
        <v>7</v>
      </c>
      <c r="DX192" s="27">
        <v>4</v>
      </c>
      <c r="DY192" s="27">
        <v>1</v>
      </c>
      <c r="DZ192" s="27">
        <v>1</v>
      </c>
      <c r="EA192" s="27">
        <v>1</v>
      </c>
      <c r="EB192" s="27">
        <v>4</v>
      </c>
      <c r="EC192" s="27">
        <v>7</v>
      </c>
      <c r="ED192" s="27">
        <v>7</v>
      </c>
      <c r="EE192" s="27">
        <v>7</v>
      </c>
      <c r="EF192" s="27">
        <v>4</v>
      </c>
      <c r="EG192" s="27">
        <v>7</v>
      </c>
      <c r="EH192" s="27">
        <v>7</v>
      </c>
      <c r="EI192" s="27">
        <v>7</v>
      </c>
      <c r="EJ192" s="27">
        <v>7</v>
      </c>
      <c r="EK192" s="27">
        <v>7</v>
      </c>
      <c r="EL192" s="27">
        <v>7</v>
      </c>
      <c r="EM192" s="27">
        <v>1</v>
      </c>
      <c r="EN192" s="27">
        <v>1</v>
      </c>
      <c r="EO192" s="27">
        <v>7</v>
      </c>
      <c r="EP192" s="27">
        <v>7</v>
      </c>
      <c r="EQ192" s="27">
        <v>7</v>
      </c>
      <c r="ER192" s="27">
        <v>7</v>
      </c>
      <c r="ES192" s="27">
        <v>7</v>
      </c>
      <c r="ET192" s="27">
        <v>4</v>
      </c>
      <c r="EU192" s="27">
        <v>4</v>
      </c>
      <c r="EV192" s="27">
        <v>18</v>
      </c>
      <c r="EW192" s="27">
        <v>2</v>
      </c>
      <c r="EY192" s="27">
        <v>2</v>
      </c>
      <c r="FA192" s="27">
        <v>1</v>
      </c>
      <c r="FB192" s="28" t="s">
        <v>890</v>
      </c>
      <c r="FC192" s="27">
        <v>1</v>
      </c>
      <c r="FD192" s="1">
        <v>3</v>
      </c>
      <c r="FE192" s="4"/>
      <c r="FF192" s="4"/>
      <c r="FG192" s="4"/>
      <c r="FH192" s="4"/>
      <c r="FI192" s="4"/>
      <c r="FJ192" s="23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26"/>
      <c r="GF192" s="26"/>
      <c r="GG192" s="4"/>
      <c r="JH192" s="1"/>
      <c r="JV192" s="1"/>
      <c r="KM192" s="4"/>
      <c r="LA192" s="4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</row>
    <row r="193" spans="1:376" x14ac:dyDescent="0.35">
      <c r="A193" s="14">
        <v>43488</v>
      </c>
      <c r="B193" s="16" t="s">
        <v>136</v>
      </c>
      <c r="C193" s="16" t="s">
        <v>354</v>
      </c>
      <c r="D193" s="1">
        <v>192</v>
      </c>
      <c r="E193" s="1">
        <v>5</v>
      </c>
      <c r="F193" s="1">
        <v>5</v>
      </c>
      <c r="H193" s="1">
        <v>48</v>
      </c>
      <c r="I193" s="1">
        <v>4</v>
      </c>
      <c r="K193" s="18">
        <v>1</v>
      </c>
      <c r="L193" s="18">
        <v>1</v>
      </c>
      <c r="M193" s="18">
        <v>1</v>
      </c>
      <c r="N193" s="18">
        <v>1</v>
      </c>
      <c r="O193" s="18">
        <v>1</v>
      </c>
      <c r="P193" s="4">
        <v>1</v>
      </c>
      <c r="Q193" s="3">
        <v>63</v>
      </c>
      <c r="R193" s="1">
        <v>50</v>
      </c>
      <c r="S193" s="1">
        <v>44</v>
      </c>
      <c r="T193" s="1">
        <v>103</v>
      </c>
      <c r="U193" s="1">
        <v>98</v>
      </c>
      <c r="V193" s="1">
        <v>68</v>
      </c>
      <c r="W193" s="1">
        <v>53</v>
      </c>
      <c r="X193" s="1">
        <v>51</v>
      </c>
      <c r="Y193" s="1">
        <v>52</v>
      </c>
      <c r="AI193" s="4"/>
      <c r="AJ193" s="4"/>
      <c r="AK193" s="4"/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9">
        <v>0</v>
      </c>
      <c r="AT193" s="19">
        <v>0</v>
      </c>
      <c r="AU193" s="19">
        <v>0</v>
      </c>
      <c r="AV193" s="19">
        <v>0</v>
      </c>
      <c r="AW193" s="19">
        <v>0</v>
      </c>
      <c r="AX193" s="19"/>
      <c r="AY193"/>
      <c r="AZ193"/>
      <c r="BA193"/>
      <c r="BB193"/>
      <c r="BC193"/>
      <c r="BP193" s="4"/>
      <c r="BQ193" s="4"/>
      <c r="BR193" s="4"/>
      <c r="BS193" s="4"/>
      <c r="BT193" s="4"/>
      <c r="BU193" s="4"/>
      <c r="CI193" s="1">
        <v>7</v>
      </c>
      <c r="CJ193" s="1">
        <v>7</v>
      </c>
      <c r="CK193" s="1">
        <v>7</v>
      </c>
      <c r="CL193" s="1">
        <v>7</v>
      </c>
      <c r="CM193" s="1">
        <v>6</v>
      </c>
      <c r="CN193" s="1">
        <v>6</v>
      </c>
      <c r="CO193" s="1">
        <v>4</v>
      </c>
      <c r="CP193" s="1">
        <v>1</v>
      </c>
      <c r="CQ193" s="1">
        <v>7</v>
      </c>
      <c r="CR193" s="1">
        <v>7</v>
      </c>
      <c r="CS193" s="1">
        <v>7</v>
      </c>
      <c r="CT193" s="1">
        <v>7</v>
      </c>
      <c r="CU193" s="1">
        <v>7</v>
      </c>
      <c r="CV193" s="1">
        <v>7</v>
      </c>
      <c r="CW193" s="1">
        <v>7</v>
      </c>
      <c r="CX193" s="1">
        <v>7</v>
      </c>
      <c r="CY193" s="1">
        <v>7</v>
      </c>
      <c r="CZ193" s="1">
        <v>7</v>
      </c>
      <c r="DA193" s="1">
        <v>6</v>
      </c>
      <c r="DB193" s="1">
        <v>7</v>
      </c>
      <c r="DC193" s="1">
        <v>7</v>
      </c>
      <c r="DD193" s="1">
        <v>6</v>
      </c>
      <c r="DE193" s="1">
        <v>6</v>
      </c>
      <c r="DF193" s="1">
        <v>7</v>
      </c>
      <c r="DG193" s="1">
        <v>6</v>
      </c>
      <c r="DH193" s="1">
        <v>6</v>
      </c>
      <c r="DI193" s="1">
        <v>7</v>
      </c>
      <c r="DJ193" s="1">
        <v>7</v>
      </c>
      <c r="DK193" s="1">
        <v>6</v>
      </c>
      <c r="DL193" s="1">
        <v>7</v>
      </c>
      <c r="DM193" s="19">
        <v>7</v>
      </c>
      <c r="DN193" s="19">
        <v>7</v>
      </c>
      <c r="DO193" s="1">
        <v>4</v>
      </c>
      <c r="DP193" s="1">
        <v>7</v>
      </c>
      <c r="DQ193" s="1">
        <v>7</v>
      </c>
      <c r="DR193" s="1">
        <v>5</v>
      </c>
      <c r="DS193" s="1">
        <v>7</v>
      </c>
      <c r="DT193" s="1">
        <v>7</v>
      </c>
      <c r="DU193" s="27">
        <v>7</v>
      </c>
      <c r="DV193" s="27">
        <v>7</v>
      </c>
      <c r="DW193" s="27">
        <v>7</v>
      </c>
      <c r="DX193" s="27">
        <v>6</v>
      </c>
      <c r="DY193" s="27">
        <v>4</v>
      </c>
      <c r="DZ193" s="27">
        <v>4</v>
      </c>
      <c r="EA193" s="27">
        <v>4</v>
      </c>
      <c r="EB193" s="27">
        <v>7</v>
      </c>
      <c r="EC193" s="27">
        <v>6</v>
      </c>
      <c r="ED193" s="27">
        <v>4</v>
      </c>
      <c r="EE193" s="27">
        <v>7</v>
      </c>
      <c r="EF193" s="27">
        <v>7</v>
      </c>
      <c r="EG193" s="27">
        <v>6</v>
      </c>
      <c r="EH193" s="27">
        <v>7</v>
      </c>
      <c r="EI193" s="27">
        <v>7</v>
      </c>
      <c r="EJ193" s="27">
        <v>7</v>
      </c>
      <c r="EK193" s="27">
        <v>6</v>
      </c>
      <c r="EL193" s="27">
        <v>7</v>
      </c>
      <c r="EM193" s="27">
        <v>1</v>
      </c>
      <c r="EN193" s="27">
        <v>1</v>
      </c>
      <c r="EO193" s="27">
        <v>7</v>
      </c>
      <c r="EP193" s="27">
        <v>7</v>
      </c>
      <c r="EQ193" s="27">
        <v>7</v>
      </c>
      <c r="ER193" s="27">
        <v>7</v>
      </c>
      <c r="ES193" s="27">
        <v>7</v>
      </c>
      <c r="ET193" s="27">
        <v>4</v>
      </c>
      <c r="EU193" s="27">
        <v>4</v>
      </c>
      <c r="EV193" s="27">
        <v>18</v>
      </c>
      <c r="EW193" s="27">
        <v>2</v>
      </c>
      <c r="EY193" s="27">
        <v>1</v>
      </c>
      <c r="FA193" s="27">
        <v>2</v>
      </c>
      <c r="FB193" s="28" t="s">
        <v>891</v>
      </c>
      <c r="FC193" s="27">
        <v>0</v>
      </c>
      <c r="FD193" s="1">
        <v>4</v>
      </c>
      <c r="FE193" s="4"/>
      <c r="FF193" s="4"/>
      <c r="FG193" s="4"/>
      <c r="FH193" s="4"/>
      <c r="FI193" s="4"/>
      <c r="FJ193" s="23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26"/>
      <c r="GF193" s="26"/>
      <c r="GG193" s="4"/>
      <c r="JH193" s="1"/>
      <c r="JV193" s="1"/>
      <c r="KM193" s="4"/>
      <c r="LA193" s="4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</row>
    <row r="194" spans="1:376" x14ac:dyDescent="0.35">
      <c r="A194" s="14">
        <v>43488</v>
      </c>
      <c r="B194" s="16" t="s">
        <v>137</v>
      </c>
      <c r="C194" s="16" t="s">
        <v>355</v>
      </c>
      <c r="D194" s="1">
        <v>193</v>
      </c>
      <c r="E194" s="1">
        <v>5</v>
      </c>
      <c r="F194" s="1">
        <v>5</v>
      </c>
      <c r="G194" s="1">
        <v>0</v>
      </c>
      <c r="H194" s="1">
        <v>49</v>
      </c>
      <c r="I194" s="1">
        <v>1</v>
      </c>
      <c r="J194" s="1">
        <v>1</v>
      </c>
      <c r="K194" s="18">
        <v>0</v>
      </c>
      <c r="L194" s="18">
        <v>1</v>
      </c>
      <c r="M194" s="18">
        <v>1</v>
      </c>
      <c r="N194" s="18">
        <v>1</v>
      </c>
      <c r="O194" s="18">
        <v>0</v>
      </c>
      <c r="P194" s="4">
        <v>0.6</v>
      </c>
      <c r="Q194" s="3">
        <v>69</v>
      </c>
      <c r="R194" s="1">
        <v>63</v>
      </c>
      <c r="S194" s="1">
        <v>60</v>
      </c>
      <c r="T194" s="1">
        <v>69</v>
      </c>
      <c r="U194" s="1">
        <v>85</v>
      </c>
      <c r="V194" s="1">
        <v>106</v>
      </c>
      <c r="W194" s="1">
        <v>97</v>
      </c>
      <c r="X194" s="1">
        <v>64</v>
      </c>
      <c r="Y194" s="1">
        <v>112</v>
      </c>
      <c r="Z194" s="1">
        <v>228</v>
      </c>
      <c r="AA194" s="1">
        <v>205</v>
      </c>
      <c r="AB194" s="1">
        <v>211</v>
      </c>
      <c r="AC194" s="1">
        <v>323</v>
      </c>
      <c r="AD194" s="1">
        <v>377</v>
      </c>
      <c r="AE194" s="1">
        <v>395</v>
      </c>
      <c r="AF194" s="1">
        <v>437</v>
      </c>
      <c r="AG194" s="1">
        <v>356</v>
      </c>
      <c r="AH194" s="1">
        <v>399</v>
      </c>
      <c r="AI194" s="4">
        <v>214.67</v>
      </c>
      <c r="AJ194" s="4">
        <v>365</v>
      </c>
      <c r="AK194" s="4">
        <v>397.33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9">
        <v>0</v>
      </c>
      <c r="AT194" s="19">
        <v>0</v>
      </c>
      <c r="AU194" s="19">
        <v>0</v>
      </c>
      <c r="AV194" s="19">
        <v>0</v>
      </c>
      <c r="AW194" s="19">
        <v>0</v>
      </c>
      <c r="AX194" s="19">
        <f t="shared" ref="AX194:BC194" si="96">AL194+AL195+AL196+AL197</f>
        <v>2</v>
      </c>
      <c r="AY194" s="19">
        <f t="shared" si="96"/>
        <v>1</v>
      </c>
      <c r="AZ194" s="19">
        <f t="shared" si="96"/>
        <v>0</v>
      </c>
      <c r="BA194" s="19">
        <f t="shared" si="96"/>
        <v>0</v>
      </c>
      <c r="BB194" s="19">
        <f t="shared" si="96"/>
        <v>0</v>
      </c>
      <c r="BC194" s="19">
        <f t="shared" si="96"/>
        <v>0</v>
      </c>
      <c r="BD194" s="1">
        <f>AX194*3</f>
        <v>6</v>
      </c>
      <c r="BE194" s="1">
        <f t="shared" ref="BE194:BI194" si="97">AY194*3</f>
        <v>3</v>
      </c>
      <c r="BF194" s="1">
        <f t="shared" si="97"/>
        <v>0</v>
      </c>
      <c r="BG194" s="1">
        <f t="shared" si="97"/>
        <v>0</v>
      </c>
      <c r="BH194" s="1">
        <f t="shared" si="97"/>
        <v>0</v>
      </c>
      <c r="BI194" s="1">
        <f t="shared" si="97"/>
        <v>0</v>
      </c>
      <c r="BJ194" s="1">
        <f>AX194+AY194+AZ194</f>
        <v>3</v>
      </c>
      <c r="BK194" s="1">
        <f>BA194+BB194+BC194</f>
        <v>0</v>
      </c>
      <c r="BL194" s="1">
        <f>BJ194*3</f>
        <v>9</v>
      </c>
      <c r="BM194" s="1">
        <f>BK194*3</f>
        <v>0</v>
      </c>
      <c r="BN194" s="1">
        <f>BL194/3</f>
        <v>3</v>
      </c>
      <c r="BO194" s="1">
        <f>BM194/3</f>
        <v>0</v>
      </c>
      <c r="BP194" s="4">
        <v>211.66666666666666</v>
      </c>
      <c r="BQ194" s="4">
        <v>365</v>
      </c>
      <c r="BR194" s="4">
        <v>397.33333333333331</v>
      </c>
      <c r="BS194" s="4">
        <v>365</v>
      </c>
      <c r="BT194" s="4">
        <v>397.33</v>
      </c>
      <c r="BU194" s="4">
        <v>3.75</v>
      </c>
      <c r="BV194" s="1">
        <v>3</v>
      </c>
      <c r="BW194" s="1">
        <v>4</v>
      </c>
      <c r="BX194" s="1">
        <v>4</v>
      </c>
      <c r="BY194" s="1">
        <v>4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7</v>
      </c>
      <c r="CJ194" s="1">
        <v>7</v>
      </c>
      <c r="CK194" s="1">
        <v>7</v>
      </c>
      <c r="CL194" s="1">
        <v>7</v>
      </c>
      <c r="CM194" s="1">
        <v>7</v>
      </c>
      <c r="CN194" s="1">
        <v>7</v>
      </c>
      <c r="CO194" s="1">
        <v>7</v>
      </c>
      <c r="CP194" s="1">
        <v>4</v>
      </c>
      <c r="CQ194" s="1">
        <v>7</v>
      </c>
      <c r="CR194" s="1">
        <v>7</v>
      </c>
      <c r="CS194" s="1">
        <v>7</v>
      </c>
      <c r="CT194" s="1">
        <v>4</v>
      </c>
      <c r="CU194" s="1">
        <v>6</v>
      </c>
      <c r="CV194" s="1">
        <v>7</v>
      </c>
      <c r="CW194" s="1">
        <v>4</v>
      </c>
      <c r="CX194" s="1">
        <v>7</v>
      </c>
      <c r="CY194" s="1">
        <v>7</v>
      </c>
      <c r="CZ194" s="1">
        <v>7</v>
      </c>
      <c r="DA194" s="1">
        <v>7</v>
      </c>
      <c r="DB194" s="1">
        <v>7</v>
      </c>
      <c r="DC194" s="1">
        <v>7</v>
      </c>
      <c r="DD194" s="1">
        <v>6</v>
      </c>
      <c r="DE194" s="1">
        <v>6</v>
      </c>
      <c r="DF194" s="1">
        <v>5</v>
      </c>
      <c r="DG194" s="1">
        <v>2</v>
      </c>
      <c r="DH194" s="1">
        <v>5</v>
      </c>
      <c r="DI194" s="1">
        <v>5</v>
      </c>
      <c r="DJ194" s="1">
        <v>5</v>
      </c>
      <c r="DK194" s="1">
        <v>5</v>
      </c>
      <c r="DL194" s="1">
        <v>7</v>
      </c>
      <c r="DM194" s="19">
        <v>7</v>
      </c>
      <c r="DN194" s="19">
        <v>2</v>
      </c>
      <c r="DO194" s="1">
        <v>2</v>
      </c>
      <c r="DP194" s="1">
        <v>7</v>
      </c>
      <c r="DQ194" s="1">
        <v>7</v>
      </c>
      <c r="DR194" s="1">
        <v>6</v>
      </c>
      <c r="DS194" s="1">
        <v>7</v>
      </c>
      <c r="DT194" s="1">
        <v>7</v>
      </c>
      <c r="DU194" s="27">
        <v>7</v>
      </c>
      <c r="DV194" s="27">
        <v>7</v>
      </c>
      <c r="DW194" s="27">
        <v>6</v>
      </c>
      <c r="DX194" s="27">
        <v>1</v>
      </c>
      <c r="DY194" s="27">
        <v>1</v>
      </c>
      <c r="DZ194" s="27">
        <v>4</v>
      </c>
      <c r="EA194" s="27">
        <v>1</v>
      </c>
      <c r="EB194" s="27">
        <v>5</v>
      </c>
      <c r="EC194" s="27">
        <v>7</v>
      </c>
      <c r="ED194" s="27">
        <v>5</v>
      </c>
      <c r="EE194" s="27">
        <v>5</v>
      </c>
      <c r="EF194" s="27">
        <v>5</v>
      </c>
      <c r="EG194" s="27">
        <v>7</v>
      </c>
      <c r="EH194" s="27">
        <v>7</v>
      </c>
      <c r="EI194" s="27">
        <v>7</v>
      </c>
      <c r="EJ194" s="27">
        <v>7</v>
      </c>
      <c r="EK194" s="27">
        <v>7</v>
      </c>
      <c r="EL194" s="27">
        <v>7</v>
      </c>
      <c r="EM194" s="27">
        <v>1</v>
      </c>
      <c r="EN194" s="27">
        <v>1</v>
      </c>
      <c r="EO194" s="27">
        <v>4</v>
      </c>
      <c r="EP194" s="27">
        <v>4</v>
      </c>
      <c r="EQ194" s="27">
        <v>4</v>
      </c>
      <c r="ER194" s="27">
        <v>7</v>
      </c>
      <c r="ES194" s="27">
        <v>7</v>
      </c>
      <c r="ET194" s="27">
        <v>4</v>
      </c>
      <c r="EU194" s="27">
        <v>4</v>
      </c>
      <c r="EV194" s="27">
        <v>18</v>
      </c>
      <c r="EW194" s="27">
        <v>2</v>
      </c>
      <c r="EY194" s="27">
        <v>1</v>
      </c>
      <c r="FA194" s="27">
        <v>1</v>
      </c>
      <c r="FB194" s="28" t="s">
        <v>784</v>
      </c>
      <c r="FC194" s="27">
        <v>1</v>
      </c>
      <c r="FD194" s="1">
        <v>9</v>
      </c>
      <c r="FE194" s="4">
        <v>6.68</v>
      </c>
      <c r="FF194" s="4">
        <v>6.38</v>
      </c>
      <c r="FG194" s="4">
        <v>7.81</v>
      </c>
      <c r="FH194" s="4">
        <v>6.92</v>
      </c>
      <c r="FI194" s="4">
        <v>6.63</v>
      </c>
      <c r="FJ194" s="23">
        <v>6.5</v>
      </c>
      <c r="FK194" s="4">
        <v>5.38</v>
      </c>
      <c r="FL194" s="4">
        <v>7</v>
      </c>
      <c r="FM194" s="4">
        <v>3.5</v>
      </c>
      <c r="FN194" s="4">
        <v>6.5</v>
      </c>
      <c r="FO194" s="4">
        <v>6.42</v>
      </c>
      <c r="FP194" s="4">
        <v>6.08</v>
      </c>
      <c r="FQ194" s="4">
        <v>2.13</v>
      </c>
      <c r="FR194" s="4">
        <v>2.25</v>
      </c>
      <c r="FS194" s="4">
        <v>4</v>
      </c>
      <c r="FT194" s="4">
        <v>6.75</v>
      </c>
      <c r="FU194" s="4">
        <v>5.25</v>
      </c>
      <c r="FV194" s="4">
        <v>4.75</v>
      </c>
      <c r="FW194" s="4">
        <v>3.75</v>
      </c>
      <c r="FX194" s="4">
        <v>4.75</v>
      </c>
      <c r="FY194" s="4">
        <v>7</v>
      </c>
      <c r="FZ194" s="4">
        <v>5.75</v>
      </c>
      <c r="GA194" s="4">
        <v>2.13</v>
      </c>
      <c r="GB194" s="4">
        <v>2.83</v>
      </c>
      <c r="GC194" s="4">
        <v>5.5</v>
      </c>
      <c r="GD194" s="4">
        <v>3.5</v>
      </c>
      <c r="GE194" s="26"/>
      <c r="GF194" s="26"/>
      <c r="GG194" s="4"/>
      <c r="JH194" s="1"/>
      <c r="JV194" s="1"/>
      <c r="KM194" s="4"/>
      <c r="LA194" s="4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</row>
    <row r="195" spans="1:376" x14ac:dyDescent="0.35">
      <c r="A195" s="14">
        <v>43488</v>
      </c>
      <c r="B195" s="16" t="s">
        <v>137</v>
      </c>
      <c r="C195" s="16" t="s">
        <v>356</v>
      </c>
      <c r="D195" s="1">
        <v>194</v>
      </c>
      <c r="E195" s="1">
        <v>5</v>
      </c>
      <c r="F195" s="1">
        <v>5</v>
      </c>
      <c r="H195" s="1">
        <v>49</v>
      </c>
      <c r="I195" s="1">
        <v>2</v>
      </c>
      <c r="K195" s="18">
        <v>1</v>
      </c>
      <c r="L195" s="18">
        <v>1</v>
      </c>
      <c r="M195" s="18">
        <v>1</v>
      </c>
      <c r="N195" s="18">
        <v>1</v>
      </c>
      <c r="O195" s="18">
        <v>0</v>
      </c>
      <c r="P195" s="4">
        <v>0.8</v>
      </c>
      <c r="Q195" s="3">
        <v>38</v>
      </c>
      <c r="R195" s="1">
        <v>25</v>
      </c>
      <c r="S195" s="1">
        <v>42</v>
      </c>
      <c r="T195" s="1">
        <v>105</v>
      </c>
      <c r="U195" s="1">
        <v>124</v>
      </c>
      <c r="V195" s="1">
        <v>116</v>
      </c>
      <c r="W195" s="1">
        <v>108</v>
      </c>
      <c r="X195" s="1">
        <v>115</v>
      </c>
      <c r="Y195" s="1">
        <v>127</v>
      </c>
      <c r="AI195" s="4"/>
      <c r="AJ195" s="4"/>
      <c r="AK195" s="4"/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4</v>
      </c>
      <c r="AS195" s="19">
        <v>2</v>
      </c>
      <c r="AT195" s="19">
        <v>0</v>
      </c>
      <c r="AU195" s="19">
        <v>0</v>
      </c>
      <c r="AV195" s="19">
        <v>0</v>
      </c>
      <c r="AW195" s="19">
        <v>0</v>
      </c>
      <c r="AX195" s="19"/>
      <c r="AY195"/>
      <c r="AZ195"/>
      <c r="BA195"/>
      <c r="BB195"/>
      <c r="BC195"/>
      <c r="BP195" s="4"/>
      <c r="BQ195" s="4"/>
      <c r="BR195" s="4"/>
      <c r="BS195" s="4"/>
      <c r="BT195" s="4"/>
      <c r="BU195" s="4"/>
      <c r="CI195" s="1">
        <v>7</v>
      </c>
      <c r="CJ195" s="1">
        <v>7</v>
      </c>
      <c r="CK195" s="1">
        <v>7</v>
      </c>
      <c r="CL195" s="1">
        <v>7</v>
      </c>
      <c r="CM195" s="1">
        <v>7</v>
      </c>
      <c r="CN195" s="1">
        <v>7</v>
      </c>
      <c r="CO195" s="1">
        <v>7</v>
      </c>
      <c r="CP195" s="1">
        <v>2</v>
      </c>
      <c r="CQ195" s="1">
        <v>7</v>
      </c>
      <c r="CR195" s="1">
        <v>7</v>
      </c>
      <c r="CS195" s="1">
        <v>7</v>
      </c>
      <c r="CT195" s="1">
        <v>6</v>
      </c>
      <c r="CU195" s="1">
        <v>7</v>
      </c>
      <c r="CV195" s="1">
        <v>7</v>
      </c>
      <c r="CW195" s="1">
        <v>7</v>
      </c>
      <c r="CX195" s="1">
        <v>7</v>
      </c>
      <c r="CY195" s="1">
        <v>4</v>
      </c>
      <c r="CZ195" s="1">
        <v>7</v>
      </c>
      <c r="DA195" s="1">
        <v>7</v>
      </c>
      <c r="DB195" s="1">
        <v>7</v>
      </c>
      <c r="DC195" s="1">
        <v>7</v>
      </c>
      <c r="DD195" s="1">
        <v>7</v>
      </c>
      <c r="DE195" s="1">
        <v>7</v>
      </c>
      <c r="DF195" s="1">
        <v>6</v>
      </c>
      <c r="DG195" s="1">
        <v>5</v>
      </c>
      <c r="DH195" s="1">
        <v>6</v>
      </c>
      <c r="DI195" s="1">
        <v>7</v>
      </c>
      <c r="DJ195" s="1">
        <v>7</v>
      </c>
      <c r="DK195" s="1">
        <v>7</v>
      </c>
      <c r="DL195" s="1">
        <v>7</v>
      </c>
      <c r="DM195" s="19">
        <v>7</v>
      </c>
      <c r="DN195" s="19">
        <v>2</v>
      </c>
      <c r="DO195" s="1">
        <v>2</v>
      </c>
      <c r="DP195" s="1">
        <v>7</v>
      </c>
      <c r="DQ195" s="1">
        <v>5</v>
      </c>
      <c r="DR195" s="1">
        <v>6</v>
      </c>
      <c r="DS195" s="1">
        <v>7</v>
      </c>
      <c r="DT195" s="1">
        <v>7</v>
      </c>
      <c r="DU195" s="27">
        <v>7</v>
      </c>
      <c r="DV195" s="27">
        <v>7</v>
      </c>
      <c r="DW195" s="27">
        <v>7</v>
      </c>
      <c r="DX195" s="27">
        <v>1</v>
      </c>
      <c r="DY195" s="27">
        <v>1</v>
      </c>
      <c r="DZ195" s="27">
        <v>1</v>
      </c>
      <c r="EA195" s="27">
        <v>1</v>
      </c>
      <c r="EB195" s="27">
        <v>4</v>
      </c>
      <c r="EC195" s="27">
        <v>7</v>
      </c>
      <c r="ED195" s="27">
        <v>2</v>
      </c>
      <c r="EE195" s="27">
        <v>4</v>
      </c>
      <c r="EF195" s="27">
        <v>4</v>
      </c>
      <c r="EG195" s="27">
        <v>7</v>
      </c>
      <c r="EH195" s="27">
        <v>7</v>
      </c>
      <c r="EI195" s="27">
        <v>7</v>
      </c>
      <c r="EJ195" s="27">
        <v>7</v>
      </c>
      <c r="EK195" s="27">
        <v>7</v>
      </c>
      <c r="EL195" s="27">
        <v>7</v>
      </c>
      <c r="EM195" s="27">
        <v>1</v>
      </c>
      <c r="EN195" s="27">
        <v>1</v>
      </c>
      <c r="EO195" s="27">
        <v>2</v>
      </c>
      <c r="EP195" s="27">
        <v>2</v>
      </c>
      <c r="EQ195" s="27">
        <v>2</v>
      </c>
      <c r="ER195" s="27">
        <v>7</v>
      </c>
      <c r="ES195" s="27">
        <v>7</v>
      </c>
      <c r="ET195" s="27">
        <v>2</v>
      </c>
      <c r="EU195" s="27">
        <v>2</v>
      </c>
      <c r="EV195" s="27">
        <v>18</v>
      </c>
      <c r="EW195" s="27">
        <v>2</v>
      </c>
      <c r="EY195" s="27">
        <v>1</v>
      </c>
      <c r="FA195" s="27">
        <v>1</v>
      </c>
      <c r="FB195" s="28" t="s">
        <v>892</v>
      </c>
      <c r="FC195" s="27">
        <v>1</v>
      </c>
      <c r="FD195" s="1">
        <v>6</v>
      </c>
      <c r="FE195" s="4"/>
      <c r="FF195" s="4"/>
      <c r="FG195" s="4"/>
      <c r="FH195" s="4"/>
      <c r="FI195" s="4"/>
      <c r="FJ195" s="23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26"/>
      <c r="GF195" s="26"/>
      <c r="GG195" s="4"/>
      <c r="JH195" s="1"/>
      <c r="JV195" s="1"/>
      <c r="KM195" s="4"/>
      <c r="LA195" s="4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</row>
    <row r="196" spans="1:376" x14ac:dyDescent="0.35">
      <c r="A196" s="14">
        <v>43488</v>
      </c>
      <c r="B196" s="16" t="s">
        <v>137</v>
      </c>
      <c r="C196" s="16" t="s">
        <v>357</v>
      </c>
      <c r="D196" s="1">
        <v>195</v>
      </c>
      <c r="E196" s="1">
        <v>5</v>
      </c>
      <c r="F196" s="1">
        <v>5</v>
      </c>
      <c r="H196" s="1">
        <v>49</v>
      </c>
      <c r="I196" s="1">
        <v>3</v>
      </c>
      <c r="K196" s="18">
        <v>1</v>
      </c>
      <c r="L196" s="18">
        <v>1</v>
      </c>
      <c r="M196" s="18">
        <v>1</v>
      </c>
      <c r="N196" s="18">
        <v>1</v>
      </c>
      <c r="O196" s="18">
        <v>1</v>
      </c>
      <c r="P196" s="4">
        <v>1</v>
      </c>
      <c r="Q196" s="3">
        <v>52</v>
      </c>
      <c r="R196" s="1">
        <v>57</v>
      </c>
      <c r="S196" s="1">
        <v>63</v>
      </c>
      <c r="T196" s="1">
        <v>87</v>
      </c>
      <c r="U196" s="1">
        <v>78</v>
      </c>
      <c r="V196" s="1">
        <v>90</v>
      </c>
      <c r="W196" s="1">
        <v>117</v>
      </c>
      <c r="X196" s="1">
        <v>101</v>
      </c>
      <c r="Y196" s="1">
        <v>77</v>
      </c>
      <c r="AI196" s="4"/>
      <c r="AJ196" s="4"/>
      <c r="AK196" s="4"/>
      <c r="AL196" s="1">
        <v>2</v>
      </c>
      <c r="AM196" s="1">
        <v>1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9">
        <v>0</v>
      </c>
      <c r="AT196" s="19">
        <v>0</v>
      </c>
      <c r="AU196" s="19">
        <v>0</v>
      </c>
      <c r="AV196" s="19">
        <v>0</v>
      </c>
      <c r="AW196" s="19">
        <v>0</v>
      </c>
      <c r="AX196" s="19"/>
      <c r="AY196"/>
      <c r="AZ196"/>
      <c r="BA196"/>
      <c r="BB196"/>
      <c r="BC196"/>
      <c r="BP196" s="4"/>
      <c r="BQ196" s="4"/>
      <c r="BR196" s="4"/>
      <c r="BS196" s="4"/>
      <c r="BT196" s="4"/>
      <c r="BU196" s="4"/>
      <c r="CI196" s="1">
        <v>6</v>
      </c>
      <c r="CJ196" s="1">
        <v>6</v>
      </c>
      <c r="CK196" s="1">
        <v>6</v>
      </c>
      <c r="CL196" s="1">
        <v>6</v>
      </c>
      <c r="CM196" s="1">
        <v>6</v>
      </c>
      <c r="CN196" s="1">
        <v>6</v>
      </c>
      <c r="CO196" s="1">
        <v>6</v>
      </c>
      <c r="CP196" s="1">
        <v>3</v>
      </c>
      <c r="CQ196" s="1">
        <v>6</v>
      </c>
      <c r="CR196" s="1">
        <v>6</v>
      </c>
      <c r="CS196" s="1">
        <v>6</v>
      </c>
      <c r="CT196" s="1">
        <v>5</v>
      </c>
      <c r="CU196" s="1">
        <v>6</v>
      </c>
      <c r="CV196" s="1">
        <v>6</v>
      </c>
      <c r="CW196" s="1">
        <v>6</v>
      </c>
      <c r="CX196" s="1">
        <v>6</v>
      </c>
      <c r="CY196" s="1">
        <v>6</v>
      </c>
      <c r="CZ196" s="1">
        <v>7</v>
      </c>
      <c r="DA196" s="1">
        <v>6</v>
      </c>
      <c r="DB196" s="1">
        <v>7</v>
      </c>
      <c r="DC196" s="1">
        <v>7</v>
      </c>
      <c r="DD196" s="1">
        <v>6</v>
      </c>
      <c r="DE196" s="1">
        <v>6</v>
      </c>
      <c r="DF196" s="1">
        <v>4</v>
      </c>
      <c r="DG196" s="1">
        <v>5</v>
      </c>
      <c r="DH196" s="1">
        <v>5</v>
      </c>
      <c r="DI196" s="1">
        <v>4</v>
      </c>
      <c r="DJ196" s="1">
        <v>5</v>
      </c>
      <c r="DK196" s="1">
        <v>4</v>
      </c>
      <c r="DL196" s="1">
        <v>7</v>
      </c>
      <c r="DM196" s="19">
        <v>7</v>
      </c>
      <c r="DN196" s="19">
        <v>5</v>
      </c>
      <c r="DO196" s="1">
        <v>5</v>
      </c>
      <c r="DP196" s="1">
        <v>6</v>
      </c>
      <c r="DQ196" s="1">
        <v>7</v>
      </c>
      <c r="DR196" s="1">
        <v>6</v>
      </c>
      <c r="DS196" s="1">
        <v>6</v>
      </c>
      <c r="DT196" s="1">
        <v>6</v>
      </c>
      <c r="DU196" s="27">
        <v>6</v>
      </c>
      <c r="DV196" s="27">
        <v>5</v>
      </c>
      <c r="DW196" s="27">
        <v>3</v>
      </c>
      <c r="DX196" s="27">
        <v>4</v>
      </c>
      <c r="DY196" s="27">
        <v>4</v>
      </c>
      <c r="DZ196" s="27">
        <v>3</v>
      </c>
      <c r="EA196" s="27">
        <v>6</v>
      </c>
      <c r="EB196" s="27">
        <v>3</v>
      </c>
      <c r="EC196" s="27">
        <v>6</v>
      </c>
      <c r="ED196" s="27">
        <v>7</v>
      </c>
      <c r="EE196" s="27">
        <v>3</v>
      </c>
      <c r="EF196" s="27">
        <v>5</v>
      </c>
      <c r="EG196" s="27">
        <v>4</v>
      </c>
      <c r="EH196" s="27">
        <v>7</v>
      </c>
      <c r="EI196" s="27">
        <v>7</v>
      </c>
      <c r="EJ196" s="27">
        <v>5</v>
      </c>
      <c r="EK196" s="27">
        <v>5</v>
      </c>
      <c r="EL196" s="27">
        <v>5</v>
      </c>
      <c r="EM196" s="27">
        <v>1</v>
      </c>
      <c r="EN196" s="27">
        <v>4</v>
      </c>
      <c r="EO196" s="27">
        <v>3</v>
      </c>
      <c r="EP196" s="27">
        <v>3</v>
      </c>
      <c r="EQ196" s="27">
        <v>4</v>
      </c>
      <c r="ER196" s="27">
        <v>4</v>
      </c>
      <c r="ES196" s="27">
        <v>4</v>
      </c>
      <c r="ET196" s="27">
        <v>4</v>
      </c>
      <c r="EU196" s="27">
        <v>4</v>
      </c>
      <c r="EV196" s="27">
        <v>18</v>
      </c>
      <c r="EW196" s="27">
        <v>1</v>
      </c>
      <c r="EY196" s="27">
        <v>1</v>
      </c>
      <c r="FA196" s="27">
        <v>1</v>
      </c>
      <c r="FB196" s="28" t="s">
        <v>893</v>
      </c>
      <c r="FC196" s="27">
        <v>0</v>
      </c>
      <c r="FD196" s="1">
        <v>9</v>
      </c>
      <c r="FE196" s="4"/>
      <c r="FF196" s="4"/>
      <c r="FG196" s="4"/>
      <c r="FH196" s="4"/>
      <c r="FI196" s="4"/>
      <c r="FJ196" s="23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26"/>
      <c r="GF196" s="26"/>
      <c r="GG196" s="4"/>
      <c r="JH196" s="1"/>
      <c r="JV196" s="1"/>
      <c r="KM196" s="4"/>
      <c r="LA196" s="4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</row>
    <row r="197" spans="1:376" x14ac:dyDescent="0.35">
      <c r="A197" s="14">
        <v>43488</v>
      </c>
      <c r="B197" s="16" t="s">
        <v>137</v>
      </c>
      <c r="C197" s="16" t="s">
        <v>358</v>
      </c>
      <c r="D197" s="1">
        <v>196</v>
      </c>
      <c r="E197" s="1">
        <v>5</v>
      </c>
      <c r="F197" s="1">
        <v>5</v>
      </c>
      <c r="H197" s="1">
        <v>49</v>
      </c>
      <c r="I197" s="1">
        <v>4</v>
      </c>
      <c r="K197" s="18">
        <v>0</v>
      </c>
      <c r="L197" s="18">
        <v>1</v>
      </c>
      <c r="M197" s="18">
        <v>1</v>
      </c>
      <c r="N197" s="18">
        <v>0</v>
      </c>
      <c r="O197" s="18">
        <v>0</v>
      </c>
      <c r="P197" s="4">
        <v>0.4</v>
      </c>
      <c r="Q197" s="3">
        <v>69</v>
      </c>
      <c r="R197" s="1">
        <v>60</v>
      </c>
      <c r="S197" s="1">
        <v>46</v>
      </c>
      <c r="T197" s="1">
        <v>62</v>
      </c>
      <c r="U197" s="1">
        <v>90</v>
      </c>
      <c r="V197" s="1">
        <v>83</v>
      </c>
      <c r="W197" s="1">
        <v>115</v>
      </c>
      <c r="X197" s="1">
        <v>76</v>
      </c>
      <c r="Y197" s="1">
        <v>83</v>
      </c>
      <c r="AI197" s="4"/>
      <c r="AJ197" s="4"/>
      <c r="AK197" s="4"/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9">
        <v>0</v>
      </c>
      <c r="AT197" s="19">
        <v>0</v>
      </c>
      <c r="AU197" s="19">
        <v>0</v>
      </c>
      <c r="AV197" s="19">
        <v>0</v>
      </c>
      <c r="AW197" s="19">
        <v>0</v>
      </c>
      <c r="AX197" s="19"/>
      <c r="AY197"/>
      <c r="AZ197"/>
      <c r="BA197"/>
      <c r="BB197"/>
      <c r="BC197"/>
      <c r="BP197" s="4"/>
      <c r="BQ197" s="4"/>
      <c r="BR197" s="4"/>
      <c r="BS197" s="4"/>
      <c r="BT197" s="4"/>
      <c r="BU197" s="4"/>
      <c r="CI197" s="1">
        <v>7</v>
      </c>
      <c r="CJ197" s="1">
        <v>7</v>
      </c>
      <c r="CK197" s="1">
        <v>7</v>
      </c>
      <c r="CL197" s="1">
        <v>6</v>
      </c>
      <c r="CM197" s="1">
        <v>6</v>
      </c>
      <c r="CN197" s="1">
        <v>7</v>
      </c>
      <c r="CO197" s="1">
        <v>7</v>
      </c>
      <c r="CP197" s="1">
        <v>2</v>
      </c>
      <c r="CQ197" s="1">
        <v>7</v>
      </c>
      <c r="CR197" s="1">
        <v>7</v>
      </c>
      <c r="CS197" s="1">
        <v>7</v>
      </c>
      <c r="CT197" s="1">
        <v>6</v>
      </c>
      <c r="CU197" s="1">
        <v>4</v>
      </c>
      <c r="CV197" s="1">
        <v>7</v>
      </c>
      <c r="CW197" s="1">
        <v>7</v>
      </c>
      <c r="CX197" s="1">
        <v>7</v>
      </c>
      <c r="CY197" s="1">
        <v>7</v>
      </c>
      <c r="CZ197" s="1">
        <v>7</v>
      </c>
      <c r="DA197" s="1">
        <v>7</v>
      </c>
      <c r="DB197" s="1">
        <v>7</v>
      </c>
      <c r="DC197" s="1">
        <v>6</v>
      </c>
      <c r="DD197" s="1">
        <v>7</v>
      </c>
      <c r="DE197" s="1">
        <v>7</v>
      </c>
      <c r="DF197" s="1">
        <v>7</v>
      </c>
      <c r="DG197" s="1">
        <v>6</v>
      </c>
      <c r="DH197" s="1">
        <v>7</v>
      </c>
      <c r="DI197" s="1">
        <v>7</v>
      </c>
      <c r="DJ197" s="1">
        <v>5</v>
      </c>
      <c r="DK197" s="1">
        <v>5</v>
      </c>
      <c r="DL197" s="1">
        <v>7</v>
      </c>
      <c r="DM197" s="19">
        <v>7</v>
      </c>
      <c r="DN197" s="19">
        <v>5</v>
      </c>
      <c r="DO197" s="1">
        <v>5</v>
      </c>
      <c r="DP197" s="1">
        <v>7</v>
      </c>
      <c r="DQ197" s="1">
        <v>6</v>
      </c>
      <c r="DR197" s="1">
        <v>5</v>
      </c>
      <c r="DS197" s="1">
        <v>7</v>
      </c>
      <c r="DT197" s="1">
        <v>7</v>
      </c>
      <c r="DU197" s="27">
        <v>7</v>
      </c>
      <c r="DV197" s="27">
        <v>7</v>
      </c>
      <c r="DW197" s="27">
        <v>4</v>
      </c>
      <c r="DX197" s="27">
        <v>4</v>
      </c>
      <c r="DY197" s="27">
        <v>1</v>
      </c>
      <c r="DZ197" s="27">
        <v>4</v>
      </c>
      <c r="EA197" s="27">
        <v>1</v>
      </c>
      <c r="EB197" s="27">
        <v>4</v>
      </c>
      <c r="EC197" s="27">
        <v>7</v>
      </c>
      <c r="ED197" s="27">
        <v>7</v>
      </c>
      <c r="EE197" s="27">
        <v>7</v>
      </c>
      <c r="EF197" s="27">
        <v>1</v>
      </c>
      <c r="EG197" s="27">
        <v>1</v>
      </c>
      <c r="EH197" s="27">
        <v>7</v>
      </c>
      <c r="EI197" s="27">
        <v>7</v>
      </c>
      <c r="EJ197" s="27">
        <v>4</v>
      </c>
      <c r="EK197" s="27">
        <v>4</v>
      </c>
      <c r="EL197" s="27">
        <v>4</v>
      </c>
      <c r="EM197" s="27">
        <v>4</v>
      </c>
      <c r="EN197" s="27">
        <v>4</v>
      </c>
      <c r="EO197" s="27">
        <v>1</v>
      </c>
      <c r="EP197" s="27">
        <v>1</v>
      </c>
      <c r="EQ197" s="27">
        <v>4</v>
      </c>
      <c r="ER197" s="27">
        <v>4</v>
      </c>
      <c r="ES197" s="27">
        <v>4</v>
      </c>
      <c r="ET197" s="27">
        <v>4</v>
      </c>
      <c r="EU197" s="27">
        <v>4</v>
      </c>
      <c r="EV197" s="27">
        <v>18</v>
      </c>
      <c r="EW197" s="27">
        <v>2</v>
      </c>
      <c r="EY197" s="27">
        <v>2</v>
      </c>
      <c r="FA197" s="27">
        <v>1</v>
      </c>
      <c r="FB197" s="28" t="s">
        <v>817</v>
      </c>
      <c r="FC197" s="27">
        <v>1</v>
      </c>
      <c r="FD197" s="1">
        <v>4</v>
      </c>
      <c r="FE197" s="4"/>
      <c r="FF197" s="4"/>
      <c r="FG197" s="4"/>
      <c r="FH197" s="4"/>
      <c r="FI197" s="4"/>
      <c r="FJ197" s="23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26"/>
      <c r="GF197" s="26"/>
      <c r="GG197" s="4"/>
      <c r="JH197" s="1"/>
      <c r="JV197" s="1"/>
      <c r="KM197" s="4"/>
      <c r="LA197" s="4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</row>
    <row r="198" spans="1:376" x14ac:dyDescent="0.35">
      <c r="A198" s="14">
        <v>43496</v>
      </c>
      <c r="B198" s="16" t="s">
        <v>138</v>
      </c>
      <c r="C198" s="16" t="s">
        <v>359</v>
      </c>
      <c r="D198" s="1">
        <v>197</v>
      </c>
      <c r="E198" s="1">
        <v>5</v>
      </c>
      <c r="F198" s="1">
        <v>5</v>
      </c>
      <c r="G198" s="1">
        <v>0</v>
      </c>
      <c r="H198" s="1">
        <v>50</v>
      </c>
      <c r="I198" s="1">
        <v>1</v>
      </c>
      <c r="J198" s="1">
        <v>1</v>
      </c>
      <c r="K198" s="18">
        <v>0</v>
      </c>
      <c r="L198" s="18">
        <v>1</v>
      </c>
      <c r="M198" s="18">
        <v>1</v>
      </c>
      <c r="N198" s="18">
        <v>1</v>
      </c>
      <c r="O198" s="18">
        <v>0</v>
      </c>
      <c r="P198" s="4">
        <v>0.6</v>
      </c>
      <c r="Q198" s="3">
        <v>61</v>
      </c>
      <c r="R198" s="1">
        <v>55</v>
      </c>
      <c r="S198" s="1">
        <v>83</v>
      </c>
      <c r="T198" s="1">
        <v>73</v>
      </c>
      <c r="U198" s="1">
        <v>77</v>
      </c>
      <c r="V198" s="1">
        <v>80</v>
      </c>
      <c r="W198" s="1">
        <v>66</v>
      </c>
      <c r="X198" s="1">
        <v>79</v>
      </c>
      <c r="Y198" s="1">
        <v>83</v>
      </c>
      <c r="Z198" s="1">
        <v>211</v>
      </c>
      <c r="AA198" s="1">
        <v>202</v>
      </c>
      <c r="AB198" s="1">
        <v>216</v>
      </c>
      <c r="AC198" s="1">
        <v>306</v>
      </c>
      <c r="AD198" s="1">
        <v>305</v>
      </c>
      <c r="AE198" s="1">
        <v>320</v>
      </c>
      <c r="AF198" s="1">
        <v>275</v>
      </c>
      <c r="AG198" s="1">
        <v>307</v>
      </c>
      <c r="AH198" s="1">
        <v>332</v>
      </c>
      <c r="AI198" s="4">
        <v>209.67</v>
      </c>
      <c r="AJ198" s="4">
        <v>310.33</v>
      </c>
      <c r="AK198" s="4">
        <v>304.67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9">
        <v>2</v>
      </c>
      <c r="AT198" s="19">
        <v>0</v>
      </c>
      <c r="AU198" s="19">
        <v>0</v>
      </c>
      <c r="AV198" s="19">
        <v>0</v>
      </c>
      <c r="AW198" s="19">
        <v>0</v>
      </c>
      <c r="AX198" s="19">
        <f t="shared" ref="AX198:BC198" si="98">AL198+AL199+AL200+AL201</f>
        <v>1</v>
      </c>
      <c r="AY198" s="19">
        <f t="shared" si="98"/>
        <v>2</v>
      </c>
      <c r="AZ198" s="19">
        <f t="shared" si="98"/>
        <v>2</v>
      </c>
      <c r="BA198" s="19">
        <f t="shared" si="98"/>
        <v>0</v>
      </c>
      <c r="BB198" s="19">
        <f t="shared" si="98"/>
        <v>0</v>
      </c>
      <c r="BC198" s="19">
        <f t="shared" si="98"/>
        <v>0</v>
      </c>
      <c r="BD198" s="1">
        <f>AX198*3</f>
        <v>3</v>
      </c>
      <c r="BE198" s="1">
        <f t="shared" ref="BE198:BI198" si="99">AY198*3</f>
        <v>6</v>
      </c>
      <c r="BF198" s="1">
        <f t="shared" si="99"/>
        <v>6</v>
      </c>
      <c r="BG198" s="1">
        <f t="shared" si="99"/>
        <v>0</v>
      </c>
      <c r="BH198" s="1">
        <f t="shared" si="99"/>
        <v>0</v>
      </c>
      <c r="BI198" s="1">
        <f t="shared" si="99"/>
        <v>0</v>
      </c>
      <c r="BJ198" s="1">
        <f>AX198+AY198+AZ198</f>
        <v>5</v>
      </c>
      <c r="BK198" s="1">
        <f>BA198+BB198+BC198</f>
        <v>0</v>
      </c>
      <c r="BL198" s="1">
        <f>BJ198*3</f>
        <v>15</v>
      </c>
      <c r="BM198" s="1">
        <f>BK198*3</f>
        <v>0</v>
      </c>
      <c r="BN198" s="1">
        <f>BL198/3</f>
        <v>5</v>
      </c>
      <c r="BO198" s="1">
        <f>BM198/3</f>
        <v>0</v>
      </c>
      <c r="BP198" s="4">
        <v>204.66666666666666</v>
      </c>
      <c r="BQ198" s="4">
        <v>310.33333333333331</v>
      </c>
      <c r="BR198" s="4">
        <v>304.66666666666669</v>
      </c>
      <c r="BS198" s="4">
        <v>310.33</v>
      </c>
      <c r="BT198" s="4">
        <v>304.67</v>
      </c>
      <c r="BU198" s="4">
        <v>4</v>
      </c>
      <c r="BV198" s="1">
        <v>3</v>
      </c>
      <c r="BW198" s="1">
        <v>3</v>
      </c>
      <c r="BX198" s="1">
        <v>3</v>
      </c>
      <c r="BY198" s="1">
        <v>3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7</v>
      </c>
      <c r="CJ198" s="1">
        <v>7</v>
      </c>
      <c r="CK198" s="1">
        <v>6</v>
      </c>
      <c r="CL198" s="1">
        <v>6</v>
      </c>
      <c r="CM198" s="1">
        <v>6</v>
      </c>
      <c r="CN198" s="1">
        <v>5</v>
      </c>
      <c r="CO198" s="1">
        <v>6</v>
      </c>
      <c r="CP198" s="1">
        <v>1</v>
      </c>
      <c r="CQ198" s="1">
        <v>7</v>
      </c>
      <c r="CR198" s="1">
        <v>7</v>
      </c>
      <c r="CS198" s="1">
        <v>7</v>
      </c>
      <c r="CT198" s="1">
        <v>7</v>
      </c>
      <c r="CU198" s="1">
        <v>7</v>
      </c>
      <c r="CV198" s="1">
        <v>7</v>
      </c>
      <c r="CW198" s="1">
        <v>7</v>
      </c>
      <c r="CX198" s="1">
        <v>7</v>
      </c>
      <c r="CY198" s="1">
        <v>6</v>
      </c>
      <c r="CZ198" s="1">
        <v>7</v>
      </c>
      <c r="DA198" s="1">
        <v>7</v>
      </c>
      <c r="DB198" s="1">
        <v>7</v>
      </c>
      <c r="DC198" s="1">
        <v>7</v>
      </c>
      <c r="DD198" s="1">
        <v>6</v>
      </c>
      <c r="DE198" s="1">
        <v>6</v>
      </c>
      <c r="DF198" s="1">
        <v>6</v>
      </c>
      <c r="DG198" s="1">
        <v>6</v>
      </c>
      <c r="DH198" s="1">
        <v>6</v>
      </c>
      <c r="DI198" s="1">
        <v>6</v>
      </c>
      <c r="DJ198" s="1">
        <v>6</v>
      </c>
      <c r="DK198" s="1">
        <v>6</v>
      </c>
      <c r="DL198" s="1">
        <v>6</v>
      </c>
      <c r="DM198" s="19">
        <v>6</v>
      </c>
      <c r="DN198" s="19">
        <v>7</v>
      </c>
      <c r="DO198" s="1">
        <v>5</v>
      </c>
      <c r="DP198" s="1">
        <v>5</v>
      </c>
      <c r="DQ198" s="1">
        <v>5</v>
      </c>
      <c r="DR198" s="1">
        <v>6</v>
      </c>
      <c r="DS198" s="1">
        <v>6</v>
      </c>
      <c r="DT198" s="1">
        <v>6</v>
      </c>
      <c r="DU198" s="27">
        <v>7</v>
      </c>
      <c r="DV198" s="27">
        <v>7</v>
      </c>
      <c r="DW198" s="27">
        <v>1</v>
      </c>
      <c r="DX198" s="27">
        <v>7</v>
      </c>
      <c r="DY198" s="27">
        <v>1</v>
      </c>
      <c r="DZ198" s="27">
        <v>1</v>
      </c>
      <c r="EA198" s="27">
        <v>1</v>
      </c>
      <c r="EB198" s="27">
        <v>7</v>
      </c>
      <c r="EC198" s="27">
        <v>7</v>
      </c>
      <c r="ED198" s="27">
        <v>6</v>
      </c>
      <c r="EE198" s="27">
        <v>7</v>
      </c>
      <c r="EF198" s="27">
        <v>1</v>
      </c>
      <c r="EG198" s="27">
        <v>7</v>
      </c>
      <c r="EH198" s="27">
        <v>7</v>
      </c>
      <c r="EI198" s="27">
        <v>7</v>
      </c>
      <c r="EJ198" s="27">
        <v>5</v>
      </c>
      <c r="EK198" s="27">
        <v>7</v>
      </c>
      <c r="EL198" s="27">
        <v>7</v>
      </c>
      <c r="EM198" s="27">
        <v>1</v>
      </c>
      <c r="EN198" s="27">
        <v>1</v>
      </c>
      <c r="EO198" s="27">
        <v>4</v>
      </c>
      <c r="EP198" s="27">
        <v>4</v>
      </c>
      <c r="EQ198" s="27">
        <v>5</v>
      </c>
      <c r="ER198" s="27">
        <v>6</v>
      </c>
      <c r="ES198" s="27">
        <v>7</v>
      </c>
      <c r="ET198" s="27">
        <v>6</v>
      </c>
      <c r="EU198" s="27">
        <v>5</v>
      </c>
      <c r="EV198" s="27">
        <v>21</v>
      </c>
      <c r="EW198" s="27">
        <v>2</v>
      </c>
      <c r="EY198" s="27">
        <v>1</v>
      </c>
      <c r="FA198" s="27">
        <v>4</v>
      </c>
      <c r="FB198" s="28" t="s">
        <v>894</v>
      </c>
      <c r="FC198" s="27">
        <v>0</v>
      </c>
      <c r="FD198" s="1">
        <v>2</v>
      </c>
      <c r="FE198" s="4">
        <v>6.57</v>
      </c>
      <c r="FF198" s="4">
        <v>6.63</v>
      </c>
      <c r="FG198" s="4">
        <v>8.1300000000000008</v>
      </c>
      <c r="FH198" s="4">
        <v>6.75</v>
      </c>
      <c r="FI198" s="4">
        <v>5.75</v>
      </c>
      <c r="FJ198" s="23">
        <v>6.25</v>
      </c>
      <c r="FK198" s="4">
        <v>3.63</v>
      </c>
      <c r="FL198" s="4">
        <v>6.63</v>
      </c>
      <c r="FM198" s="4">
        <v>3.5</v>
      </c>
      <c r="FN198" s="4">
        <v>4.88</v>
      </c>
      <c r="FO198" s="4">
        <v>6.33</v>
      </c>
      <c r="FP198" s="4">
        <v>5.17</v>
      </c>
      <c r="FQ198" s="4">
        <v>2.63</v>
      </c>
      <c r="FR198" s="4">
        <v>1</v>
      </c>
      <c r="FS198" s="4">
        <v>4.75</v>
      </c>
      <c r="FT198" s="4">
        <v>5</v>
      </c>
      <c r="FU198" s="4">
        <v>6.75</v>
      </c>
      <c r="FV198" s="4">
        <v>2.75</v>
      </c>
      <c r="FW198" s="4">
        <v>1.25</v>
      </c>
      <c r="FX198" s="4">
        <v>6.75</v>
      </c>
      <c r="FY198" s="4">
        <v>7</v>
      </c>
      <c r="FZ198" s="4">
        <v>6.08</v>
      </c>
      <c r="GA198" s="4">
        <v>1.5</v>
      </c>
      <c r="GB198" s="4">
        <v>5.25</v>
      </c>
      <c r="GC198" s="4">
        <v>5</v>
      </c>
      <c r="GD198" s="4">
        <v>5.5</v>
      </c>
      <c r="GE198" s="26"/>
      <c r="GF198" s="26"/>
      <c r="GG198" s="4"/>
      <c r="JH198" s="1"/>
      <c r="JV198" s="1"/>
      <c r="KM198" s="4"/>
      <c r="LA198" s="4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</row>
    <row r="199" spans="1:376" x14ac:dyDescent="0.35">
      <c r="A199" s="14">
        <v>43496</v>
      </c>
      <c r="B199" s="16" t="s">
        <v>138</v>
      </c>
      <c r="C199" s="16" t="s">
        <v>360</v>
      </c>
      <c r="D199" s="1">
        <v>198</v>
      </c>
      <c r="E199" s="1">
        <v>5</v>
      </c>
      <c r="F199" s="1">
        <v>5</v>
      </c>
      <c r="H199" s="1">
        <v>50</v>
      </c>
      <c r="I199" s="1">
        <v>2</v>
      </c>
      <c r="K199" s="18">
        <v>1</v>
      </c>
      <c r="L199" s="18">
        <v>0</v>
      </c>
      <c r="M199" s="18">
        <v>1</v>
      </c>
      <c r="N199" s="18">
        <v>1</v>
      </c>
      <c r="O199" s="18">
        <v>1</v>
      </c>
      <c r="P199" s="4">
        <v>0.8</v>
      </c>
      <c r="Q199" s="3">
        <v>59</v>
      </c>
      <c r="R199" s="1">
        <v>70</v>
      </c>
      <c r="S199" s="1">
        <v>72</v>
      </c>
      <c r="T199" s="1">
        <v>70</v>
      </c>
      <c r="U199" s="1">
        <v>76</v>
      </c>
      <c r="V199" s="1">
        <v>84</v>
      </c>
      <c r="W199" s="1">
        <v>73</v>
      </c>
      <c r="X199" s="1">
        <v>76</v>
      </c>
      <c r="Y199" s="1">
        <v>83</v>
      </c>
      <c r="AI199" s="4"/>
      <c r="AJ199" s="4"/>
      <c r="AK199" s="4"/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</v>
      </c>
      <c r="AS199" s="19">
        <v>2</v>
      </c>
      <c r="AT199" s="19">
        <v>2</v>
      </c>
      <c r="AU199" s="19">
        <v>0</v>
      </c>
      <c r="AV199" s="19">
        <v>0</v>
      </c>
      <c r="AW199" s="19">
        <v>0</v>
      </c>
      <c r="AX199" s="19"/>
      <c r="AY199"/>
      <c r="AZ199"/>
      <c r="BA199"/>
      <c r="BB199"/>
      <c r="BC199"/>
      <c r="BP199" s="4"/>
      <c r="BQ199" s="4"/>
      <c r="BR199" s="4"/>
      <c r="BS199" s="4"/>
      <c r="BT199" s="4"/>
      <c r="BU199" s="4"/>
      <c r="CI199" s="1">
        <v>7</v>
      </c>
      <c r="CJ199" s="1">
        <v>7</v>
      </c>
      <c r="CK199" s="1">
        <v>7</v>
      </c>
      <c r="CL199" s="1">
        <v>7</v>
      </c>
      <c r="CM199" s="1">
        <v>7</v>
      </c>
      <c r="CN199" s="1">
        <v>7</v>
      </c>
      <c r="CO199" s="1">
        <v>7</v>
      </c>
      <c r="CP199" s="1">
        <v>1</v>
      </c>
      <c r="CQ199" s="1">
        <v>7</v>
      </c>
      <c r="CR199" s="1">
        <v>7</v>
      </c>
      <c r="CS199" s="1">
        <v>7</v>
      </c>
      <c r="CT199" s="1">
        <v>7</v>
      </c>
      <c r="CU199" s="1">
        <v>7</v>
      </c>
      <c r="CV199" s="1">
        <v>7</v>
      </c>
      <c r="CW199" s="1">
        <v>7</v>
      </c>
      <c r="CX199" s="1">
        <v>7</v>
      </c>
      <c r="CY199" s="1">
        <v>7</v>
      </c>
      <c r="CZ199" s="1">
        <v>7</v>
      </c>
      <c r="DA199" s="1">
        <v>7</v>
      </c>
      <c r="DB199" s="1">
        <v>7</v>
      </c>
      <c r="DC199" s="1">
        <v>6</v>
      </c>
      <c r="DD199" s="1">
        <v>4</v>
      </c>
      <c r="DE199" s="1">
        <v>7</v>
      </c>
      <c r="DF199" s="1">
        <v>1</v>
      </c>
      <c r="DG199" s="1">
        <v>1</v>
      </c>
      <c r="DH199" s="1">
        <v>1</v>
      </c>
      <c r="DI199" s="1">
        <v>1</v>
      </c>
      <c r="DJ199" s="1">
        <v>1</v>
      </c>
      <c r="DK199" s="1">
        <v>1</v>
      </c>
      <c r="DL199" s="1">
        <v>7</v>
      </c>
      <c r="DM199" s="19">
        <v>7</v>
      </c>
      <c r="DN199" s="19">
        <v>1</v>
      </c>
      <c r="DO199" s="1">
        <v>1</v>
      </c>
      <c r="DP199" s="1">
        <v>4</v>
      </c>
      <c r="DQ199" s="1">
        <v>1</v>
      </c>
      <c r="DR199" s="1">
        <v>7</v>
      </c>
      <c r="DS199" s="1">
        <v>7</v>
      </c>
      <c r="DT199" s="1">
        <v>7</v>
      </c>
      <c r="DU199" s="27">
        <v>7</v>
      </c>
      <c r="DV199" s="27">
        <v>7</v>
      </c>
      <c r="DW199" s="27">
        <v>4</v>
      </c>
      <c r="DX199" s="27">
        <v>1</v>
      </c>
      <c r="DY199" s="27">
        <v>1</v>
      </c>
      <c r="DZ199" s="27">
        <v>1</v>
      </c>
      <c r="EA199" s="27">
        <v>1</v>
      </c>
      <c r="EB199" s="27">
        <v>1</v>
      </c>
      <c r="EC199" s="27">
        <v>1</v>
      </c>
      <c r="ED199" s="27">
        <v>7</v>
      </c>
      <c r="EE199" s="27">
        <v>1</v>
      </c>
      <c r="EF199" s="27">
        <v>1</v>
      </c>
      <c r="EG199" s="27">
        <v>7</v>
      </c>
      <c r="EH199" s="27">
        <v>7</v>
      </c>
      <c r="EI199" s="27">
        <v>7</v>
      </c>
      <c r="EJ199" s="27">
        <v>1</v>
      </c>
      <c r="EK199" s="27">
        <v>7</v>
      </c>
      <c r="EL199" s="27">
        <v>7</v>
      </c>
      <c r="EM199" s="27">
        <v>1</v>
      </c>
      <c r="EN199" s="27">
        <v>1</v>
      </c>
      <c r="EO199" s="27">
        <v>7</v>
      </c>
      <c r="EP199" s="27">
        <v>7</v>
      </c>
      <c r="EQ199" s="27">
        <v>7</v>
      </c>
      <c r="ER199" s="27">
        <v>1</v>
      </c>
      <c r="ES199" s="27">
        <v>1</v>
      </c>
      <c r="ET199" s="27">
        <v>7</v>
      </c>
      <c r="EU199" s="27">
        <v>7</v>
      </c>
      <c r="EV199" s="27">
        <v>18</v>
      </c>
      <c r="EW199" s="27">
        <v>2</v>
      </c>
      <c r="EY199" s="27">
        <v>1</v>
      </c>
      <c r="FA199" s="27">
        <v>1</v>
      </c>
      <c r="FB199" s="28" t="s">
        <v>895</v>
      </c>
      <c r="FC199" s="27">
        <v>1</v>
      </c>
      <c r="FD199" s="1">
        <v>8</v>
      </c>
      <c r="FE199" s="4"/>
      <c r="FF199" s="4"/>
      <c r="FG199" s="4"/>
      <c r="FH199" s="4"/>
      <c r="FI199" s="4"/>
      <c r="FJ199" s="23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26"/>
      <c r="GF199" s="26"/>
      <c r="GG199" s="4"/>
      <c r="JH199" s="1"/>
      <c r="JV199" s="1"/>
      <c r="KM199" s="4"/>
      <c r="LA199" s="4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</row>
    <row r="200" spans="1:376" x14ac:dyDescent="0.35">
      <c r="A200" s="14">
        <v>43496</v>
      </c>
      <c r="B200" s="16" t="s">
        <v>138</v>
      </c>
      <c r="C200" s="16" t="s">
        <v>361</v>
      </c>
      <c r="D200" s="1">
        <v>199</v>
      </c>
      <c r="E200" s="1">
        <v>5</v>
      </c>
      <c r="F200" s="1">
        <v>5</v>
      </c>
      <c r="H200" s="1">
        <v>50</v>
      </c>
      <c r="I200" s="1">
        <v>3</v>
      </c>
      <c r="K200" s="18">
        <v>1</v>
      </c>
      <c r="L200" s="18">
        <v>1</v>
      </c>
      <c r="M200" s="18">
        <v>1</v>
      </c>
      <c r="N200" s="18">
        <v>1</v>
      </c>
      <c r="O200" s="18">
        <v>0</v>
      </c>
      <c r="P200" s="4">
        <v>0.8</v>
      </c>
      <c r="Q200" s="3">
        <v>55</v>
      </c>
      <c r="R200" s="1">
        <v>36</v>
      </c>
      <c r="S200" s="1">
        <v>21</v>
      </c>
      <c r="T200" s="1">
        <v>86</v>
      </c>
      <c r="U200" s="1">
        <v>75</v>
      </c>
      <c r="V200" s="1">
        <v>77</v>
      </c>
      <c r="W200" s="1">
        <v>69</v>
      </c>
      <c r="X200" s="1">
        <v>77</v>
      </c>
      <c r="Y200" s="1">
        <v>82</v>
      </c>
      <c r="AI200" s="4"/>
      <c r="AJ200" s="4"/>
      <c r="AK200" s="4"/>
      <c r="AL200" s="1">
        <v>1</v>
      </c>
      <c r="AM200" s="1">
        <v>2</v>
      </c>
      <c r="AN200" s="1">
        <v>2</v>
      </c>
      <c r="AO200" s="1">
        <v>0</v>
      </c>
      <c r="AP200" s="1">
        <v>0</v>
      </c>
      <c r="AQ200" s="1">
        <v>0</v>
      </c>
      <c r="AR200" s="1">
        <v>0</v>
      </c>
      <c r="AS200" s="19">
        <v>0</v>
      </c>
      <c r="AT200" s="19">
        <v>0</v>
      </c>
      <c r="AU200" s="19">
        <v>0</v>
      </c>
      <c r="AV200" s="19">
        <v>0</v>
      </c>
      <c r="AW200" s="19">
        <v>0</v>
      </c>
      <c r="AX200" s="19"/>
      <c r="AY200"/>
      <c r="AZ200"/>
      <c r="BA200"/>
      <c r="BB200"/>
      <c r="BC200"/>
      <c r="BP200" s="4"/>
      <c r="BQ200" s="4"/>
      <c r="BR200" s="4"/>
      <c r="BS200" s="4"/>
      <c r="BT200" s="4"/>
      <c r="BU200" s="4"/>
      <c r="CI200" s="1">
        <v>7</v>
      </c>
      <c r="CJ200" s="1">
        <v>7</v>
      </c>
      <c r="CK200" s="1">
        <v>7</v>
      </c>
      <c r="CL200" s="1">
        <v>7</v>
      </c>
      <c r="CM200" s="1">
        <v>7</v>
      </c>
      <c r="CN200" s="1">
        <v>6</v>
      </c>
      <c r="CO200" s="1">
        <v>5</v>
      </c>
      <c r="CP200" s="1">
        <v>4</v>
      </c>
      <c r="CQ200" s="1">
        <v>7</v>
      </c>
      <c r="CR200" s="1">
        <v>7</v>
      </c>
      <c r="CS200" s="1">
        <v>7</v>
      </c>
      <c r="CT200" s="1">
        <v>4</v>
      </c>
      <c r="CU200" s="1">
        <v>6</v>
      </c>
      <c r="CV200" s="1">
        <v>7</v>
      </c>
      <c r="CW200" s="1">
        <v>6</v>
      </c>
      <c r="CX200" s="1">
        <v>6</v>
      </c>
      <c r="CY200" s="1">
        <v>6</v>
      </c>
      <c r="CZ200" s="1">
        <v>6</v>
      </c>
      <c r="DA200" s="1">
        <v>7</v>
      </c>
      <c r="DB200" s="1">
        <v>6</v>
      </c>
      <c r="DC200" s="1">
        <v>6</v>
      </c>
      <c r="DD200" s="1">
        <v>6</v>
      </c>
      <c r="DE200" s="1">
        <v>6</v>
      </c>
      <c r="DF200" s="1">
        <v>1</v>
      </c>
      <c r="DG200" s="1">
        <v>1</v>
      </c>
      <c r="DH200" s="1">
        <v>2</v>
      </c>
      <c r="DI200" s="1">
        <v>2</v>
      </c>
      <c r="DJ200" s="1">
        <v>6</v>
      </c>
      <c r="DK200" s="1">
        <v>7</v>
      </c>
      <c r="DL200" s="1">
        <v>7</v>
      </c>
      <c r="DM200" s="19">
        <v>6</v>
      </c>
      <c r="DN200" s="19">
        <v>5</v>
      </c>
      <c r="DO200" s="1">
        <v>1</v>
      </c>
      <c r="DP200" s="1">
        <v>6</v>
      </c>
      <c r="DQ200" s="1">
        <v>6</v>
      </c>
      <c r="DR200" s="1">
        <v>6</v>
      </c>
      <c r="DS200" s="1">
        <v>7</v>
      </c>
      <c r="DT200" s="1">
        <v>6</v>
      </c>
      <c r="DU200" s="27">
        <v>5</v>
      </c>
      <c r="DV200" s="27">
        <v>2</v>
      </c>
      <c r="DW200" s="27">
        <v>1</v>
      </c>
      <c r="DX200" s="27">
        <v>5</v>
      </c>
      <c r="DY200" s="27">
        <v>4</v>
      </c>
      <c r="DZ200" s="27">
        <v>4</v>
      </c>
      <c r="EA200" s="27">
        <v>1</v>
      </c>
      <c r="EB200" s="27">
        <v>5</v>
      </c>
      <c r="EC200" s="27">
        <v>6</v>
      </c>
      <c r="ED200" s="27">
        <v>7</v>
      </c>
      <c r="EE200" s="27">
        <v>2</v>
      </c>
      <c r="EF200" s="27">
        <v>2</v>
      </c>
      <c r="EG200" s="27">
        <v>6</v>
      </c>
      <c r="EH200" s="27">
        <v>7</v>
      </c>
      <c r="EI200" s="27">
        <v>7</v>
      </c>
      <c r="EJ200" s="27">
        <v>7</v>
      </c>
      <c r="EK200" s="27">
        <v>5</v>
      </c>
      <c r="EL200" s="27">
        <v>6</v>
      </c>
      <c r="EM200" s="27">
        <v>5</v>
      </c>
      <c r="EN200" s="27">
        <v>1</v>
      </c>
      <c r="EO200" s="27">
        <v>2</v>
      </c>
      <c r="EP200" s="27">
        <v>4</v>
      </c>
      <c r="EQ200" s="27">
        <v>7</v>
      </c>
      <c r="ER200" s="27">
        <v>5</v>
      </c>
      <c r="ES200" s="27">
        <v>6</v>
      </c>
      <c r="ET200" s="27">
        <v>5</v>
      </c>
      <c r="EU200" s="27">
        <v>7</v>
      </c>
      <c r="EV200" s="27">
        <v>20</v>
      </c>
      <c r="EW200" s="27">
        <v>1</v>
      </c>
      <c r="EY200" s="27">
        <v>1</v>
      </c>
      <c r="FA200" s="27">
        <v>2</v>
      </c>
      <c r="FB200" s="28" t="s">
        <v>807</v>
      </c>
      <c r="FC200" s="27">
        <v>1</v>
      </c>
      <c r="FD200" s="1">
        <v>3</v>
      </c>
      <c r="FE200" s="4"/>
      <c r="FF200" s="4"/>
      <c r="FG200" s="4"/>
      <c r="FH200" s="4"/>
      <c r="FI200" s="4"/>
      <c r="FJ200" s="23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26"/>
      <c r="GF200" s="26"/>
      <c r="GG200" s="4"/>
      <c r="JH200" s="1"/>
      <c r="JV200" s="1"/>
      <c r="KM200" s="4"/>
      <c r="LA200" s="4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</row>
    <row r="201" spans="1:376" x14ac:dyDescent="0.35">
      <c r="A201" s="14">
        <v>43496</v>
      </c>
      <c r="B201" s="16" t="s">
        <v>138</v>
      </c>
      <c r="C201" s="16" t="s">
        <v>362</v>
      </c>
      <c r="D201" s="1">
        <v>200</v>
      </c>
      <c r="E201" s="1">
        <v>5</v>
      </c>
      <c r="F201" s="1">
        <v>5</v>
      </c>
      <c r="H201" s="1">
        <v>50</v>
      </c>
      <c r="I201" s="1">
        <v>4</v>
      </c>
      <c r="K201" s="18">
        <v>1</v>
      </c>
      <c r="L201" s="18">
        <v>1</v>
      </c>
      <c r="M201" s="18">
        <v>1</v>
      </c>
      <c r="N201" s="18">
        <v>1</v>
      </c>
      <c r="O201" s="18">
        <v>1</v>
      </c>
      <c r="P201" s="4">
        <v>1</v>
      </c>
      <c r="Q201" s="3">
        <v>36</v>
      </c>
      <c r="R201" s="1">
        <v>41</v>
      </c>
      <c r="S201" s="1">
        <v>40</v>
      </c>
      <c r="T201" s="1">
        <v>77</v>
      </c>
      <c r="U201" s="1">
        <v>77</v>
      </c>
      <c r="V201" s="1">
        <v>79</v>
      </c>
      <c r="W201" s="1">
        <v>67</v>
      </c>
      <c r="X201" s="1">
        <v>75</v>
      </c>
      <c r="Y201" s="1">
        <v>84</v>
      </c>
      <c r="AI201" s="4"/>
      <c r="AJ201" s="4"/>
      <c r="AK201" s="4"/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9">
        <v>0</v>
      </c>
      <c r="AT201" s="19">
        <v>2</v>
      </c>
      <c r="AU201" s="19">
        <v>0</v>
      </c>
      <c r="AV201" s="19">
        <v>0</v>
      </c>
      <c r="AW201" s="19">
        <v>0</v>
      </c>
      <c r="AX201" s="19"/>
      <c r="AY201"/>
      <c r="AZ201"/>
      <c r="BA201"/>
      <c r="BB201"/>
      <c r="BC201"/>
      <c r="BP201" s="4"/>
      <c r="BQ201" s="4"/>
      <c r="BR201" s="4"/>
      <c r="BS201" s="4"/>
      <c r="BT201" s="4"/>
      <c r="BU201" s="4"/>
      <c r="CI201" s="1">
        <v>7</v>
      </c>
      <c r="CJ201" s="1">
        <v>7</v>
      </c>
      <c r="CK201" s="1">
        <v>7</v>
      </c>
      <c r="CL201" s="1">
        <v>6</v>
      </c>
      <c r="CM201" s="1">
        <v>6</v>
      </c>
      <c r="CN201" s="1">
        <v>7</v>
      </c>
      <c r="CO201" s="1">
        <v>6</v>
      </c>
      <c r="CP201" s="1">
        <v>2</v>
      </c>
      <c r="CQ201" s="1">
        <v>7</v>
      </c>
      <c r="CR201" s="1">
        <v>6</v>
      </c>
      <c r="CS201" s="1">
        <v>6</v>
      </c>
      <c r="CT201" s="1">
        <v>6</v>
      </c>
      <c r="CU201" s="1">
        <v>6</v>
      </c>
      <c r="CV201" s="1">
        <v>6</v>
      </c>
      <c r="CW201" s="1">
        <v>6</v>
      </c>
      <c r="CX201" s="1">
        <v>6</v>
      </c>
      <c r="CY201" s="1">
        <v>6</v>
      </c>
      <c r="CZ201" s="1">
        <v>7</v>
      </c>
      <c r="DA201" s="1">
        <v>6</v>
      </c>
      <c r="DB201" s="1">
        <v>7</v>
      </c>
      <c r="DC201" s="1">
        <v>6</v>
      </c>
      <c r="DD201" s="1">
        <v>5</v>
      </c>
      <c r="DE201" s="1">
        <v>6</v>
      </c>
      <c r="DF201" s="1">
        <v>5</v>
      </c>
      <c r="DG201" s="1">
        <v>5</v>
      </c>
      <c r="DH201" s="1">
        <v>5</v>
      </c>
      <c r="DI201" s="1">
        <v>6</v>
      </c>
      <c r="DJ201" s="1">
        <v>3</v>
      </c>
      <c r="DK201" s="1">
        <v>2</v>
      </c>
      <c r="DL201" s="1">
        <v>7</v>
      </c>
      <c r="DM201" s="19">
        <v>7</v>
      </c>
      <c r="DN201" s="19">
        <v>5</v>
      </c>
      <c r="DO201" s="1">
        <v>3</v>
      </c>
      <c r="DP201" s="1">
        <v>5</v>
      </c>
      <c r="DQ201" s="1">
        <v>7</v>
      </c>
      <c r="DR201" s="1">
        <v>6</v>
      </c>
      <c r="DS201" s="1">
        <v>6</v>
      </c>
      <c r="DT201" s="1">
        <v>6</v>
      </c>
      <c r="DU201" s="27">
        <v>7</v>
      </c>
      <c r="DV201" s="27">
        <v>7</v>
      </c>
      <c r="DW201" s="27">
        <v>7</v>
      </c>
      <c r="DX201" s="27">
        <v>1</v>
      </c>
      <c r="DY201" s="27">
        <v>1</v>
      </c>
      <c r="DZ201" s="27">
        <v>1</v>
      </c>
      <c r="EA201" s="27">
        <v>1</v>
      </c>
      <c r="EB201" s="27">
        <v>6</v>
      </c>
      <c r="EC201" s="27">
        <v>6</v>
      </c>
      <c r="ED201" s="27">
        <v>7</v>
      </c>
      <c r="EE201" s="27">
        <v>1</v>
      </c>
      <c r="EF201" s="27">
        <v>1</v>
      </c>
      <c r="EG201" s="27">
        <v>7</v>
      </c>
      <c r="EH201" s="27">
        <v>7</v>
      </c>
      <c r="EI201" s="27">
        <v>7</v>
      </c>
      <c r="EJ201" s="27">
        <v>7</v>
      </c>
      <c r="EK201" s="27">
        <v>7</v>
      </c>
      <c r="EL201" s="27">
        <v>7</v>
      </c>
      <c r="EM201" s="27">
        <v>1</v>
      </c>
      <c r="EN201" s="27">
        <v>1</v>
      </c>
      <c r="EO201" s="27">
        <v>6</v>
      </c>
      <c r="EP201" s="27">
        <v>6</v>
      </c>
      <c r="EQ201" s="27">
        <v>4</v>
      </c>
      <c r="ER201" s="27">
        <v>7</v>
      </c>
      <c r="ES201" s="27">
        <v>7</v>
      </c>
      <c r="ET201" s="27">
        <v>4</v>
      </c>
      <c r="EU201" s="27">
        <v>3</v>
      </c>
      <c r="EV201" s="27">
        <v>18</v>
      </c>
      <c r="EW201" s="27">
        <v>2</v>
      </c>
      <c r="EY201" s="27">
        <v>1</v>
      </c>
      <c r="FA201" s="27">
        <v>2</v>
      </c>
      <c r="FB201" s="28" t="s">
        <v>896</v>
      </c>
      <c r="FC201" s="27">
        <v>0</v>
      </c>
      <c r="FD201" s="1">
        <v>4</v>
      </c>
      <c r="FE201" s="4"/>
      <c r="FF201" s="4"/>
      <c r="FG201" s="4"/>
      <c r="FH201" s="4"/>
      <c r="FI201" s="4"/>
      <c r="FJ201" s="23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26"/>
      <c r="GF201" s="26"/>
      <c r="GG201" s="4"/>
      <c r="JH201" s="1"/>
      <c r="JV201" s="1"/>
      <c r="KM201" s="4"/>
      <c r="LA201" s="4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</row>
    <row r="202" spans="1:376" x14ac:dyDescent="0.35">
      <c r="A202" s="14">
        <v>43496</v>
      </c>
      <c r="B202" s="16" t="s">
        <v>139</v>
      </c>
      <c r="C202" s="16" t="s">
        <v>363</v>
      </c>
      <c r="D202" s="1">
        <v>201</v>
      </c>
      <c r="E202" s="1">
        <v>5</v>
      </c>
      <c r="F202" s="1">
        <v>5</v>
      </c>
      <c r="G202" s="1">
        <v>0</v>
      </c>
      <c r="H202" s="1">
        <v>51</v>
      </c>
      <c r="I202" s="1">
        <v>1</v>
      </c>
      <c r="J202" s="1">
        <v>1</v>
      </c>
      <c r="K202" s="18">
        <v>0</v>
      </c>
      <c r="L202" s="18">
        <v>1</v>
      </c>
      <c r="M202" s="18">
        <v>1</v>
      </c>
      <c r="N202" s="18">
        <v>1</v>
      </c>
      <c r="O202" s="18">
        <v>1</v>
      </c>
      <c r="P202" s="4">
        <v>0.8</v>
      </c>
      <c r="Q202" s="3">
        <v>38</v>
      </c>
      <c r="R202" s="1">
        <v>52</v>
      </c>
      <c r="S202" s="1">
        <v>47</v>
      </c>
      <c r="T202" s="1">
        <v>40</v>
      </c>
      <c r="U202" s="1">
        <v>42</v>
      </c>
      <c r="V202" s="1">
        <v>39</v>
      </c>
      <c r="W202" s="1">
        <v>46</v>
      </c>
      <c r="X202" s="1">
        <v>42</v>
      </c>
      <c r="Y202" s="1">
        <v>40</v>
      </c>
      <c r="Z202" s="1">
        <v>272</v>
      </c>
      <c r="AA202" s="1">
        <v>231</v>
      </c>
      <c r="AB202" s="1">
        <v>242</v>
      </c>
      <c r="AC202" s="1">
        <v>226</v>
      </c>
      <c r="AD202" s="1">
        <v>219</v>
      </c>
      <c r="AE202" s="1">
        <v>258</v>
      </c>
      <c r="AF202" s="1">
        <v>214</v>
      </c>
      <c r="AG202" s="1">
        <v>217</v>
      </c>
      <c r="AH202" s="1">
        <v>208</v>
      </c>
      <c r="AI202" s="4">
        <v>248.33</v>
      </c>
      <c r="AJ202" s="4">
        <v>234.33</v>
      </c>
      <c r="AK202" s="4">
        <v>213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9">
        <v>0</v>
      </c>
      <c r="AT202" s="19">
        <v>0</v>
      </c>
      <c r="AU202" s="19">
        <v>0</v>
      </c>
      <c r="AV202" s="19">
        <v>0</v>
      </c>
      <c r="AW202" s="19">
        <v>0</v>
      </c>
      <c r="AX202" s="19">
        <f t="shared" ref="AX202:BC202" si="100">AL202+AL203+AL204+AL205</f>
        <v>1</v>
      </c>
      <c r="AY202" s="19">
        <f t="shared" si="100"/>
        <v>12</v>
      </c>
      <c r="AZ202" s="19">
        <f t="shared" si="100"/>
        <v>0</v>
      </c>
      <c r="BA202" s="19">
        <f t="shared" si="100"/>
        <v>0</v>
      </c>
      <c r="BB202" s="19">
        <f t="shared" si="100"/>
        <v>0</v>
      </c>
      <c r="BC202" s="19">
        <f t="shared" si="100"/>
        <v>0</v>
      </c>
      <c r="BD202" s="1">
        <f>AX202*3</f>
        <v>3</v>
      </c>
      <c r="BE202" s="1">
        <f t="shared" ref="BE202:BI202" si="101">AY202*3</f>
        <v>36</v>
      </c>
      <c r="BF202" s="1">
        <f t="shared" si="101"/>
        <v>0</v>
      </c>
      <c r="BG202" s="1">
        <f t="shared" si="101"/>
        <v>0</v>
      </c>
      <c r="BH202" s="1">
        <f t="shared" si="101"/>
        <v>0</v>
      </c>
      <c r="BI202" s="1">
        <f t="shared" si="101"/>
        <v>0</v>
      </c>
      <c r="BJ202" s="1">
        <f>AX202+AY202+AZ202</f>
        <v>13</v>
      </c>
      <c r="BK202" s="1">
        <f>BA202+BB202+BC202</f>
        <v>0</v>
      </c>
      <c r="BL202" s="1">
        <f>BJ202*3</f>
        <v>39</v>
      </c>
      <c r="BM202" s="1">
        <f>BK202*3</f>
        <v>0</v>
      </c>
      <c r="BN202" s="1">
        <f>BL202/3</f>
        <v>13</v>
      </c>
      <c r="BO202" s="1">
        <f>BM202/3</f>
        <v>0</v>
      </c>
      <c r="BP202" s="4">
        <v>235.33333333333334</v>
      </c>
      <c r="BQ202" s="4">
        <v>234.33333333333334</v>
      </c>
      <c r="BR202" s="4">
        <v>213</v>
      </c>
      <c r="BS202" s="4">
        <v>234.33</v>
      </c>
      <c r="BT202" s="4">
        <v>213</v>
      </c>
      <c r="BU202" s="4">
        <v>3</v>
      </c>
      <c r="BV202" s="1">
        <v>0</v>
      </c>
      <c r="BW202" s="1">
        <v>4</v>
      </c>
      <c r="BX202" s="1">
        <v>4</v>
      </c>
      <c r="BY202" s="1">
        <v>4</v>
      </c>
      <c r="BZ202" s="1">
        <v>1</v>
      </c>
      <c r="CA202" s="1">
        <v>1</v>
      </c>
      <c r="CB202" s="1">
        <v>1</v>
      </c>
      <c r="CC202" s="1">
        <v>1</v>
      </c>
      <c r="CD202" s="1">
        <v>1</v>
      </c>
      <c r="CE202" s="1">
        <v>1</v>
      </c>
      <c r="CF202" s="1">
        <v>1</v>
      </c>
      <c r="CG202" s="1">
        <v>1</v>
      </c>
      <c r="CH202" s="1">
        <v>0</v>
      </c>
      <c r="CI202" s="1">
        <v>6</v>
      </c>
      <c r="CJ202" s="1">
        <v>6</v>
      </c>
      <c r="CK202" s="1">
        <v>6</v>
      </c>
      <c r="CL202" s="1">
        <v>6</v>
      </c>
      <c r="CM202" s="1">
        <v>5</v>
      </c>
      <c r="CN202" s="1">
        <v>6</v>
      </c>
      <c r="CO202" s="1">
        <v>6</v>
      </c>
      <c r="CP202" s="1">
        <v>4</v>
      </c>
      <c r="CQ202" s="1">
        <v>4</v>
      </c>
      <c r="CR202" s="1">
        <v>6</v>
      </c>
      <c r="CS202" s="1">
        <v>4</v>
      </c>
      <c r="CT202" s="1">
        <v>4</v>
      </c>
      <c r="CU202" s="1">
        <v>3</v>
      </c>
      <c r="CV202" s="1">
        <v>3</v>
      </c>
      <c r="CW202" s="1">
        <v>4</v>
      </c>
      <c r="CX202" s="1">
        <v>4</v>
      </c>
      <c r="CY202" s="1">
        <v>4</v>
      </c>
      <c r="CZ202" s="1">
        <v>5</v>
      </c>
      <c r="DA202" s="1">
        <v>3</v>
      </c>
      <c r="DB202" s="1">
        <v>5</v>
      </c>
      <c r="DC202" s="1">
        <v>4</v>
      </c>
      <c r="DD202" s="1">
        <v>4</v>
      </c>
      <c r="DE202" s="1">
        <v>5</v>
      </c>
      <c r="DF202" s="1">
        <v>5</v>
      </c>
      <c r="DG202" s="1">
        <v>5</v>
      </c>
      <c r="DH202" s="1">
        <v>5</v>
      </c>
      <c r="DI202" s="1">
        <v>5</v>
      </c>
      <c r="DJ202" s="1">
        <v>5</v>
      </c>
      <c r="DK202" s="1">
        <v>5</v>
      </c>
      <c r="DL202" s="1">
        <v>4</v>
      </c>
      <c r="DM202" s="19">
        <v>5</v>
      </c>
      <c r="DN202" s="19">
        <v>6</v>
      </c>
      <c r="DO202" s="1">
        <v>4</v>
      </c>
      <c r="DP202" s="1">
        <v>4</v>
      </c>
      <c r="DQ202" s="1">
        <v>4</v>
      </c>
      <c r="DR202" s="1">
        <v>5</v>
      </c>
      <c r="DS202" s="1">
        <v>5</v>
      </c>
      <c r="DT202" s="1">
        <v>5</v>
      </c>
      <c r="DU202" s="27">
        <v>6</v>
      </c>
      <c r="DV202" s="27">
        <v>7</v>
      </c>
      <c r="DW202" s="27">
        <v>5</v>
      </c>
      <c r="DX202" s="27">
        <v>1</v>
      </c>
      <c r="DY202" s="27">
        <v>1</v>
      </c>
      <c r="DZ202" s="27">
        <v>4</v>
      </c>
      <c r="EA202" s="27">
        <v>1</v>
      </c>
      <c r="EB202" s="27">
        <v>7</v>
      </c>
      <c r="EC202" s="27">
        <v>6</v>
      </c>
      <c r="ED202" s="27">
        <v>4</v>
      </c>
      <c r="EE202" s="27">
        <v>6</v>
      </c>
      <c r="EF202" s="27">
        <v>4</v>
      </c>
      <c r="EG202" s="27">
        <v>4</v>
      </c>
      <c r="EH202" s="27">
        <v>7</v>
      </c>
      <c r="EI202" s="27">
        <v>7</v>
      </c>
      <c r="EJ202" s="27">
        <v>6</v>
      </c>
      <c r="EK202" s="27">
        <v>6</v>
      </c>
      <c r="EL202" s="27">
        <v>6</v>
      </c>
      <c r="EM202" s="27">
        <v>1</v>
      </c>
      <c r="EN202" s="27">
        <v>1</v>
      </c>
      <c r="EO202" s="27">
        <v>6</v>
      </c>
      <c r="EP202" s="27">
        <v>6</v>
      </c>
      <c r="EQ202" s="27">
        <v>4</v>
      </c>
      <c r="ER202" s="27">
        <v>4</v>
      </c>
      <c r="ES202" s="27">
        <v>6</v>
      </c>
      <c r="ET202" s="27">
        <v>4</v>
      </c>
      <c r="EU202" s="27">
        <v>4</v>
      </c>
      <c r="EV202" s="27">
        <v>21</v>
      </c>
      <c r="EW202" s="27">
        <v>2</v>
      </c>
      <c r="EY202" s="27">
        <v>1</v>
      </c>
      <c r="FA202" s="27">
        <v>3</v>
      </c>
      <c r="FB202" s="28" t="s">
        <v>897</v>
      </c>
      <c r="FC202" s="27">
        <v>0</v>
      </c>
      <c r="FD202" s="1">
        <v>5</v>
      </c>
      <c r="FE202" s="4">
        <v>6</v>
      </c>
      <c r="FF202" s="4">
        <v>4.5</v>
      </c>
      <c r="FG202" s="4">
        <v>5.25</v>
      </c>
      <c r="FH202" s="4">
        <v>4.83</v>
      </c>
      <c r="FI202" s="4">
        <v>4.75</v>
      </c>
      <c r="FJ202" s="23">
        <v>5.75</v>
      </c>
      <c r="FK202" s="4">
        <v>5.08</v>
      </c>
      <c r="FL202" s="4">
        <v>4.88</v>
      </c>
      <c r="FM202" s="4">
        <v>5.25</v>
      </c>
      <c r="FN202" s="4">
        <v>4</v>
      </c>
      <c r="FO202" s="4">
        <v>4.92</v>
      </c>
      <c r="FP202" s="4">
        <v>5.58</v>
      </c>
      <c r="FQ202" s="4">
        <v>4.38</v>
      </c>
      <c r="FR202" s="4">
        <v>4.25</v>
      </c>
      <c r="FS202" s="4">
        <v>6.25</v>
      </c>
      <c r="FT202" s="4">
        <v>5</v>
      </c>
      <c r="FU202" s="4">
        <v>4.25</v>
      </c>
      <c r="FV202" s="4">
        <v>6</v>
      </c>
      <c r="FW202" s="4">
        <v>4.5</v>
      </c>
      <c r="FX202" s="4">
        <v>5.75</v>
      </c>
      <c r="FY202" s="4">
        <v>5.38</v>
      </c>
      <c r="FZ202" s="4">
        <v>4.83</v>
      </c>
      <c r="GA202" s="4">
        <v>2.25</v>
      </c>
      <c r="GB202" s="4">
        <v>4</v>
      </c>
      <c r="GC202" s="4">
        <v>5</v>
      </c>
      <c r="GD202" s="4">
        <v>3.25</v>
      </c>
      <c r="GE202" s="26"/>
      <c r="GF202" s="26"/>
      <c r="GG202" s="4"/>
      <c r="JH202" s="1"/>
      <c r="JV202" s="1"/>
      <c r="KM202" s="4"/>
      <c r="LA202" s="4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</row>
    <row r="203" spans="1:376" x14ac:dyDescent="0.35">
      <c r="A203" s="14">
        <v>43496</v>
      </c>
      <c r="B203" s="16" t="s">
        <v>139</v>
      </c>
      <c r="C203" s="16" t="s">
        <v>364</v>
      </c>
      <c r="D203" s="1">
        <v>202</v>
      </c>
      <c r="E203" s="1">
        <v>5</v>
      </c>
      <c r="F203" s="1">
        <v>5</v>
      </c>
      <c r="H203" s="1">
        <v>51</v>
      </c>
      <c r="I203" s="1">
        <v>2</v>
      </c>
      <c r="K203" s="18">
        <v>0</v>
      </c>
      <c r="L203" s="18">
        <v>0</v>
      </c>
      <c r="M203" s="18">
        <v>1</v>
      </c>
      <c r="N203" s="18">
        <v>1</v>
      </c>
      <c r="O203" s="18">
        <v>1</v>
      </c>
      <c r="P203" s="4">
        <v>0.6</v>
      </c>
      <c r="Q203" s="3">
        <v>66</v>
      </c>
      <c r="R203" s="1">
        <v>46</v>
      </c>
      <c r="S203" s="1">
        <v>71</v>
      </c>
      <c r="T203" s="1">
        <v>47</v>
      </c>
      <c r="U203" s="1">
        <v>47</v>
      </c>
      <c r="V203" s="1">
        <v>84</v>
      </c>
      <c r="W203" s="1">
        <v>55</v>
      </c>
      <c r="X203" s="1">
        <v>68</v>
      </c>
      <c r="Y203" s="1">
        <v>57</v>
      </c>
      <c r="AI203" s="4"/>
      <c r="AJ203" s="4"/>
      <c r="AK203" s="4"/>
      <c r="AL203" s="1">
        <v>1</v>
      </c>
      <c r="AM203" s="1">
        <v>12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9">
        <v>0</v>
      </c>
      <c r="AT203" s="19">
        <v>0</v>
      </c>
      <c r="AU203" s="19">
        <v>0</v>
      </c>
      <c r="AV203" s="19">
        <v>0</v>
      </c>
      <c r="AW203" s="19">
        <v>0</v>
      </c>
      <c r="AX203" s="19"/>
      <c r="AY203"/>
      <c r="AZ203"/>
      <c r="BA203"/>
      <c r="BB203"/>
      <c r="BC203"/>
      <c r="BP203" s="4"/>
      <c r="BQ203" s="4"/>
      <c r="BR203" s="4"/>
      <c r="BS203" s="4"/>
      <c r="BT203" s="4"/>
      <c r="BU203" s="4"/>
      <c r="CI203" s="1">
        <v>5</v>
      </c>
      <c r="CJ203" s="1">
        <v>7</v>
      </c>
      <c r="CK203" s="1">
        <v>6</v>
      </c>
      <c r="CL203" s="1">
        <v>5</v>
      </c>
      <c r="CM203" s="1">
        <v>6</v>
      </c>
      <c r="CN203" s="1">
        <v>7</v>
      </c>
      <c r="CO203" s="1">
        <v>2</v>
      </c>
      <c r="CP203" s="1">
        <v>7</v>
      </c>
      <c r="CQ203" s="1">
        <v>3</v>
      </c>
      <c r="CR203" s="1">
        <v>3</v>
      </c>
      <c r="CS203" s="1">
        <v>4</v>
      </c>
      <c r="CT203" s="1">
        <v>1</v>
      </c>
      <c r="CU203" s="1">
        <v>3</v>
      </c>
      <c r="CV203" s="1">
        <v>2</v>
      </c>
      <c r="CW203" s="1">
        <v>5</v>
      </c>
      <c r="CX203" s="1">
        <v>3</v>
      </c>
      <c r="CY203" s="1">
        <v>4</v>
      </c>
      <c r="CZ203" s="1">
        <v>5</v>
      </c>
      <c r="DA203" s="1">
        <v>2</v>
      </c>
      <c r="DB203" s="1">
        <v>2</v>
      </c>
      <c r="DC203" s="1">
        <v>5</v>
      </c>
      <c r="DD203" s="1">
        <v>5</v>
      </c>
      <c r="DE203" s="1">
        <v>6</v>
      </c>
      <c r="DF203" s="1">
        <v>6</v>
      </c>
      <c r="DG203" s="1">
        <v>5</v>
      </c>
      <c r="DH203" s="1">
        <v>7</v>
      </c>
      <c r="DI203" s="1">
        <v>5</v>
      </c>
      <c r="DJ203" s="1">
        <v>6</v>
      </c>
      <c r="DK203" s="1">
        <v>7</v>
      </c>
      <c r="DL203" s="1">
        <v>7</v>
      </c>
      <c r="DM203" s="19">
        <v>7</v>
      </c>
      <c r="DN203" s="19">
        <v>7</v>
      </c>
      <c r="DO203" s="1">
        <v>6</v>
      </c>
      <c r="DP203" s="1">
        <v>1</v>
      </c>
      <c r="DQ203" s="1">
        <v>6</v>
      </c>
      <c r="DR203" s="1">
        <v>3</v>
      </c>
      <c r="DS203" s="1">
        <v>7</v>
      </c>
      <c r="DT203" s="1">
        <v>2</v>
      </c>
      <c r="DU203" s="27">
        <v>3</v>
      </c>
      <c r="DV203" s="27">
        <v>2</v>
      </c>
      <c r="DW203" s="27">
        <v>6</v>
      </c>
      <c r="DX203" s="27">
        <v>7</v>
      </c>
      <c r="DY203" s="27">
        <v>7</v>
      </c>
      <c r="DZ203" s="27">
        <v>7</v>
      </c>
      <c r="EA203" s="27">
        <v>7</v>
      </c>
      <c r="EB203" s="27">
        <v>6</v>
      </c>
      <c r="EC203" s="27">
        <v>4</v>
      </c>
      <c r="ED203" s="27">
        <v>3</v>
      </c>
      <c r="EE203" s="27">
        <v>5</v>
      </c>
      <c r="EF203" s="27">
        <v>1</v>
      </c>
      <c r="EG203" s="27">
        <v>7</v>
      </c>
      <c r="EH203" s="27">
        <v>2</v>
      </c>
      <c r="EI203" s="27">
        <v>1</v>
      </c>
      <c r="EJ203" s="27">
        <v>7</v>
      </c>
      <c r="EK203" s="27">
        <v>3</v>
      </c>
      <c r="EL203" s="27">
        <v>2</v>
      </c>
      <c r="EM203" s="27">
        <v>1</v>
      </c>
      <c r="EN203" s="27">
        <v>1</v>
      </c>
      <c r="EO203" s="27">
        <v>1</v>
      </c>
      <c r="EP203" s="27">
        <v>1</v>
      </c>
      <c r="EQ203" s="27">
        <v>1</v>
      </c>
      <c r="ER203" s="27">
        <v>7</v>
      </c>
      <c r="ES203" s="27">
        <v>5</v>
      </c>
      <c r="ET203" s="27">
        <v>1</v>
      </c>
      <c r="EU203" s="27">
        <v>1</v>
      </c>
      <c r="EV203" s="27">
        <v>18</v>
      </c>
      <c r="EW203" s="27">
        <v>1</v>
      </c>
      <c r="EY203" s="27">
        <v>1</v>
      </c>
      <c r="FA203" s="27">
        <v>1</v>
      </c>
      <c r="FB203" s="28" t="s">
        <v>794</v>
      </c>
      <c r="FC203" s="27">
        <v>0</v>
      </c>
      <c r="FD203" s="1">
        <v>4</v>
      </c>
      <c r="FE203" s="4"/>
      <c r="FF203" s="4"/>
      <c r="FG203" s="4"/>
      <c r="FH203" s="4"/>
      <c r="FI203" s="4"/>
      <c r="FJ203" s="23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26"/>
      <c r="GF203" s="26"/>
      <c r="GG203" s="4"/>
      <c r="JH203" s="1"/>
      <c r="JV203" s="1"/>
      <c r="KM203" s="4"/>
      <c r="LA203" s="4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</row>
    <row r="204" spans="1:376" x14ac:dyDescent="0.35">
      <c r="A204" s="14">
        <v>43496</v>
      </c>
      <c r="B204" s="16" t="s">
        <v>139</v>
      </c>
      <c r="C204" s="16" t="s">
        <v>365</v>
      </c>
      <c r="D204" s="1">
        <v>203</v>
      </c>
      <c r="E204" s="1">
        <v>5</v>
      </c>
      <c r="F204" s="1">
        <v>5</v>
      </c>
      <c r="H204" s="1">
        <v>51</v>
      </c>
      <c r="I204" s="1">
        <v>3</v>
      </c>
      <c r="K204" s="18">
        <v>0</v>
      </c>
      <c r="L204" s="18">
        <v>1</v>
      </c>
      <c r="M204" s="18">
        <v>1</v>
      </c>
      <c r="N204" s="18">
        <v>1</v>
      </c>
      <c r="O204" s="18">
        <v>0</v>
      </c>
      <c r="P204" s="4">
        <v>0.6</v>
      </c>
      <c r="Q204" s="3">
        <v>38</v>
      </c>
      <c r="R204" s="1">
        <v>50</v>
      </c>
      <c r="S204" s="1">
        <v>57</v>
      </c>
      <c r="T204" s="1">
        <v>61</v>
      </c>
      <c r="U204" s="1">
        <v>51</v>
      </c>
      <c r="V204" s="1">
        <v>32</v>
      </c>
      <c r="W204" s="1">
        <v>53</v>
      </c>
      <c r="X204" s="1">
        <v>47</v>
      </c>
      <c r="Y204" s="1">
        <v>47</v>
      </c>
      <c r="AI204" s="4"/>
      <c r="AJ204" s="4"/>
      <c r="AK204" s="4"/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9">
        <v>0</v>
      </c>
      <c r="AT204" s="19">
        <v>0</v>
      </c>
      <c r="AU204" s="19">
        <v>0</v>
      </c>
      <c r="AV204" s="19">
        <v>0</v>
      </c>
      <c r="AW204" s="19">
        <v>0</v>
      </c>
      <c r="AX204" s="19"/>
      <c r="AY204"/>
      <c r="AZ204"/>
      <c r="BA204"/>
      <c r="BB204"/>
      <c r="BC204"/>
      <c r="BP204" s="4"/>
      <c r="BQ204" s="4"/>
      <c r="BR204" s="4"/>
      <c r="BS204" s="4"/>
      <c r="BT204" s="4"/>
      <c r="BU204" s="4"/>
      <c r="CI204" s="1">
        <v>7</v>
      </c>
      <c r="CJ204" s="1">
        <v>7</v>
      </c>
      <c r="CK204" s="1">
        <v>7</v>
      </c>
      <c r="CL204" s="1">
        <v>7</v>
      </c>
      <c r="CM204" s="1">
        <v>7</v>
      </c>
      <c r="CN204" s="1">
        <v>7</v>
      </c>
      <c r="CO204" s="1">
        <v>7</v>
      </c>
      <c r="CP204" s="1">
        <v>2</v>
      </c>
      <c r="CQ204" s="1">
        <v>6</v>
      </c>
      <c r="CR204" s="1">
        <v>6</v>
      </c>
      <c r="CS204" s="1">
        <v>7</v>
      </c>
      <c r="CT204" s="1">
        <v>6</v>
      </c>
      <c r="CU204" s="1">
        <v>5</v>
      </c>
      <c r="CV204" s="1">
        <v>5</v>
      </c>
      <c r="CW204" s="1">
        <v>5</v>
      </c>
      <c r="CX204" s="1">
        <v>5</v>
      </c>
      <c r="CY204" s="1">
        <v>5</v>
      </c>
      <c r="CZ204" s="1">
        <v>7</v>
      </c>
      <c r="DA204" s="1">
        <v>6</v>
      </c>
      <c r="DB204" s="1">
        <v>6</v>
      </c>
      <c r="DC204" s="1">
        <v>5</v>
      </c>
      <c r="DD204" s="1">
        <v>7</v>
      </c>
      <c r="DE204" s="1">
        <v>6</v>
      </c>
      <c r="DF204" s="1">
        <v>5</v>
      </c>
      <c r="DG204" s="1">
        <v>4</v>
      </c>
      <c r="DH204" s="1">
        <v>5</v>
      </c>
      <c r="DI204" s="1">
        <v>6</v>
      </c>
      <c r="DJ204" s="1">
        <v>5</v>
      </c>
      <c r="DK204" s="1">
        <v>4</v>
      </c>
      <c r="DL204" s="1">
        <v>6</v>
      </c>
      <c r="DM204" s="19">
        <v>6</v>
      </c>
      <c r="DN204" s="19">
        <v>6</v>
      </c>
      <c r="DO204" s="1">
        <v>3</v>
      </c>
      <c r="DP204" s="1">
        <v>5</v>
      </c>
      <c r="DQ204" s="1">
        <v>4</v>
      </c>
      <c r="DR204" s="1">
        <v>5</v>
      </c>
      <c r="DS204" s="1">
        <v>6</v>
      </c>
      <c r="DT204" s="1">
        <v>6</v>
      </c>
      <c r="DU204" s="27">
        <v>7</v>
      </c>
      <c r="DV204" s="27">
        <v>7</v>
      </c>
      <c r="DW204" s="27">
        <v>7</v>
      </c>
      <c r="DX204" s="27">
        <v>4</v>
      </c>
      <c r="DY204" s="27">
        <v>4</v>
      </c>
      <c r="DZ204" s="27">
        <v>4</v>
      </c>
      <c r="EA204" s="27">
        <v>4</v>
      </c>
      <c r="EB204" s="27">
        <v>5</v>
      </c>
      <c r="EC204" s="27">
        <v>4</v>
      </c>
      <c r="ED204" s="27">
        <v>4</v>
      </c>
      <c r="EE204" s="27">
        <v>7</v>
      </c>
      <c r="EF204" s="27">
        <v>7</v>
      </c>
      <c r="EG204" s="27">
        <v>7</v>
      </c>
      <c r="EH204" s="27">
        <v>7</v>
      </c>
      <c r="EI204" s="27">
        <v>7</v>
      </c>
      <c r="EJ204" s="27">
        <v>4</v>
      </c>
      <c r="EK204" s="27">
        <v>4</v>
      </c>
      <c r="EL204" s="27">
        <v>4</v>
      </c>
      <c r="EM204" s="27">
        <v>4</v>
      </c>
      <c r="EN204" s="27">
        <v>4</v>
      </c>
      <c r="EO204" s="27">
        <v>7</v>
      </c>
      <c r="EP204" s="27">
        <v>7</v>
      </c>
      <c r="EQ204" s="27">
        <v>4</v>
      </c>
      <c r="ER204" s="27">
        <v>4</v>
      </c>
      <c r="ES204" s="27">
        <v>4</v>
      </c>
      <c r="ET204" s="27">
        <v>4</v>
      </c>
      <c r="EU204" s="27">
        <v>4</v>
      </c>
      <c r="EV204" s="27">
        <v>21</v>
      </c>
      <c r="EW204" s="27">
        <v>1</v>
      </c>
      <c r="EY204" s="27">
        <v>1</v>
      </c>
      <c r="FA204" s="27">
        <v>3</v>
      </c>
      <c r="FB204" s="28" t="s">
        <v>898</v>
      </c>
      <c r="FC204" s="27">
        <v>0</v>
      </c>
      <c r="FD204" s="1">
        <v>1</v>
      </c>
      <c r="FE204" s="4"/>
      <c r="FF204" s="4"/>
      <c r="FG204" s="4"/>
      <c r="FH204" s="4"/>
      <c r="FI204" s="4"/>
      <c r="FJ204" s="23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26"/>
      <c r="GF204" s="26"/>
      <c r="GG204" s="4"/>
      <c r="JH204" s="1"/>
      <c r="JV204" s="1"/>
      <c r="KM204" s="4"/>
      <c r="LA204" s="4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</row>
    <row r="205" spans="1:376" x14ac:dyDescent="0.35">
      <c r="A205" s="14">
        <v>43496</v>
      </c>
      <c r="B205" s="16" t="s">
        <v>139</v>
      </c>
      <c r="C205" s="16" t="s">
        <v>366</v>
      </c>
      <c r="D205" s="1">
        <v>204</v>
      </c>
      <c r="E205" s="1">
        <v>5</v>
      </c>
      <c r="F205" s="1">
        <v>5</v>
      </c>
      <c r="H205" s="1">
        <v>51</v>
      </c>
      <c r="I205" s="1">
        <v>4</v>
      </c>
      <c r="K205" s="18">
        <v>0</v>
      </c>
      <c r="L205" s="18">
        <v>1</v>
      </c>
      <c r="M205" s="18">
        <v>0</v>
      </c>
      <c r="N205" s="18">
        <v>1</v>
      </c>
      <c r="O205" s="18">
        <v>0</v>
      </c>
      <c r="P205" s="4">
        <v>0.4</v>
      </c>
      <c r="Q205" s="3">
        <v>130</v>
      </c>
      <c r="R205" s="1">
        <v>83</v>
      </c>
      <c r="S205" s="1">
        <v>67</v>
      </c>
      <c r="T205" s="1">
        <v>78</v>
      </c>
      <c r="U205" s="1">
        <v>79</v>
      </c>
      <c r="V205" s="1">
        <v>103</v>
      </c>
      <c r="W205" s="1">
        <v>60</v>
      </c>
      <c r="X205" s="1">
        <v>60</v>
      </c>
      <c r="Y205" s="1">
        <v>64</v>
      </c>
      <c r="AI205" s="4"/>
      <c r="AJ205" s="4"/>
      <c r="AK205" s="4"/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</v>
      </c>
      <c r="AS205" s="19">
        <v>24</v>
      </c>
      <c r="AT205" s="19">
        <v>0</v>
      </c>
      <c r="AU205" s="19">
        <v>0</v>
      </c>
      <c r="AV205" s="19">
        <v>0</v>
      </c>
      <c r="AW205" s="19">
        <v>0</v>
      </c>
      <c r="AX205" s="19"/>
      <c r="AY205"/>
      <c r="AZ205"/>
      <c r="BA205"/>
      <c r="BB205"/>
      <c r="BC205"/>
      <c r="BP205" s="4"/>
      <c r="BQ205" s="4"/>
      <c r="BR205" s="4"/>
      <c r="BS205" s="4"/>
      <c r="BT205" s="4"/>
      <c r="BU205" s="4"/>
      <c r="CI205" s="1">
        <v>6</v>
      </c>
      <c r="CJ205" s="1">
        <v>7</v>
      </c>
      <c r="CK205" s="1">
        <v>5</v>
      </c>
      <c r="CL205" s="1">
        <v>5</v>
      </c>
      <c r="CM205" s="1">
        <v>6</v>
      </c>
      <c r="CN205" s="1">
        <v>6</v>
      </c>
      <c r="CO205" s="1">
        <v>5</v>
      </c>
      <c r="CP205" s="1">
        <v>5</v>
      </c>
      <c r="CQ205" s="1">
        <v>4</v>
      </c>
      <c r="CR205" s="1">
        <v>5</v>
      </c>
      <c r="CS205" s="1">
        <v>6</v>
      </c>
      <c r="CT205" s="1">
        <v>3</v>
      </c>
      <c r="CU205" s="1">
        <v>5</v>
      </c>
      <c r="CV205" s="1">
        <v>4</v>
      </c>
      <c r="CW205" s="1">
        <v>5</v>
      </c>
      <c r="CX205" s="1">
        <v>5</v>
      </c>
      <c r="CY205" s="1">
        <v>5</v>
      </c>
      <c r="CZ205" s="1">
        <v>5</v>
      </c>
      <c r="DA205" s="1">
        <v>6</v>
      </c>
      <c r="DB205" s="1">
        <v>6</v>
      </c>
      <c r="DC205" s="1">
        <v>5</v>
      </c>
      <c r="DD205" s="1">
        <v>3</v>
      </c>
      <c r="DE205" s="1">
        <v>6</v>
      </c>
      <c r="DF205" s="1">
        <v>6</v>
      </c>
      <c r="DG205" s="1">
        <v>5</v>
      </c>
      <c r="DH205" s="1">
        <v>5</v>
      </c>
      <c r="DI205" s="1">
        <v>3</v>
      </c>
      <c r="DJ205" s="1">
        <v>5</v>
      </c>
      <c r="DK205" s="1">
        <v>3</v>
      </c>
      <c r="DL205" s="1">
        <v>2</v>
      </c>
      <c r="DM205" s="19">
        <v>2</v>
      </c>
      <c r="DN205" s="19">
        <v>5</v>
      </c>
      <c r="DO205" s="1">
        <v>5</v>
      </c>
      <c r="DP205" s="1">
        <v>3</v>
      </c>
      <c r="DQ205" s="1">
        <v>5</v>
      </c>
      <c r="DR205" s="1">
        <v>4</v>
      </c>
      <c r="DS205" s="1">
        <v>5</v>
      </c>
      <c r="DT205" s="1">
        <v>6</v>
      </c>
      <c r="DU205" s="27">
        <v>6</v>
      </c>
      <c r="DV205" s="27">
        <v>6</v>
      </c>
      <c r="DW205" s="27">
        <v>5</v>
      </c>
      <c r="DX205" s="27">
        <v>5</v>
      </c>
      <c r="DY205" s="27">
        <v>6</v>
      </c>
      <c r="DZ205" s="27">
        <v>4</v>
      </c>
      <c r="EA205" s="27">
        <v>5</v>
      </c>
      <c r="EB205" s="27">
        <v>7</v>
      </c>
      <c r="EC205" s="27">
        <v>6</v>
      </c>
      <c r="ED205" s="27">
        <v>6</v>
      </c>
      <c r="EE205" s="27">
        <v>6</v>
      </c>
      <c r="EF205" s="27">
        <v>6</v>
      </c>
      <c r="EG205" s="27">
        <v>5</v>
      </c>
      <c r="EH205" s="27">
        <v>6</v>
      </c>
      <c r="EI205" s="27">
        <v>6</v>
      </c>
      <c r="EJ205" s="27">
        <v>5</v>
      </c>
      <c r="EK205" s="27">
        <v>6</v>
      </c>
      <c r="EL205" s="27">
        <v>5</v>
      </c>
      <c r="EM205" s="27">
        <v>4</v>
      </c>
      <c r="EN205" s="27">
        <v>2</v>
      </c>
      <c r="EO205" s="27">
        <v>3</v>
      </c>
      <c r="EP205" s="27">
        <v>5</v>
      </c>
      <c r="EQ205" s="27">
        <v>3</v>
      </c>
      <c r="ER205" s="27">
        <v>5</v>
      </c>
      <c r="ES205" s="27">
        <v>5</v>
      </c>
      <c r="ET205" s="27">
        <v>4</v>
      </c>
      <c r="EU205" s="27">
        <v>4</v>
      </c>
      <c r="EV205" s="27">
        <v>18</v>
      </c>
      <c r="EW205" s="27">
        <v>1</v>
      </c>
      <c r="EY205" s="27">
        <v>1</v>
      </c>
      <c r="FA205" s="27">
        <v>1</v>
      </c>
      <c r="FB205" s="28" t="s">
        <v>794</v>
      </c>
      <c r="FC205" s="27">
        <v>0</v>
      </c>
      <c r="FD205" s="1">
        <v>7</v>
      </c>
      <c r="FE205" s="4"/>
      <c r="FF205" s="4"/>
      <c r="FG205" s="4"/>
      <c r="FH205" s="4"/>
      <c r="FI205" s="4"/>
      <c r="FJ205" s="23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26"/>
      <c r="GF205" s="26"/>
      <c r="GG205" s="4"/>
      <c r="JH205" s="1"/>
      <c r="JV205" s="1"/>
      <c r="KM205" s="4"/>
      <c r="LA205" s="4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</row>
    <row r="206" spans="1:376" x14ac:dyDescent="0.35">
      <c r="A206" s="14">
        <v>43503</v>
      </c>
      <c r="B206" s="16" t="s">
        <v>140</v>
      </c>
      <c r="C206" s="16" t="s">
        <v>367</v>
      </c>
      <c r="D206" s="1">
        <v>205</v>
      </c>
      <c r="E206" s="1">
        <v>5</v>
      </c>
      <c r="F206" s="1">
        <v>5</v>
      </c>
      <c r="G206" s="1">
        <v>0</v>
      </c>
      <c r="H206" s="1">
        <v>52</v>
      </c>
      <c r="I206" s="1">
        <v>1</v>
      </c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>
        <v>0</v>
      </c>
      <c r="P206" s="4">
        <v>0.8</v>
      </c>
      <c r="Q206" s="3">
        <v>14</v>
      </c>
      <c r="R206" s="1">
        <v>44</v>
      </c>
      <c r="S206" s="1">
        <v>51</v>
      </c>
      <c r="T206" s="1">
        <v>95</v>
      </c>
      <c r="U206" s="1">
        <v>117</v>
      </c>
      <c r="V206" s="1">
        <v>110</v>
      </c>
      <c r="W206" s="1">
        <v>112</v>
      </c>
      <c r="X206" s="1">
        <v>128</v>
      </c>
      <c r="Y206" s="1">
        <v>147</v>
      </c>
      <c r="Z206" s="1">
        <v>233</v>
      </c>
      <c r="AA206" s="1">
        <v>208</v>
      </c>
      <c r="AB206" s="1">
        <v>188</v>
      </c>
      <c r="AC206" s="1">
        <v>339</v>
      </c>
      <c r="AD206" s="1">
        <v>442</v>
      </c>
      <c r="AE206" s="1">
        <v>440</v>
      </c>
      <c r="AF206" s="1">
        <v>328</v>
      </c>
      <c r="AG206" s="1">
        <v>360</v>
      </c>
      <c r="AH206" s="1">
        <v>360</v>
      </c>
      <c r="AI206" s="4">
        <v>209.67</v>
      </c>
      <c r="AJ206" s="4">
        <v>407</v>
      </c>
      <c r="AK206" s="4">
        <v>349.33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9">
        <v>0</v>
      </c>
      <c r="AT206" s="19">
        <v>0</v>
      </c>
      <c r="AU206" s="19">
        <v>0</v>
      </c>
      <c r="AV206" s="19">
        <v>0</v>
      </c>
      <c r="AW206" s="19">
        <v>0</v>
      </c>
      <c r="AX206" s="19">
        <f t="shared" ref="AX206:BC206" si="102">AL206+AL207+AL208+AL209</f>
        <v>0</v>
      </c>
      <c r="AY206" s="19">
        <f t="shared" si="102"/>
        <v>0</v>
      </c>
      <c r="AZ206" s="19">
        <f t="shared" si="102"/>
        <v>2</v>
      </c>
      <c r="BA206" s="19">
        <f t="shared" si="102"/>
        <v>0</v>
      </c>
      <c r="BB206" s="19">
        <f t="shared" si="102"/>
        <v>0</v>
      </c>
      <c r="BC206" s="19">
        <f t="shared" si="102"/>
        <v>1</v>
      </c>
      <c r="BD206" s="1">
        <f>AX206*3</f>
        <v>0</v>
      </c>
      <c r="BE206" s="1">
        <f t="shared" ref="BE206:BI206" si="103">AY206*3</f>
        <v>0</v>
      </c>
      <c r="BF206" s="1">
        <f t="shared" si="103"/>
        <v>6</v>
      </c>
      <c r="BG206" s="1">
        <f t="shared" si="103"/>
        <v>0</v>
      </c>
      <c r="BH206" s="1">
        <f t="shared" si="103"/>
        <v>0</v>
      </c>
      <c r="BI206" s="1">
        <f t="shared" si="103"/>
        <v>3</v>
      </c>
      <c r="BJ206" s="1">
        <f>AX206+AY206+AZ206</f>
        <v>2</v>
      </c>
      <c r="BK206" s="1">
        <f>BA206+BB206+BC206</f>
        <v>1</v>
      </c>
      <c r="BL206" s="1">
        <f>BJ206*3</f>
        <v>6</v>
      </c>
      <c r="BM206" s="1">
        <f>BK206*3</f>
        <v>3</v>
      </c>
      <c r="BN206" s="1">
        <f>BL206/3</f>
        <v>2</v>
      </c>
      <c r="BO206" s="1">
        <f>BM206/3</f>
        <v>1</v>
      </c>
      <c r="BP206" s="4">
        <v>207.66666666666666</v>
      </c>
      <c r="BQ206" s="4">
        <v>406</v>
      </c>
      <c r="BR206" s="4">
        <v>349.33333333333331</v>
      </c>
      <c r="BS206" s="4">
        <v>406</v>
      </c>
      <c r="BT206" s="4">
        <v>349.33</v>
      </c>
      <c r="BU206" s="4">
        <v>3.86</v>
      </c>
      <c r="BV206" s="1">
        <v>4</v>
      </c>
      <c r="BW206" s="1">
        <v>4</v>
      </c>
      <c r="BX206" s="1">
        <v>4</v>
      </c>
      <c r="BY206" s="1">
        <v>4</v>
      </c>
      <c r="BZ206" s="1">
        <v>0</v>
      </c>
      <c r="CA206" s="1">
        <v>1</v>
      </c>
      <c r="CB206" s="1">
        <v>1</v>
      </c>
      <c r="CC206" s="1">
        <v>1</v>
      </c>
      <c r="CD206" s="1">
        <v>0</v>
      </c>
      <c r="CE206" s="1">
        <v>1</v>
      </c>
      <c r="CF206" s="1">
        <v>1</v>
      </c>
      <c r="CG206" s="1">
        <v>1</v>
      </c>
      <c r="CH206" s="1">
        <v>0</v>
      </c>
      <c r="CI206" s="1">
        <v>5</v>
      </c>
      <c r="CJ206" s="1">
        <v>6</v>
      </c>
      <c r="CK206" s="1">
        <v>6</v>
      </c>
      <c r="CL206" s="1">
        <v>7</v>
      </c>
      <c r="CM206" s="1">
        <v>7</v>
      </c>
      <c r="CN206" s="1">
        <v>7</v>
      </c>
      <c r="CO206" s="1">
        <v>7</v>
      </c>
      <c r="CP206" s="1">
        <v>2</v>
      </c>
      <c r="CQ206" s="1">
        <v>6</v>
      </c>
      <c r="CR206" s="1">
        <v>6</v>
      </c>
      <c r="CS206" s="1">
        <v>6</v>
      </c>
      <c r="CT206" s="1">
        <v>6</v>
      </c>
      <c r="CU206" s="1">
        <v>6</v>
      </c>
      <c r="CV206" s="1">
        <v>6</v>
      </c>
      <c r="CW206" s="1">
        <v>6</v>
      </c>
      <c r="CX206" s="1">
        <v>6</v>
      </c>
      <c r="CY206" s="1">
        <v>6</v>
      </c>
      <c r="CZ206" s="1">
        <v>7</v>
      </c>
      <c r="DA206" s="1">
        <v>6</v>
      </c>
      <c r="DB206" s="1">
        <v>7</v>
      </c>
      <c r="DC206" s="1">
        <v>7</v>
      </c>
      <c r="DD206" s="1">
        <v>6</v>
      </c>
      <c r="DE206" s="1">
        <v>6</v>
      </c>
      <c r="DF206" s="1">
        <v>5</v>
      </c>
      <c r="DG206" s="1">
        <v>6</v>
      </c>
      <c r="DH206" s="1">
        <v>6</v>
      </c>
      <c r="DI206" s="1">
        <v>6</v>
      </c>
      <c r="DJ206" s="1">
        <v>6</v>
      </c>
      <c r="DK206" s="1">
        <v>5</v>
      </c>
      <c r="DL206" s="1">
        <v>7</v>
      </c>
      <c r="DM206" s="19">
        <v>7</v>
      </c>
      <c r="DN206" s="19">
        <v>6</v>
      </c>
      <c r="DO206" s="1">
        <v>4</v>
      </c>
      <c r="DP206" s="1">
        <v>5</v>
      </c>
      <c r="DQ206" s="1">
        <v>6</v>
      </c>
      <c r="DR206" s="1">
        <v>6</v>
      </c>
      <c r="DS206" s="1">
        <v>7</v>
      </c>
      <c r="DT206" s="1">
        <v>4</v>
      </c>
      <c r="DU206" s="27">
        <v>6</v>
      </c>
      <c r="DV206" s="27">
        <v>6</v>
      </c>
      <c r="DW206" s="27">
        <v>2</v>
      </c>
      <c r="DX206" s="27">
        <v>6</v>
      </c>
      <c r="DY206" s="27">
        <v>6</v>
      </c>
      <c r="DZ206" s="27">
        <v>6</v>
      </c>
      <c r="EA206" s="27">
        <v>4</v>
      </c>
      <c r="EB206" s="27">
        <v>6</v>
      </c>
      <c r="EC206" s="27">
        <v>6</v>
      </c>
      <c r="ED206" s="27">
        <v>4</v>
      </c>
      <c r="EE206" s="27">
        <v>6</v>
      </c>
      <c r="EF206" s="27">
        <v>6</v>
      </c>
      <c r="EG206" s="27">
        <v>6</v>
      </c>
      <c r="EH206" s="27">
        <v>6</v>
      </c>
      <c r="EI206" s="27">
        <v>7</v>
      </c>
      <c r="EJ206" s="27">
        <v>6</v>
      </c>
      <c r="EK206" s="27">
        <v>4</v>
      </c>
      <c r="EL206" s="27">
        <v>6</v>
      </c>
      <c r="EM206" s="27">
        <v>6</v>
      </c>
      <c r="EN206" s="27">
        <v>4</v>
      </c>
      <c r="EO206" s="27">
        <v>7</v>
      </c>
      <c r="EP206" s="27">
        <v>7</v>
      </c>
      <c r="EQ206" s="27">
        <v>7</v>
      </c>
      <c r="ER206" s="27">
        <v>5</v>
      </c>
      <c r="ES206" s="27">
        <v>6</v>
      </c>
      <c r="ET206" s="27">
        <v>6</v>
      </c>
      <c r="EU206" s="27">
        <v>6</v>
      </c>
      <c r="EV206" s="27">
        <v>21</v>
      </c>
      <c r="EW206" s="27">
        <v>1</v>
      </c>
      <c r="EY206" s="27">
        <v>1</v>
      </c>
      <c r="FA206" s="27">
        <v>3</v>
      </c>
      <c r="FB206" s="28" t="s">
        <v>899</v>
      </c>
      <c r="FC206" s="27">
        <v>0</v>
      </c>
      <c r="FD206" s="1">
        <v>6</v>
      </c>
      <c r="FE206" s="4">
        <v>6.32</v>
      </c>
      <c r="FF206" s="4">
        <v>5.63</v>
      </c>
      <c r="FG206" s="4">
        <v>6.94</v>
      </c>
      <c r="FH206" s="4">
        <v>6.33</v>
      </c>
      <c r="FI206" s="4">
        <v>6.25</v>
      </c>
      <c r="FJ206" s="23">
        <v>6.25</v>
      </c>
      <c r="FK206" s="4">
        <v>5.21</v>
      </c>
      <c r="FL206" s="4">
        <v>6.38</v>
      </c>
      <c r="FM206" s="4">
        <v>5</v>
      </c>
      <c r="FN206" s="4">
        <v>5.38</v>
      </c>
      <c r="FO206" s="4">
        <v>5.75</v>
      </c>
      <c r="FP206" s="4">
        <v>5.08</v>
      </c>
      <c r="FQ206" s="4">
        <v>2.88</v>
      </c>
      <c r="FR206" s="4">
        <v>1.75</v>
      </c>
      <c r="FS206" s="4">
        <v>4.5</v>
      </c>
      <c r="FT206" s="4">
        <v>4.5</v>
      </c>
      <c r="FU206" s="4">
        <v>2.75</v>
      </c>
      <c r="FV206" s="4">
        <v>5</v>
      </c>
      <c r="FW206" s="4">
        <v>4.75</v>
      </c>
      <c r="FX206" s="4">
        <v>5.25</v>
      </c>
      <c r="FY206" s="4">
        <v>5.5</v>
      </c>
      <c r="FZ206" s="4">
        <v>4.67</v>
      </c>
      <c r="GA206" s="4">
        <v>3.5</v>
      </c>
      <c r="GB206" s="4">
        <v>4.75</v>
      </c>
      <c r="GC206" s="4">
        <v>5.5</v>
      </c>
      <c r="GD206" s="4">
        <v>3.63</v>
      </c>
      <c r="GE206" s="26"/>
      <c r="GF206" s="26"/>
      <c r="GG206" s="4"/>
      <c r="JH206" s="1"/>
      <c r="JV206" s="1"/>
      <c r="KM206" s="4"/>
      <c r="LA206" s="4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</row>
    <row r="207" spans="1:376" x14ac:dyDescent="0.35">
      <c r="A207" s="14">
        <v>43503</v>
      </c>
      <c r="B207" s="16" t="s">
        <v>140</v>
      </c>
      <c r="C207" s="16" t="s">
        <v>368</v>
      </c>
      <c r="D207" s="1">
        <v>206</v>
      </c>
      <c r="E207" s="1">
        <v>5</v>
      </c>
      <c r="F207" s="1">
        <v>5</v>
      </c>
      <c r="H207" s="1">
        <v>52</v>
      </c>
      <c r="I207" s="1">
        <v>2</v>
      </c>
      <c r="K207" s="1">
        <v>0</v>
      </c>
      <c r="L207" s="1">
        <v>0</v>
      </c>
      <c r="M207" s="1">
        <v>0</v>
      </c>
      <c r="N207" s="1">
        <v>1</v>
      </c>
      <c r="O207" s="1">
        <v>0</v>
      </c>
      <c r="P207" s="4">
        <v>0.2</v>
      </c>
      <c r="Q207" s="3">
        <v>105</v>
      </c>
      <c r="R207" s="1">
        <v>79</v>
      </c>
      <c r="S207" s="1">
        <v>64</v>
      </c>
      <c r="T207" s="1">
        <v>74</v>
      </c>
      <c r="U207" s="1">
        <v>91</v>
      </c>
      <c r="V207" s="1">
        <v>116</v>
      </c>
      <c r="W207" s="1">
        <v>93</v>
      </c>
      <c r="X207" s="1">
        <v>95</v>
      </c>
      <c r="Y207" s="1">
        <v>70</v>
      </c>
      <c r="AI207" s="4"/>
      <c r="AJ207" s="4"/>
      <c r="AK207" s="4"/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9">
        <v>0</v>
      </c>
      <c r="AT207" s="19">
        <v>2</v>
      </c>
      <c r="AU207" s="19">
        <v>0</v>
      </c>
      <c r="AV207" s="19">
        <v>0</v>
      </c>
      <c r="AW207" s="19">
        <v>2</v>
      </c>
      <c r="AX207" s="19"/>
      <c r="AY207"/>
      <c r="AZ207"/>
      <c r="BA207"/>
      <c r="BB207"/>
      <c r="BC207"/>
      <c r="BP207" s="4"/>
      <c r="BQ207" s="4"/>
      <c r="BR207" s="4"/>
      <c r="BS207" s="4"/>
      <c r="BT207" s="4"/>
      <c r="BU207" s="4"/>
      <c r="CI207" s="1">
        <v>6</v>
      </c>
      <c r="CJ207" s="1">
        <v>6</v>
      </c>
      <c r="CK207" s="1">
        <v>6</v>
      </c>
      <c r="CL207" s="1">
        <v>6</v>
      </c>
      <c r="CM207" s="1">
        <v>5</v>
      </c>
      <c r="CN207" s="1">
        <v>5</v>
      </c>
      <c r="CO207" s="1">
        <v>6</v>
      </c>
      <c r="CP207" s="1">
        <v>5</v>
      </c>
      <c r="CQ207" s="1">
        <v>3</v>
      </c>
      <c r="CR207" s="1">
        <v>3</v>
      </c>
      <c r="CS207" s="1">
        <v>5</v>
      </c>
      <c r="CT207" s="1">
        <v>3</v>
      </c>
      <c r="CU207" s="1">
        <v>5</v>
      </c>
      <c r="CV207" s="1">
        <v>5</v>
      </c>
      <c r="CW207" s="1">
        <v>5</v>
      </c>
      <c r="CX207" s="1">
        <v>3</v>
      </c>
      <c r="CY207" s="1">
        <v>5</v>
      </c>
      <c r="CZ207" s="1">
        <v>5</v>
      </c>
      <c r="DA207" s="1">
        <v>6</v>
      </c>
      <c r="DB207" s="1">
        <v>6</v>
      </c>
      <c r="DC207" s="1">
        <v>6</v>
      </c>
      <c r="DD207" s="1">
        <v>6</v>
      </c>
      <c r="DE207" s="1">
        <v>5</v>
      </c>
      <c r="DF207" s="1">
        <v>6</v>
      </c>
      <c r="DG207" s="1">
        <v>5</v>
      </c>
      <c r="DH207" s="1">
        <v>7</v>
      </c>
      <c r="DI207" s="1">
        <v>6</v>
      </c>
      <c r="DJ207" s="1">
        <v>6</v>
      </c>
      <c r="DK207" s="1">
        <v>5</v>
      </c>
      <c r="DL207" s="1">
        <v>4</v>
      </c>
      <c r="DM207" s="19">
        <v>6</v>
      </c>
      <c r="DN207" s="19">
        <v>6</v>
      </c>
      <c r="DO207" s="1">
        <v>5</v>
      </c>
      <c r="DP207" s="1">
        <v>6</v>
      </c>
      <c r="DQ207" s="1">
        <v>6</v>
      </c>
      <c r="DR207" s="1">
        <v>5</v>
      </c>
      <c r="DS207" s="1">
        <v>6</v>
      </c>
      <c r="DT207" s="1">
        <v>5</v>
      </c>
      <c r="DU207" s="27">
        <v>7</v>
      </c>
      <c r="DV207" s="27">
        <v>7</v>
      </c>
      <c r="DW207" s="27">
        <v>6</v>
      </c>
      <c r="DX207" s="27">
        <v>2</v>
      </c>
      <c r="DY207" s="27">
        <v>2</v>
      </c>
      <c r="DZ207" s="27">
        <v>2</v>
      </c>
      <c r="EA207" s="27">
        <v>1</v>
      </c>
      <c r="EB207" s="27">
        <v>6</v>
      </c>
      <c r="EC207" s="27">
        <v>6</v>
      </c>
      <c r="ED207" s="27">
        <v>4</v>
      </c>
      <c r="EE207" s="27">
        <v>6</v>
      </c>
      <c r="EF207" s="27">
        <v>5</v>
      </c>
      <c r="EG207" s="27">
        <v>5</v>
      </c>
      <c r="EH207" s="27">
        <v>2</v>
      </c>
      <c r="EI207" s="27">
        <v>2</v>
      </c>
      <c r="EJ207" s="27">
        <v>2</v>
      </c>
      <c r="EK207" s="27">
        <v>1</v>
      </c>
      <c r="EL207" s="27">
        <v>1</v>
      </c>
      <c r="EM207" s="27">
        <v>4</v>
      </c>
      <c r="EN207" s="27">
        <v>7</v>
      </c>
      <c r="EO207" s="27">
        <v>1</v>
      </c>
      <c r="EP207" s="27">
        <v>1</v>
      </c>
      <c r="EQ207" s="27">
        <v>1</v>
      </c>
      <c r="ER207" s="27">
        <v>4</v>
      </c>
      <c r="ES207" s="27">
        <v>5</v>
      </c>
      <c r="ET207" s="27">
        <v>2</v>
      </c>
      <c r="EU207" s="27">
        <v>2</v>
      </c>
      <c r="EV207" s="27">
        <v>19</v>
      </c>
      <c r="EW207" s="27">
        <v>2</v>
      </c>
      <c r="EY207" s="27">
        <v>1</v>
      </c>
      <c r="FA207" s="27">
        <v>1</v>
      </c>
      <c r="FB207" s="28" t="s">
        <v>900</v>
      </c>
      <c r="FC207" s="27">
        <v>0</v>
      </c>
      <c r="FD207" s="1">
        <v>6</v>
      </c>
      <c r="FE207" s="4"/>
      <c r="FF207" s="4"/>
      <c r="FG207" s="4"/>
      <c r="FH207" s="4"/>
      <c r="FI207" s="4"/>
      <c r="FJ207" s="23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26"/>
      <c r="GF207" s="26"/>
      <c r="GG207" s="4"/>
      <c r="JH207" s="1"/>
      <c r="JV207" s="1"/>
      <c r="KM207" s="4"/>
      <c r="LA207" s="4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</row>
    <row r="208" spans="1:376" x14ac:dyDescent="0.35">
      <c r="A208" s="14">
        <v>43503</v>
      </c>
      <c r="B208" s="16" t="s">
        <v>140</v>
      </c>
      <c r="C208" s="16" t="s">
        <v>369</v>
      </c>
      <c r="D208" s="1">
        <v>207</v>
      </c>
      <c r="E208" s="1">
        <v>5</v>
      </c>
      <c r="F208" s="1">
        <v>5</v>
      </c>
      <c r="H208" s="1">
        <v>52</v>
      </c>
      <c r="I208" s="1">
        <v>3</v>
      </c>
      <c r="K208" s="1">
        <v>0</v>
      </c>
      <c r="L208" s="1">
        <v>0</v>
      </c>
      <c r="M208" s="1">
        <v>1</v>
      </c>
      <c r="N208" s="1">
        <v>1</v>
      </c>
      <c r="O208" s="1">
        <v>0</v>
      </c>
      <c r="P208" s="4">
        <v>0.4</v>
      </c>
      <c r="Q208" s="3">
        <v>56</v>
      </c>
      <c r="R208" s="1">
        <v>40</v>
      </c>
      <c r="S208" s="1">
        <v>34</v>
      </c>
      <c r="T208" s="1">
        <v>108</v>
      </c>
      <c r="U208" s="1">
        <v>126</v>
      </c>
      <c r="V208" s="1">
        <v>106</v>
      </c>
      <c r="W208" s="1">
        <v>59</v>
      </c>
      <c r="X208" s="1">
        <v>66</v>
      </c>
      <c r="Y208" s="1">
        <v>78</v>
      </c>
      <c r="AI208" s="4"/>
      <c r="AJ208" s="4"/>
      <c r="AK208" s="4"/>
      <c r="AL208" s="1">
        <v>0</v>
      </c>
      <c r="AM208" s="1">
        <v>0</v>
      </c>
      <c r="AN208" s="1">
        <v>2</v>
      </c>
      <c r="AO208" s="1">
        <v>0</v>
      </c>
      <c r="AP208" s="1">
        <v>0</v>
      </c>
      <c r="AQ208" s="1">
        <v>1</v>
      </c>
      <c r="AR208" s="1">
        <v>0</v>
      </c>
      <c r="AS208" s="19">
        <v>0</v>
      </c>
      <c r="AT208" s="19">
        <v>0</v>
      </c>
      <c r="AU208" s="19">
        <v>0</v>
      </c>
      <c r="AV208" s="19">
        <v>0</v>
      </c>
      <c r="AW208" s="19">
        <v>0</v>
      </c>
      <c r="AX208" s="19"/>
      <c r="AY208"/>
      <c r="AZ208"/>
      <c r="BA208"/>
      <c r="BB208"/>
      <c r="BC208"/>
      <c r="BP208" s="4"/>
      <c r="BQ208" s="4"/>
      <c r="BR208" s="4"/>
      <c r="BS208" s="4"/>
      <c r="BT208" s="4"/>
      <c r="BU208" s="4"/>
      <c r="CI208" s="1">
        <v>7</v>
      </c>
      <c r="CJ208" s="1">
        <v>7</v>
      </c>
      <c r="CK208" s="1">
        <v>7</v>
      </c>
      <c r="CL208" s="1">
        <v>6</v>
      </c>
      <c r="CM208" s="1">
        <v>6</v>
      </c>
      <c r="CN208" s="1">
        <v>7</v>
      </c>
      <c r="CO208" s="1">
        <v>6</v>
      </c>
      <c r="CP208" s="1">
        <v>1</v>
      </c>
      <c r="CQ208" s="1">
        <v>7</v>
      </c>
      <c r="CR208" s="1">
        <v>7</v>
      </c>
      <c r="CS208" s="1">
        <v>7</v>
      </c>
      <c r="CT208" s="1">
        <v>7</v>
      </c>
      <c r="CU208" s="1">
        <v>7</v>
      </c>
      <c r="CV208" s="1">
        <v>7</v>
      </c>
      <c r="CW208" s="1">
        <v>4</v>
      </c>
      <c r="CX208" s="1">
        <v>4</v>
      </c>
      <c r="CY208" s="1">
        <v>6</v>
      </c>
      <c r="CZ208" s="1">
        <v>7</v>
      </c>
      <c r="DA208" s="1">
        <v>7</v>
      </c>
      <c r="DB208" s="1">
        <v>7</v>
      </c>
      <c r="DC208" s="1">
        <v>6</v>
      </c>
      <c r="DD208" s="1">
        <v>6</v>
      </c>
      <c r="DE208" s="1">
        <v>7</v>
      </c>
      <c r="DF208" s="1">
        <v>4</v>
      </c>
      <c r="DG208" s="1">
        <v>4</v>
      </c>
      <c r="DH208" s="1">
        <v>4</v>
      </c>
      <c r="DI208" s="1">
        <v>3</v>
      </c>
      <c r="DJ208" s="1">
        <v>4</v>
      </c>
      <c r="DK208" s="1">
        <v>4</v>
      </c>
      <c r="DL208" s="1">
        <v>7</v>
      </c>
      <c r="DM208" s="19">
        <v>7</v>
      </c>
      <c r="DN208" s="19">
        <v>4</v>
      </c>
      <c r="DO208" s="1">
        <v>4</v>
      </c>
      <c r="DP208" s="1">
        <v>4</v>
      </c>
      <c r="DQ208" s="1">
        <v>4</v>
      </c>
      <c r="DR208" s="1">
        <v>2</v>
      </c>
      <c r="DS208" s="1">
        <v>7</v>
      </c>
      <c r="DT208" s="1">
        <v>7</v>
      </c>
      <c r="DU208" s="27">
        <v>3</v>
      </c>
      <c r="DV208" s="27">
        <v>2</v>
      </c>
      <c r="DW208" s="27">
        <v>2</v>
      </c>
      <c r="DX208" s="27">
        <v>4</v>
      </c>
      <c r="DY208" s="27">
        <v>1</v>
      </c>
      <c r="DZ208" s="27">
        <v>3</v>
      </c>
      <c r="EA208" s="27">
        <v>1</v>
      </c>
      <c r="EB208" s="27">
        <v>5</v>
      </c>
      <c r="EC208" s="27">
        <v>5</v>
      </c>
      <c r="ED208" s="27">
        <v>2</v>
      </c>
      <c r="EE208" s="27">
        <v>1</v>
      </c>
      <c r="EF208" s="27">
        <v>1</v>
      </c>
      <c r="EG208" s="27">
        <v>6</v>
      </c>
      <c r="EH208" s="27">
        <v>6</v>
      </c>
      <c r="EI208" s="27">
        <v>7</v>
      </c>
      <c r="EJ208" s="27">
        <v>4</v>
      </c>
      <c r="EK208" s="27">
        <v>5</v>
      </c>
      <c r="EL208" s="27">
        <v>6</v>
      </c>
      <c r="EM208" s="27">
        <v>3</v>
      </c>
      <c r="EN208" s="27">
        <v>2</v>
      </c>
      <c r="EO208" s="27">
        <v>6</v>
      </c>
      <c r="EP208" s="27">
        <v>2</v>
      </c>
      <c r="EQ208" s="27">
        <v>4</v>
      </c>
      <c r="ER208" s="27">
        <v>7</v>
      </c>
      <c r="ES208" s="27">
        <v>5</v>
      </c>
      <c r="ET208" s="27">
        <v>1</v>
      </c>
      <c r="EU208" s="27">
        <v>4</v>
      </c>
      <c r="EV208" s="27">
        <v>18</v>
      </c>
      <c r="EW208" s="27">
        <v>1</v>
      </c>
      <c r="EY208" s="27">
        <v>3</v>
      </c>
      <c r="FA208" s="27">
        <v>1</v>
      </c>
      <c r="FB208" s="28" t="s">
        <v>843</v>
      </c>
      <c r="FC208" s="27">
        <v>1</v>
      </c>
      <c r="FD208" s="1">
        <v>2</v>
      </c>
      <c r="FE208" s="4"/>
      <c r="FF208" s="4"/>
      <c r="FG208" s="4"/>
      <c r="FH208" s="4"/>
      <c r="FI208" s="4"/>
      <c r="FJ208" s="23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26"/>
      <c r="GF208" s="26"/>
      <c r="GG208" s="4"/>
      <c r="JH208" s="1"/>
      <c r="JV208" s="1"/>
      <c r="KM208" s="4"/>
      <c r="LA208" s="4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</row>
    <row r="209" spans="1:376" x14ac:dyDescent="0.35">
      <c r="A209" s="14">
        <v>43503</v>
      </c>
      <c r="B209" s="16" t="s">
        <v>140</v>
      </c>
      <c r="C209" s="16" t="s">
        <v>370</v>
      </c>
      <c r="D209" s="1">
        <v>208</v>
      </c>
      <c r="E209" s="1">
        <v>5</v>
      </c>
      <c r="F209" s="1">
        <v>5</v>
      </c>
      <c r="H209" s="1">
        <v>52</v>
      </c>
      <c r="I209" s="1">
        <v>4</v>
      </c>
      <c r="K209" s="1">
        <v>0</v>
      </c>
      <c r="L209" s="1">
        <v>0</v>
      </c>
      <c r="M209" s="1">
        <v>0</v>
      </c>
      <c r="N209" s="1">
        <v>1</v>
      </c>
      <c r="O209" s="1">
        <v>0</v>
      </c>
      <c r="P209" s="4">
        <v>0.2</v>
      </c>
      <c r="Q209" s="3">
        <v>58</v>
      </c>
      <c r="R209" s="1">
        <v>45</v>
      </c>
      <c r="S209" s="1">
        <v>39</v>
      </c>
      <c r="T209" s="1">
        <v>62</v>
      </c>
      <c r="U209" s="1">
        <v>108</v>
      </c>
      <c r="V209" s="1">
        <v>108</v>
      </c>
      <c r="W209" s="1">
        <v>64</v>
      </c>
      <c r="X209" s="1">
        <v>71</v>
      </c>
      <c r="Y209" s="1">
        <v>65</v>
      </c>
      <c r="AI209" s="4"/>
      <c r="AJ209" s="4"/>
      <c r="AK209" s="4"/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9">
        <v>0</v>
      </c>
      <c r="AT209" s="19">
        <v>2</v>
      </c>
      <c r="AU209" s="19">
        <v>0</v>
      </c>
      <c r="AV209" s="19">
        <v>0</v>
      </c>
      <c r="AW209" s="19">
        <v>0</v>
      </c>
      <c r="AX209" s="19"/>
      <c r="AY209"/>
      <c r="AZ209"/>
      <c r="BA209"/>
      <c r="BB209"/>
      <c r="BC209"/>
      <c r="BP209" s="4"/>
      <c r="BQ209" s="4"/>
      <c r="BR209" s="4"/>
      <c r="BS209" s="4"/>
      <c r="BT209" s="4"/>
      <c r="BU209" s="4"/>
      <c r="CI209" s="1">
        <v>7</v>
      </c>
      <c r="CJ209" s="1">
        <v>7</v>
      </c>
      <c r="CK209" s="1">
        <v>7</v>
      </c>
      <c r="CL209" s="1">
        <v>7</v>
      </c>
      <c r="CM209" s="1">
        <v>5</v>
      </c>
      <c r="CN209" s="1">
        <v>7</v>
      </c>
      <c r="CO209" s="1">
        <v>6</v>
      </c>
      <c r="CP209" s="1">
        <v>2</v>
      </c>
      <c r="CQ209" s="1">
        <v>6</v>
      </c>
      <c r="CR209" s="1">
        <v>6</v>
      </c>
      <c r="CS209" s="1">
        <v>6</v>
      </c>
      <c r="CT209" s="1">
        <v>6</v>
      </c>
      <c r="CU209" s="1">
        <v>6</v>
      </c>
      <c r="CV209" s="1">
        <v>6</v>
      </c>
      <c r="CW209" s="1">
        <v>6</v>
      </c>
      <c r="CX209" s="1">
        <v>6</v>
      </c>
      <c r="CY209" s="1">
        <v>6</v>
      </c>
      <c r="CZ209" s="1">
        <v>6</v>
      </c>
      <c r="DA209" s="1">
        <v>6</v>
      </c>
      <c r="DB209" s="1">
        <v>6</v>
      </c>
      <c r="DC209" s="1">
        <v>7</v>
      </c>
      <c r="DD209" s="1">
        <v>6</v>
      </c>
      <c r="DE209" s="1">
        <v>7</v>
      </c>
      <c r="DF209" s="1">
        <v>5</v>
      </c>
      <c r="DG209" s="1">
        <v>3</v>
      </c>
      <c r="DH209" s="1">
        <v>6</v>
      </c>
      <c r="DI209" s="1">
        <v>6</v>
      </c>
      <c r="DJ209" s="1">
        <v>6</v>
      </c>
      <c r="DK209" s="1">
        <v>7</v>
      </c>
      <c r="DL209" s="1">
        <v>6</v>
      </c>
      <c r="DM209" s="19">
        <v>7</v>
      </c>
      <c r="DN209" s="19">
        <v>6</v>
      </c>
      <c r="DO209" s="1">
        <v>5</v>
      </c>
      <c r="DP209" s="1">
        <v>6</v>
      </c>
      <c r="DQ209" s="1">
        <v>6</v>
      </c>
      <c r="DR209" s="1">
        <v>6</v>
      </c>
      <c r="DS209" s="1">
        <v>7</v>
      </c>
      <c r="DT209" s="1">
        <v>7</v>
      </c>
      <c r="DU209" s="27">
        <v>7</v>
      </c>
      <c r="DV209" s="27">
        <v>7</v>
      </c>
      <c r="DW209" s="27">
        <v>6</v>
      </c>
      <c r="DX209" s="27">
        <v>1</v>
      </c>
      <c r="DY209" s="27">
        <v>1</v>
      </c>
      <c r="DZ209" s="27">
        <v>1</v>
      </c>
      <c r="EA209" s="27">
        <v>1</v>
      </c>
      <c r="EB209" s="27">
        <v>1</v>
      </c>
      <c r="EC209" s="27">
        <v>1</v>
      </c>
      <c r="ED209" s="27">
        <v>1</v>
      </c>
      <c r="EE209" s="27">
        <v>7</v>
      </c>
      <c r="EF209" s="27">
        <v>7</v>
      </c>
      <c r="EG209" s="27">
        <v>4</v>
      </c>
      <c r="EH209" s="27">
        <v>7</v>
      </c>
      <c r="EI209" s="27">
        <v>7</v>
      </c>
      <c r="EJ209" s="27">
        <v>7</v>
      </c>
      <c r="EK209" s="27">
        <v>7</v>
      </c>
      <c r="EL209" s="27">
        <v>7</v>
      </c>
      <c r="EM209" s="27">
        <v>1</v>
      </c>
      <c r="EN209" s="27">
        <v>1</v>
      </c>
      <c r="EO209" s="27">
        <v>7</v>
      </c>
      <c r="EP209" s="27">
        <v>7</v>
      </c>
      <c r="EQ209" s="27">
        <v>7</v>
      </c>
      <c r="ER209" s="27">
        <v>6</v>
      </c>
      <c r="ES209" s="27">
        <v>6</v>
      </c>
      <c r="ET209" s="27">
        <v>7</v>
      </c>
      <c r="EU209" s="27">
        <v>1</v>
      </c>
      <c r="EV209" s="27">
        <v>18</v>
      </c>
      <c r="EW209" s="27">
        <v>2</v>
      </c>
      <c r="EY209" s="27">
        <v>1</v>
      </c>
      <c r="FA209" s="27">
        <v>1</v>
      </c>
      <c r="FB209" s="28" t="s">
        <v>901</v>
      </c>
      <c r="FC209" s="27">
        <v>1</v>
      </c>
      <c r="FD209" s="1">
        <v>4</v>
      </c>
      <c r="FE209" s="4"/>
      <c r="FF209" s="4"/>
      <c r="FG209" s="4"/>
      <c r="FH209" s="4"/>
      <c r="FI209" s="4"/>
      <c r="FJ209" s="23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26"/>
      <c r="GF209" s="26"/>
      <c r="GG209" s="4"/>
      <c r="JH209" s="1"/>
      <c r="JV209" s="1"/>
      <c r="KM209" s="4"/>
      <c r="LA209" s="4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</row>
    <row r="210" spans="1:376" x14ac:dyDescent="0.35">
      <c r="A210" s="14">
        <v>43503</v>
      </c>
      <c r="B210" s="16" t="s">
        <v>141</v>
      </c>
      <c r="C210" s="16" t="s">
        <v>371</v>
      </c>
      <c r="D210" s="1">
        <v>209</v>
      </c>
      <c r="E210" s="1">
        <v>5</v>
      </c>
      <c r="F210" s="1">
        <v>5</v>
      </c>
      <c r="G210" s="1">
        <v>0</v>
      </c>
      <c r="H210" s="1">
        <v>53</v>
      </c>
      <c r="I210" s="1">
        <v>1</v>
      </c>
      <c r="J210" s="1">
        <v>1</v>
      </c>
      <c r="K210" s="18">
        <v>1</v>
      </c>
      <c r="L210" s="18">
        <v>0</v>
      </c>
      <c r="M210" s="18">
        <v>1</v>
      </c>
      <c r="N210" s="18">
        <v>1</v>
      </c>
      <c r="O210" s="18">
        <v>1</v>
      </c>
      <c r="P210" s="4">
        <v>0.8</v>
      </c>
      <c r="Q210" s="3">
        <v>48</v>
      </c>
      <c r="R210" s="1">
        <v>45</v>
      </c>
      <c r="S210" s="1">
        <v>44</v>
      </c>
      <c r="T210" s="1">
        <v>77</v>
      </c>
      <c r="U210" s="1">
        <v>100</v>
      </c>
      <c r="V210" s="1">
        <v>98</v>
      </c>
      <c r="W210" s="1">
        <v>105</v>
      </c>
      <c r="X210" s="1">
        <v>71</v>
      </c>
      <c r="Y210" s="1">
        <v>59</v>
      </c>
      <c r="Z210" s="1">
        <v>246</v>
      </c>
      <c r="AA210" s="1">
        <v>216</v>
      </c>
      <c r="AB210" s="1">
        <v>181</v>
      </c>
      <c r="AC210" s="1">
        <v>282</v>
      </c>
      <c r="AD210" s="1">
        <v>357</v>
      </c>
      <c r="AE210" s="1">
        <v>369</v>
      </c>
      <c r="AF210" s="1">
        <v>375</v>
      </c>
      <c r="AG210" s="1">
        <v>324</v>
      </c>
      <c r="AH210" s="1">
        <v>282</v>
      </c>
      <c r="AI210" s="4">
        <v>214.33</v>
      </c>
      <c r="AJ210" s="4">
        <v>336</v>
      </c>
      <c r="AK210" s="4">
        <v>327</v>
      </c>
      <c r="AL210" s="1">
        <v>0</v>
      </c>
      <c r="AM210" s="1">
        <v>1</v>
      </c>
      <c r="AN210" s="1">
        <v>6</v>
      </c>
      <c r="AO210" s="1">
        <v>0</v>
      </c>
      <c r="AP210" s="1">
        <v>0</v>
      </c>
      <c r="AQ210" s="1">
        <v>0</v>
      </c>
      <c r="AR210" s="1">
        <v>0</v>
      </c>
      <c r="AS210" s="19">
        <v>0</v>
      </c>
      <c r="AT210" s="19">
        <v>3</v>
      </c>
      <c r="AU210" s="19">
        <v>0</v>
      </c>
      <c r="AV210" s="19">
        <v>0</v>
      </c>
      <c r="AW210" s="19">
        <v>0</v>
      </c>
      <c r="AX210" s="19">
        <f t="shared" ref="AX210:BC210" si="104">AL210+AL211+AL212+AL213</f>
        <v>0</v>
      </c>
      <c r="AY210" s="19">
        <f t="shared" si="104"/>
        <v>1</v>
      </c>
      <c r="AZ210" s="19">
        <f t="shared" si="104"/>
        <v>8</v>
      </c>
      <c r="BA210" s="19">
        <f t="shared" si="104"/>
        <v>0</v>
      </c>
      <c r="BB210" s="19">
        <f t="shared" si="104"/>
        <v>0</v>
      </c>
      <c r="BC210" s="19">
        <f t="shared" si="104"/>
        <v>0</v>
      </c>
      <c r="BD210" s="1">
        <f>AX210*3</f>
        <v>0</v>
      </c>
      <c r="BE210" s="1">
        <f t="shared" ref="BE210:BI210" si="105">AY210*3</f>
        <v>3</v>
      </c>
      <c r="BF210" s="1">
        <f t="shared" si="105"/>
        <v>24</v>
      </c>
      <c r="BG210" s="1">
        <f t="shared" si="105"/>
        <v>0</v>
      </c>
      <c r="BH210" s="1">
        <f t="shared" si="105"/>
        <v>0</v>
      </c>
      <c r="BI210" s="1">
        <f t="shared" si="105"/>
        <v>0</v>
      </c>
      <c r="BJ210" s="1">
        <f>AX210+AY210+AZ210</f>
        <v>9</v>
      </c>
      <c r="BK210" s="1">
        <f>BA210+BB210+BC210</f>
        <v>0</v>
      </c>
      <c r="BL210" s="1">
        <f>BJ210*3</f>
        <v>27</v>
      </c>
      <c r="BM210" s="1">
        <f>BK210*3</f>
        <v>0</v>
      </c>
      <c r="BN210" s="1">
        <f>BL210/3</f>
        <v>9</v>
      </c>
      <c r="BO210" s="1">
        <f>BM210/3</f>
        <v>0</v>
      </c>
      <c r="BP210" s="4">
        <v>205.33333333333334</v>
      </c>
      <c r="BQ210" s="4">
        <v>336</v>
      </c>
      <c r="BR210" s="4">
        <v>327</v>
      </c>
      <c r="BS210" s="4">
        <v>336</v>
      </c>
      <c r="BT210" s="4">
        <v>327</v>
      </c>
      <c r="BU210" s="4">
        <v>4</v>
      </c>
      <c r="BV210" s="1">
        <v>3</v>
      </c>
      <c r="BW210" s="1">
        <v>3</v>
      </c>
      <c r="BX210" s="1">
        <v>3</v>
      </c>
      <c r="BY210" s="1">
        <v>3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6</v>
      </c>
      <c r="CJ210" s="1">
        <v>6</v>
      </c>
      <c r="CK210" s="1">
        <v>7</v>
      </c>
      <c r="CL210" s="1">
        <v>7</v>
      </c>
      <c r="CM210" s="1">
        <v>7</v>
      </c>
      <c r="CN210" s="1">
        <v>7</v>
      </c>
      <c r="CO210" s="1">
        <v>7</v>
      </c>
      <c r="CP210" s="1">
        <v>2</v>
      </c>
      <c r="CQ210" s="1">
        <v>6</v>
      </c>
      <c r="CR210" s="1">
        <v>7</v>
      </c>
      <c r="CS210" s="1">
        <v>6</v>
      </c>
      <c r="CT210" s="1">
        <v>6</v>
      </c>
      <c r="CU210" s="1">
        <v>7</v>
      </c>
      <c r="CV210" s="1">
        <v>6</v>
      </c>
      <c r="CW210" s="1">
        <v>6</v>
      </c>
      <c r="CX210" s="1">
        <v>7</v>
      </c>
      <c r="CY210" s="1">
        <v>5</v>
      </c>
      <c r="CZ210" s="1">
        <v>7</v>
      </c>
      <c r="DA210" s="1">
        <v>6</v>
      </c>
      <c r="DB210" s="1">
        <v>7</v>
      </c>
      <c r="DC210" s="1">
        <v>7</v>
      </c>
      <c r="DD210" s="1">
        <v>7</v>
      </c>
      <c r="DE210" s="1">
        <v>6</v>
      </c>
      <c r="DF210" s="1">
        <v>6</v>
      </c>
      <c r="DG210" s="1">
        <v>1</v>
      </c>
      <c r="DH210" s="1">
        <v>5</v>
      </c>
      <c r="DI210" s="1">
        <v>7</v>
      </c>
      <c r="DJ210" s="1">
        <v>1</v>
      </c>
      <c r="DK210" s="1">
        <v>5</v>
      </c>
      <c r="DL210" s="1">
        <v>7</v>
      </c>
      <c r="DM210" s="19">
        <v>7</v>
      </c>
      <c r="DN210" s="19">
        <v>1</v>
      </c>
      <c r="DO210" s="1">
        <v>2</v>
      </c>
      <c r="DP210" s="1">
        <v>6</v>
      </c>
      <c r="DQ210" s="1">
        <v>7</v>
      </c>
      <c r="DR210" s="1">
        <v>6</v>
      </c>
      <c r="DS210" s="1">
        <v>7</v>
      </c>
      <c r="DT210" s="1">
        <v>7</v>
      </c>
      <c r="DU210" s="27">
        <v>6</v>
      </c>
      <c r="DV210" s="27">
        <v>3</v>
      </c>
      <c r="DW210" s="27">
        <v>2</v>
      </c>
      <c r="DX210" s="27">
        <v>5</v>
      </c>
      <c r="DY210" s="27">
        <v>4</v>
      </c>
      <c r="DZ210" s="27">
        <v>7</v>
      </c>
      <c r="EA210" s="27">
        <v>5</v>
      </c>
      <c r="EB210" s="27">
        <v>6</v>
      </c>
      <c r="EC210" s="27">
        <v>5</v>
      </c>
      <c r="ED210" s="27">
        <v>5</v>
      </c>
      <c r="EE210" s="27">
        <v>6</v>
      </c>
      <c r="EF210" s="27">
        <v>6</v>
      </c>
      <c r="EG210" s="27">
        <v>7</v>
      </c>
      <c r="EH210" s="27">
        <v>7</v>
      </c>
      <c r="EI210" s="27">
        <v>7</v>
      </c>
      <c r="EJ210" s="27">
        <v>7</v>
      </c>
      <c r="EK210" s="27">
        <v>7</v>
      </c>
      <c r="EL210" s="27">
        <v>7</v>
      </c>
      <c r="EM210" s="27">
        <v>1</v>
      </c>
      <c r="EN210" s="27">
        <v>1</v>
      </c>
      <c r="EO210" s="27">
        <v>6</v>
      </c>
      <c r="EP210" s="27">
        <v>7</v>
      </c>
      <c r="EQ210" s="27">
        <v>7</v>
      </c>
      <c r="ER210" s="27">
        <v>7</v>
      </c>
      <c r="ES210" s="27">
        <v>7</v>
      </c>
      <c r="ET210" s="27">
        <v>4</v>
      </c>
      <c r="EU210" s="27">
        <v>4</v>
      </c>
      <c r="EV210" s="27">
        <v>18</v>
      </c>
      <c r="EW210" s="27">
        <v>1</v>
      </c>
      <c r="EY210" s="27">
        <v>1</v>
      </c>
      <c r="FA210" s="27">
        <v>1</v>
      </c>
      <c r="FB210" s="28" t="s">
        <v>902</v>
      </c>
      <c r="FC210" s="27">
        <v>0</v>
      </c>
      <c r="FD210" s="1">
        <v>5</v>
      </c>
      <c r="FE210" s="4">
        <v>5.5</v>
      </c>
      <c r="FF210" s="4">
        <v>5.25</v>
      </c>
      <c r="FG210" s="4">
        <v>5.63</v>
      </c>
      <c r="FH210" s="4">
        <v>5.67</v>
      </c>
      <c r="FI210" s="4">
        <v>5.75</v>
      </c>
      <c r="FJ210" s="23">
        <v>6</v>
      </c>
      <c r="FK210" s="4">
        <v>4.67</v>
      </c>
      <c r="FL210" s="4">
        <v>5.88</v>
      </c>
      <c r="FM210" s="4">
        <v>3.75</v>
      </c>
      <c r="FN210" s="4">
        <v>5</v>
      </c>
      <c r="FO210" s="4">
        <v>4.83</v>
      </c>
      <c r="FP210" s="4">
        <v>4.5</v>
      </c>
      <c r="FQ210" s="4">
        <v>4.13</v>
      </c>
      <c r="FR210" s="4">
        <v>4.5</v>
      </c>
      <c r="FS210" s="4">
        <v>5.5</v>
      </c>
      <c r="FT210" s="4">
        <v>4.75</v>
      </c>
      <c r="FU210" s="4">
        <v>4.75</v>
      </c>
      <c r="FV210" s="4">
        <v>5</v>
      </c>
      <c r="FW210" s="4">
        <v>5</v>
      </c>
      <c r="FX210" s="4">
        <v>4.5</v>
      </c>
      <c r="FY210" s="4">
        <v>4.25</v>
      </c>
      <c r="FZ210" s="4">
        <v>4.25</v>
      </c>
      <c r="GA210" s="4">
        <v>3.63</v>
      </c>
      <c r="GB210" s="4">
        <v>5.25</v>
      </c>
      <c r="GC210" s="4">
        <v>4.13</v>
      </c>
      <c r="GD210" s="4">
        <v>3.25</v>
      </c>
      <c r="GE210" s="26"/>
      <c r="GF210" s="26"/>
      <c r="GG210" s="4"/>
      <c r="JH210" s="1"/>
      <c r="JV210" s="1"/>
      <c r="KM210" s="4"/>
      <c r="LA210" s="4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</row>
    <row r="211" spans="1:376" x14ac:dyDescent="0.35">
      <c r="A211" s="14">
        <v>43503</v>
      </c>
      <c r="B211" s="16" t="s">
        <v>141</v>
      </c>
      <c r="C211" s="16" t="s">
        <v>372</v>
      </c>
      <c r="D211" s="1">
        <v>210</v>
      </c>
      <c r="E211" s="1">
        <v>5</v>
      </c>
      <c r="F211" s="1">
        <v>5</v>
      </c>
      <c r="H211" s="1">
        <v>53</v>
      </c>
      <c r="I211" s="1">
        <v>2</v>
      </c>
      <c r="K211" s="18">
        <v>1</v>
      </c>
      <c r="L211" s="18">
        <v>0</v>
      </c>
      <c r="M211" s="18">
        <v>1</v>
      </c>
      <c r="N211" s="18">
        <v>1</v>
      </c>
      <c r="O211" s="18">
        <v>0</v>
      </c>
      <c r="P211" s="4">
        <v>0.6</v>
      </c>
      <c r="Q211" s="3">
        <v>72</v>
      </c>
      <c r="R211" s="1">
        <v>63</v>
      </c>
      <c r="S211" s="1">
        <v>50</v>
      </c>
      <c r="T211" s="1">
        <v>86</v>
      </c>
      <c r="U211" s="1">
        <v>104</v>
      </c>
      <c r="V211" s="1">
        <v>99</v>
      </c>
      <c r="W211" s="1">
        <v>100</v>
      </c>
      <c r="X211" s="1">
        <v>88</v>
      </c>
      <c r="Y211" s="1">
        <v>75</v>
      </c>
      <c r="AI211" s="4"/>
      <c r="AJ211" s="4"/>
      <c r="AK211" s="4"/>
      <c r="AL211" s="1">
        <v>0</v>
      </c>
      <c r="AM211" s="1">
        <v>0</v>
      </c>
      <c r="AN211" s="1">
        <v>2</v>
      </c>
      <c r="AO211" s="1">
        <v>0</v>
      </c>
      <c r="AP211" s="1">
        <v>0</v>
      </c>
      <c r="AQ211" s="1">
        <v>0</v>
      </c>
      <c r="AR211" s="1">
        <v>0</v>
      </c>
      <c r="AS211" s="19">
        <v>2</v>
      </c>
      <c r="AT211" s="19">
        <v>2</v>
      </c>
      <c r="AU211" s="19">
        <v>0</v>
      </c>
      <c r="AV211" s="19">
        <v>0</v>
      </c>
      <c r="AW211" s="19">
        <v>0</v>
      </c>
      <c r="AX211" s="19"/>
      <c r="AY211"/>
      <c r="AZ211"/>
      <c r="BA211"/>
      <c r="BB211"/>
      <c r="BC211"/>
      <c r="BP211" s="4"/>
      <c r="BQ211" s="4"/>
      <c r="BR211" s="4"/>
      <c r="BS211" s="4"/>
      <c r="BT211" s="4"/>
      <c r="BU211" s="4"/>
      <c r="CI211" s="1">
        <v>6</v>
      </c>
      <c r="CJ211" s="1">
        <v>6</v>
      </c>
      <c r="CK211" s="1">
        <v>5</v>
      </c>
      <c r="CL211" s="1">
        <v>5</v>
      </c>
      <c r="CM211" s="1">
        <v>5</v>
      </c>
      <c r="CN211" s="1">
        <v>6</v>
      </c>
      <c r="CO211" s="1">
        <v>6</v>
      </c>
      <c r="CP211" s="1">
        <v>3</v>
      </c>
      <c r="CQ211" s="1">
        <v>5</v>
      </c>
      <c r="CR211" s="1">
        <v>6</v>
      </c>
      <c r="CS211" s="1">
        <v>5</v>
      </c>
      <c r="CT211" s="1">
        <v>5</v>
      </c>
      <c r="CU211" s="1">
        <v>5</v>
      </c>
      <c r="CV211" s="1">
        <v>4</v>
      </c>
      <c r="CW211" s="1">
        <v>5</v>
      </c>
      <c r="CX211" s="1">
        <v>5</v>
      </c>
      <c r="CY211" s="1">
        <v>5</v>
      </c>
      <c r="CZ211" s="1">
        <v>5</v>
      </c>
      <c r="DA211" s="1">
        <v>6</v>
      </c>
      <c r="DB211" s="1">
        <v>6</v>
      </c>
      <c r="DC211" s="1">
        <v>5</v>
      </c>
      <c r="DD211" s="1">
        <v>7</v>
      </c>
      <c r="DE211" s="1">
        <v>7</v>
      </c>
      <c r="DF211" s="1">
        <v>5</v>
      </c>
      <c r="DG211" s="1">
        <v>4</v>
      </c>
      <c r="DH211" s="1">
        <v>5</v>
      </c>
      <c r="DI211" s="1">
        <v>4</v>
      </c>
      <c r="DJ211" s="1">
        <v>5</v>
      </c>
      <c r="DK211" s="1">
        <v>4</v>
      </c>
      <c r="DL211" s="1">
        <v>6</v>
      </c>
      <c r="DM211" s="19">
        <v>7</v>
      </c>
      <c r="DN211" s="19">
        <v>3</v>
      </c>
      <c r="DO211" s="1">
        <v>2</v>
      </c>
      <c r="DP211" s="1">
        <v>4</v>
      </c>
      <c r="DQ211" s="1">
        <v>4</v>
      </c>
      <c r="DR211" s="1">
        <v>5</v>
      </c>
      <c r="DS211" s="1">
        <v>5</v>
      </c>
      <c r="DT211" s="1">
        <v>5</v>
      </c>
      <c r="DU211" s="27">
        <v>3</v>
      </c>
      <c r="DV211" s="27">
        <v>3</v>
      </c>
      <c r="DW211" s="27">
        <v>3</v>
      </c>
      <c r="DX211" s="27">
        <v>4</v>
      </c>
      <c r="DY211" s="27">
        <v>5</v>
      </c>
      <c r="DZ211" s="27">
        <v>3</v>
      </c>
      <c r="EA211" s="27">
        <v>7</v>
      </c>
      <c r="EB211" s="27">
        <v>5</v>
      </c>
      <c r="EC211" s="27">
        <v>4</v>
      </c>
      <c r="ED211" s="27">
        <v>5</v>
      </c>
      <c r="EE211" s="27">
        <v>3</v>
      </c>
      <c r="EF211" s="27">
        <v>4</v>
      </c>
      <c r="EG211" s="27">
        <v>3</v>
      </c>
      <c r="EH211" s="27">
        <v>1</v>
      </c>
      <c r="EI211" s="27">
        <v>1</v>
      </c>
      <c r="EJ211" s="27">
        <v>1</v>
      </c>
      <c r="EK211" s="27">
        <v>1</v>
      </c>
      <c r="EL211" s="27">
        <v>1</v>
      </c>
      <c r="EM211" s="27">
        <v>6</v>
      </c>
      <c r="EN211" s="27">
        <v>6</v>
      </c>
      <c r="EO211" s="27">
        <v>5</v>
      </c>
      <c r="EP211" s="27">
        <v>5</v>
      </c>
      <c r="EQ211" s="27">
        <v>6</v>
      </c>
      <c r="ER211" s="27">
        <v>1</v>
      </c>
      <c r="ES211" s="27">
        <v>1</v>
      </c>
      <c r="ET211" s="27">
        <v>3</v>
      </c>
      <c r="EU211" s="27">
        <v>1</v>
      </c>
      <c r="EV211" s="27">
        <v>22</v>
      </c>
      <c r="EW211" s="27">
        <v>2</v>
      </c>
      <c r="EY211" s="27">
        <v>1</v>
      </c>
      <c r="FA211" s="27">
        <v>4</v>
      </c>
      <c r="FB211" s="28" t="s">
        <v>776</v>
      </c>
      <c r="FC211" s="27">
        <v>1</v>
      </c>
      <c r="FD211" s="1">
        <v>4</v>
      </c>
      <c r="FE211" s="4"/>
      <c r="FF211" s="4"/>
      <c r="FG211" s="4"/>
      <c r="FH211" s="4"/>
      <c r="FI211" s="4"/>
      <c r="FJ211" s="23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26"/>
      <c r="GF211" s="26"/>
      <c r="GG211" s="4"/>
      <c r="JH211" s="1"/>
      <c r="JV211" s="1"/>
      <c r="KM211" s="4"/>
      <c r="LA211" s="4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</row>
    <row r="212" spans="1:376" x14ac:dyDescent="0.35">
      <c r="A212" s="14">
        <v>43503</v>
      </c>
      <c r="B212" s="16" t="s">
        <v>141</v>
      </c>
      <c r="C212" s="16" t="s">
        <v>373</v>
      </c>
      <c r="D212" s="1">
        <v>211</v>
      </c>
      <c r="E212" s="1">
        <v>5</v>
      </c>
      <c r="F212" s="1">
        <v>5</v>
      </c>
      <c r="H212" s="1">
        <v>53</v>
      </c>
      <c r="I212" s="1">
        <v>3</v>
      </c>
      <c r="K212" s="18">
        <v>0</v>
      </c>
      <c r="L212" s="18">
        <v>1</v>
      </c>
      <c r="M212" s="18">
        <v>1</v>
      </c>
      <c r="N212" s="18">
        <v>1</v>
      </c>
      <c r="O212" s="18">
        <v>1</v>
      </c>
      <c r="P212" s="4">
        <v>0.8</v>
      </c>
      <c r="Q212" s="3">
        <v>66</v>
      </c>
      <c r="R212" s="1">
        <v>59</v>
      </c>
      <c r="S212" s="1">
        <v>52</v>
      </c>
      <c r="T212" s="1">
        <v>56</v>
      </c>
      <c r="U212" s="1">
        <v>69</v>
      </c>
      <c r="V212" s="1">
        <v>68</v>
      </c>
      <c r="W212" s="1">
        <v>80</v>
      </c>
      <c r="X212" s="1">
        <v>67</v>
      </c>
      <c r="Y212" s="1">
        <v>70</v>
      </c>
      <c r="AI212" s="4"/>
      <c r="AJ212" s="4"/>
      <c r="AK212" s="4"/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9">
        <v>0</v>
      </c>
      <c r="AT212" s="19">
        <v>2</v>
      </c>
      <c r="AU212" s="19">
        <v>0</v>
      </c>
      <c r="AV212" s="19">
        <v>0</v>
      </c>
      <c r="AW212" s="19">
        <v>0</v>
      </c>
      <c r="AX212" s="19"/>
      <c r="AY212"/>
      <c r="AZ212"/>
      <c r="BA212"/>
      <c r="BB212"/>
      <c r="BC212"/>
      <c r="BP212" s="4"/>
      <c r="BQ212" s="4"/>
      <c r="BR212" s="4"/>
      <c r="BS212" s="4"/>
      <c r="BT212" s="4"/>
      <c r="BU212" s="4"/>
      <c r="CI212" s="1">
        <v>5</v>
      </c>
      <c r="CJ212" s="1">
        <v>5</v>
      </c>
      <c r="CK212" s="1">
        <v>5</v>
      </c>
      <c r="CL212" s="1">
        <v>3</v>
      </c>
      <c r="CM212" s="1">
        <v>4</v>
      </c>
      <c r="CN212" s="1">
        <v>5</v>
      </c>
      <c r="CO212" s="1">
        <v>3</v>
      </c>
      <c r="CP212" s="1">
        <v>4</v>
      </c>
      <c r="CQ212" s="1">
        <v>3</v>
      </c>
      <c r="CR212" s="1">
        <v>4</v>
      </c>
      <c r="CS212" s="1">
        <v>3</v>
      </c>
      <c r="CT212" s="1">
        <v>4</v>
      </c>
      <c r="CU212" s="1">
        <v>1</v>
      </c>
      <c r="CV212" s="1">
        <v>1</v>
      </c>
      <c r="CW212" s="1">
        <v>3</v>
      </c>
      <c r="CX212" s="1">
        <v>1</v>
      </c>
      <c r="CY212" s="1">
        <v>1</v>
      </c>
      <c r="CZ212" s="1">
        <v>5</v>
      </c>
      <c r="DA212" s="1">
        <v>3</v>
      </c>
      <c r="DB212" s="1">
        <v>5</v>
      </c>
      <c r="DC212" s="1">
        <v>5</v>
      </c>
      <c r="DD212" s="1">
        <v>4</v>
      </c>
      <c r="DE212" s="1">
        <v>6</v>
      </c>
      <c r="DF212" s="1">
        <v>5</v>
      </c>
      <c r="DG212" s="1">
        <v>6</v>
      </c>
      <c r="DH212" s="1">
        <v>5</v>
      </c>
      <c r="DI212" s="1">
        <v>5</v>
      </c>
      <c r="DJ212" s="1">
        <v>5</v>
      </c>
      <c r="DK212" s="1">
        <v>4</v>
      </c>
      <c r="DL212" s="1">
        <v>4</v>
      </c>
      <c r="DM212" s="19">
        <v>5</v>
      </c>
      <c r="DN212" s="19">
        <v>6</v>
      </c>
      <c r="DO212" s="1">
        <v>6</v>
      </c>
      <c r="DP212" s="1">
        <v>5</v>
      </c>
      <c r="DQ212" s="1">
        <v>5</v>
      </c>
      <c r="DR212" s="1">
        <v>1</v>
      </c>
      <c r="DS212" s="1">
        <v>3</v>
      </c>
      <c r="DT212" s="1">
        <v>1</v>
      </c>
      <c r="DU212" s="27">
        <v>6</v>
      </c>
      <c r="DV212" s="27">
        <v>7</v>
      </c>
      <c r="DW212" s="27">
        <v>5</v>
      </c>
      <c r="DX212" s="27">
        <v>5</v>
      </c>
      <c r="DY212" s="27">
        <v>2</v>
      </c>
      <c r="DZ212" s="27">
        <v>3</v>
      </c>
      <c r="EA212" s="27">
        <v>3</v>
      </c>
      <c r="EB212" s="27">
        <v>6</v>
      </c>
      <c r="EC212" s="27">
        <v>5</v>
      </c>
      <c r="ED212" s="27">
        <v>5</v>
      </c>
      <c r="EE212" s="27">
        <v>6</v>
      </c>
      <c r="EF212" s="27">
        <v>5</v>
      </c>
      <c r="EG212" s="27">
        <v>4</v>
      </c>
      <c r="EH212" s="27">
        <v>5</v>
      </c>
      <c r="EI212" s="27">
        <v>5</v>
      </c>
      <c r="EJ212" s="27">
        <v>4</v>
      </c>
      <c r="EK212" s="27">
        <v>4</v>
      </c>
      <c r="EL212" s="27">
        <v>6</v>
      </c>
      <c r="EM212" s="27">
        <v>3</v>
      </c>
      <c r="EN212" s="27">
        <v>4</v>
      </c>
      <c r="EO212" s="27">
        <v>6</v>
      </c>
      <c r="EP212" s="27">
        <v>6</v>
      </c>
      <c r="EQ212" s="27">
        <v>6</v>
      </c>
      <c r="ER212" s="27">
        <v>4</v>
      </c>
      <c r="ES212" s="27">
        <v>5</v>
      </c>
      <c r="ET212" s="27">
        <v>4</v>
      </c>
      <c r="EU212" s="27">
        <v>4</v>
      </c>
      <c r="EV212" s="27">
        <v>24</v>
      </c>
      <c r="EW212" s="27">
        <v>2</v>
      </c>
      <c r="EY212" s="27">
        <v>3</v>
      </c>
      <c r="FA212" s="27">
        <v>3</v>
      </c>
      <c r="FB212" s="28" t="s">
        <v>903</v>
      </c>
      <c r="FC212" s="27">
        <v>1</v>
      </c>
      <c r="FD212" s="1">
        <v>2</v>
      </c>
      <c r="FE212" s="4"/>
      <c r="FF212" s="4"/>
      <c r="FG212" s="4"/>
      <c r="FH212" s="4"/>
      <c r="FI212" s="4"/>
      <c r="FJ212" s="23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26"/>
      <c r="GF212" s="26"/>
      <c r="GG212" s="4"/>
      <c r="JH212" s="1"/>
      <c r="JV212" s="1"/>
      <c r="KM212" s="4"/>
      <c r="LA212" s="4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</row>
    <row r="213" spans="1:376" x14ac:dyDescent="0.35">
      <c r="A213" s="14">
        <v>43503</v>
      </c>
      <c r="B213" s="16" t="s">
        <v>141</v>
      </c>
      <c r="C213" s="16" t="s">
        <v>374</v>
      </c>
      <c r="D213" s="1">
        <v>212</v>
      </c>
      <c r="E213" s="1">
        <v>5</v>
      </c>
      <c r="F213" s="1">
        <v>5</v>
      </c>
      <c r="H213" s="1">
        <v>53</v>
      </c>
      <c r="I213" s="1">
        <v>4</v>
      </c>
      <c r="K213" s="18">
        <v>1</v>
      </c>
      <c r="L213" s="18">
        <v>1</v>
      </c>
      <c r="M213" s="18">
        <v>1</v>
      </c>
      <c r="N213" s="18">
        <v>1</v>
      </c>
      <c r="O213" s="18">
        <v>1</v>
      </c>
      <c r="P213" s="4">
        <v>1</v>
      </c>
      <c r="Q213" s="3">
        <v>60</v>
      </c>
      <c r="R213" s="1">
        <v>49</v>
      </c>
      <c r="S213" s="1">
        <v>35</v>
      </c>
      <c r="T213" s="1">
        <v>63</v>
      </c>
      <c r="U213" s="1">
        <v>84</v>
      </c>
      <c r="V213" s="1">
        <v>104</v>
      </c>
      <c r="W213" s="1">
        <v>90</v>
      </c>
      <c r="X213" s="1">
        <v>98</v>
      </c>
      <c r="Y213" s="1">
        <v>78</v>
      </c>
      <c r="AI213" s="4"/>
      <c r="AJ213" s="4"/>
      <c r="AK213" s="4"/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9">
        <v>0</v>
      </c>
      <c r="AT213" s="19">
        <v>8</v>
      </c>
      <c r="AU213" s="19">
        <v>0</v>
      </c>
      <c r="AV213" s="19">
        <v>0</v>
      </c>
      <c r="AW213" s="19">
        <v>0</v>
      </c>
      <c r="AX213" s="19"/>
      <c r="AY213"/>
      <c r="AZ213"/>
      <c r="BA213"/>
      <c r="BB213"/>
      <c r="BC213"/>
      <c r="BP213" s="4"/>
      <c r="BQ213" s="4"/>
      <c r="BR213" s="4"/>
      <c r="BS213" s="4"/>
      <c r="BT213" s="4"/>
      <c r="BU213" s="4"/>
      <c r="CI213" s="1">
        <v>6</v>
      </c>
      <c r="CJ213" s="1">
        <v>6</v>
      </c>
      <c r="CK213" s="1">
        <v>6</v>
      </c>
      <c r="CL213" s="1">
        <v>5</v>
      </c>
      <c r="CM213" s="1">
        <v>5</v>
      </c>
      <c r="CN213" s="1">
        <v>5</v>
      </c>
      <c r="CO213" s="1">
        <v>5</v>
      </c>
      <c r="CP213" s="1">
        <v>2</v>
      </c>
      <c r="CQ213" s="1">
        <v>6</v>
      </c>
      <c r="CR213" s="1">
        <v>6</v>
      </c>
      <c r="CS213" s="1">
        <v>6</v>
      </c>
      <c r="CT213" s="1">
        <v>6</v>
      </c>
      <c r="CU213" s="1">
        <v>5</v>
      </c>
      <c r="CV213" s="1">
        <v>5</v>
      </c>
      <c r="CW213" s="1">
        <v>6</v>
      </c>
      <c r="CX213" s="1">
        <v>6</v>
      </c>
      <c r="CY213" s="1">
        <v>6</v>
      </c>
      <c r="CZ213" s="1">
        <v>6</v>
      </c>
      <c r="DA213" s="1">
        <v>6</v>
      </c>
      <c r="DB213" s="1">
        <v>6</v>
      </c>
      <c r="DC213" s="1">
        <v>5</v>
      </c>
      <c r="DD213" s="1">
        <v>6</v>
      </c>
      <c r="DE213" s="1">
        <v>5</v>
      </c>
      <c r="DF213" s="1">
        <v>5</v>
      </c>
      <c r="DG213" s="1">
        <v>5</v>
      </c>
      <c r="DH213" s="1">
        <v>5</v>
      </c>
      <c r="DI213" s="1">
        <v>5</v>
      </c>
      <c r="DJ213" s="1">
        <v>5</v>
      </c>
      <c r="DK213" s="1">
        <v>5</v>
      </c>
      <c r="DL213" s="1">
        <v>6</v>
      </c>
      <c r="DM213" s="19">
        <v>5</v>
      </c>
      <c r="DN213" s="19">
        <v>5</v>
      </c>
      <c r="DO213" s="1">
        <v>5</v>
      </c>
      <c r="DP213" s="1">
        <v>5</v>
      </c>
      <c r="DQ213" s="1">
        <v>4</v>
      </c>
      <c r="DR213" s="1">
        <v>6</v>
      </c>
      <c r="DS213" s="1">
        <v>6</v>
      </c>
      <c r="DT213" s="1">
        <v>6</v>
      </c>
      <c r="DU213" s="27">
        <v>7</v>
      </c>
      <c r="DV213" s="27">
        <v>5</v>
      </c>
      <c r="DW213" s="27">
        <v>4</v>
      </c>
      <c r="DX213" s="27">
        <v>4</v>
      </c>
      <c r="DY213" s="27">
        <v>4</v>
      </c>
      <c r="DZ213" s="27">
        <v>4</v>
      </c>
      <c r="EA213" s="27">
        <v>3</v>
      </c>
      <c r="EB213" s="27">
        <v>5</v>
      </c>
      <c r="EC213" s="27">
        <v>5</v>
      </c>
      <c r="ED213" s="27">
        <v>4</v>
      </c>
      <c r="EE213" s="27">
        <v>5</v>
      </c>
      <c r="EF213" s="27">
        <v>5</v>
      </c>
      <c r="EG213" s="27">
        <v>4</v>
      </c>
      <c r="EH213" s="27">
        <v>4</v>
      </c>
      <c r="EI213" s="27">
        <v>4</v>
      </c>
      <c r="EJ213" s="27">
        <v>4</v>
      </c>
      <c r="EK213" s="27">
        <v>5</v>
      </c>
      <c r="EL213" s="27">
        <v>4</v>
      </c>
      <c r="EM213" s="27">
        <v>4</v>
      </c>
      <c r="EN213" s="27">
        <v>4</v>
      </c>
      <c r="EO213" s="27">
        <v>2</v>
      </c>
      <c r="EP213" s="27">
        <v>2</v>
      </c>
      <c r="EQ213" s="27">
        <v>5</v>
      </c>
      <c r="ER213" s="27">
        <v>4</v>
      </c>
      <c r="ES213" s="27">
        <v>4</v>
      </c>
      <c r="ET213" s="27">
        <v>5</v>
      </c>
      <c r="EU213" s="27">
        <v>1</v>
      </c>
      <c r="EV213" s="27">
        <v>18</v>
      </c>
      <c r="EW213" s="27">
        <v>2</v>
      </c>
      <c r="EY213" s="27">
        <v>1</v>
      </c>
      <c r="FA213" s="27">
        <v>1</v>
      </c>
      <c r="FB213" s="28" t="s">
        <v>838</v>
      </c>
      <c r="FC213" s="27">
        <v>1</v>
      </c>
      <c r="FD213" s="1">
        <v>1</v>
      </c>
      <c r="FE213" s="4"/>
      <c r="FF213" s="4"/>
      <c r="FG213" s="4"/>
      <c r="FH213" s="4"/>
      <c r="FI213" s="4"/>
      <c r="FJ213" s="23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26"/>
      <c r="GF213" s="26"/>
      <c r="GG213" s="4"/>
      <c r="JH213" s="1"/>
      <c r="JV213" s="1"/>
      <c r="KM213" s="4"/>
      <c r="LA213" s="4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</row>
    <row r="214" spans="1:376" x14ac:dyDescent="0.35">
      <c r="A214" s="14">
        <v>43510</v>
      </c>
      <c r="B214" s="16" t="s">
        <v>142</v>
      </c>
      <c r="C214" s="16" t="s">
        <v>375</v>
      </c>
      <c r="D214" s="1">
        <v>213</v>
      </c>
      <c r="E214" s="1">
        <v>5</v>
      </c>
      <c r="F214" s="1">
        <v>5</v>
      </c>
      <c r="G214" s="1">
        <v>0</v>
      </c>
      <c r="H214" s="1">
        <v>54</v>
      </c>
      <c r="I214" s="1">
        <v>1</v>
      </c>
      <c r="J214" s="1">
        <v>1</v>
      </c>
      <c r="K214" s="18">
        <v>0</v>
      </c>
      <c r="L214" s="18">
        <v>1</v>
      </c>
      <c r="M214" s="18">
        <v>1</v>
      </c>
      <c r="N214" s="18">
        <v>1</v>
      </c>
      <c r="O214" s="18">
        <v>1</v>
      </c>
      <c r="P214" s="4">
        <v>0.8</v>
      </c>
      <c r="Q214" s="3">
        <v>56</v>
      </c>
      <c r="R214" s="1">
        <v>55</v>
      </c>
      <c r="S214" s="1">
        <v>52</v>
      </c>
      <c r="T214" s="1">
        <v>62</v>
      </c>
      <c r="U214" s="1">
        <v>92</v>
      </c>
      <c r="V214" s="1">
        <v>121</v>
      </c>
      <c r="W214" s="1">
        <v>125</v>
      </c>
      <c r="X214" s="1">
        <v>119</v>
      </c>
      <c r="Y214" s="1">
        <v>127</v>
      </c>
      <c r="Z214" s="1">
        <v>204</v>
      </c>
      <c r="AA214" s="1">
        <v>194</v>
      </c>
      <c r="AB214" s="1">
        <v>182</v>
      </c>
      <c r="AC214" s="1">
        <v>202</v>
      </c>
      <c r="AD214" s="1">
        <v>269</v>
      </c>
      <c r="AE214" s="1">
        <v>422</v>
      </c>
      <c r="AF214" s="1">
        <v>421</v>
      </c>
      <c r="AG214" s="1">
        <v>421</v>
      </c>
      <c r="AH214" s="1">
        <v>421</v>
      </c>
      <c r="AI214" s="4">
        <v>193.33</v>
      </c>
      <c r="AJ214" s="4">
        <v>297.67</v>
      </c>
      <c r="AK214" s="4">
        <v>421</v>
      </c>
      <c r="AL214" s="1">
        <v>0</v>
      </c>
      <c r="AM214" s="1">
        <v>4</v>
      </c>
      <c r="AN214" s="1">
        <v>5</v>
      </c>
      <c r="AO214" s="1">
        <v>1</v>
      </c>
      <c r="AP214" s="1">
        <v>0</v>
      </c>
      <c r="AQ214" s="1">
        <v>0</v>
      </c>
      <c r="AR214" s="1">
        <v>0</v>
      </c>
      <c r="AS214" s="19">
        <v>0</v>
      </c>
      <c r="AT214" s="19">
        <v>0</v>
      </c>
      <c r="AU214" s="19">
        <v>0</v>
      </c>
      <c r="AV214" s="19">
        <v>0</v>
      </c>
      <c r="AW214" s="19">
        <v>0</v>
      </c>
      <c r="AX214" s="19">
        <f t="shared" ref="AX214:BC214" si="106">AL214+AL215+AL216+AL217</f>
        <v>0</v>
      </c>
      <c r="AY214" s="19">
        <f t="shared" si="106"/>
        <v>4</v>
      </c>
      <c r="AZ214" s="19">
        <f t="shared" si="106"/>
        <v>5</v>
      </c>
      <c r="BA214" s="19">
        <f t="shared" si="106"/>
        <v>1</v>
      </c>
      <c r="BB214" s="19">
        <f t="shared" si="106"/>
        <v>0</v>
      </c>
      <c r="BC214" s="19">
        <f t="shared" si="106"/>
        <v>0</v>
      </c>
      <c r="BD214" s="1">
        <f>AX214*3</f>
        <v>0</v>
      </c>
      <c r="BE214" s="1">
        <f t="shared" ref="BE214:BI214" si="107">AY214*3</f>
        <v>12</v>
      </c>
      <c r="BF214" s="1">
        <f t="shared" si="107"/>
        <v>15</v>
      </c>
      <c r="BG214" s="1">
        <f t="shared" si="107"/>
        <v>3</v>
      </c>
      <c r="BH214" s="1">
        <f t="shared" si="107"/>
        <v>0</v>
      </c>
      <c r="BI214" s="1">
        <f t="shared" si="107"/>
        <v>0</v>
      </c>
      <c r="BJ214" s="1">
        <f>AX214+AY214+AZ214</f>
        <v>9</v>
      </c>
      <c r="BK214" s="1">
        <f>BA214+BB214+BC214</f>
        <v>1</v>
      </c>
      <c r="BL214" s="1">
        <f>BJ214*3</f>
        <v>27</v>
      </c>
      <c r="BM214" s="1">
        <f>BK214*3</f>
        <v>3</v>
      </c>
      <c r="BN214" s="1">
        <f>BL214/3</f>
        <v>9</v>
      </c>
      <c r="BO214" s="1">
        <f>BM214/3</f>
        <v>1</v>
      </c>
      <c r="BP214" s="4">
        <v>184.33333333333334</v>
      </c>
      <c r="BQ214" s="4">
        <v>296.66666666666669</v>
      </c>
      <c r="BR214" s="4">
        <v>421</v>
      </c>
      <c r="BS214" s="4">
        <v>296.67</v>
      </c>
      <c r="BT214" s="4">
        <v>421</v>
      </c>
      <c r="BU214" s="4">
        <v>2.67</v>
      </c>
      <c r="BV214" s="1">
        <v>0</v>
      </c>
      <c r="BW214" s="1">
        <v>1</v>
      </c>
      <c r="BX214" s="1">
        <v>1</v>
      </c>
      <c r="BY214" s="1">
        <v>1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6</v>
      </c>
      <c r="CJ214" s="1">
        <v>5</v>
      </c>
      <c r="CK214" s="1">
        <v>5</v>
      </c>
      <c r="CL214" s="1">
        <v>5</v>
      </c>
      <c r="CM214" s="1">
        <v>2</v>
      </c>
      <c r="CN214" s="1">
        <v>1</v>
      </c>
      <c r="CO214" s="1">
        <v>5</v>
      </c>
      <c r="CP214" s="1">
        <v>3</v>
      </c>
      <c r="CQ214" s="1">
        <v>5</v>
      </c>
      <c r="CR214" s="1">
        <v>6</v>
      </c>
      <c r="CS214" s="1">
        <v>6</v>
      </c>
      <c r="CT214" s="1">
        <v>5</v>
      </c>
      <c r="CU214" s="1">
        <v>5</v>
      </c>
      <c r="CV214" s="1">
        <v>5</v>
      </c>
      <c r="CW214" s="1">
        <v>6</v>
      </c>
      <c r="CX214" s="1">
        <v>7</v>
      </c>
      <c r="CY214" s="1">
        <v>4</v>
      </c>
      <c r="CZ214" s="1">
        <v>7</v>
      </c>
      <c r="DA214" s="1">
        <v>7</v>
      </c>
      <c r="DB214" s="1">
        <v>7</v>
      </c>
      <c r="DC214" s="1">
        <v>7</v>
      </c>
      <c r="DD214" s="1">
        <v>4</v>
      </c>
      <c r="DE214" s="1">
        <v>6</v>
      </c>
      <c r="DF214" s="1">
        <v>1</v>
      </c>
      <c r="DG214" s="1">
        <v>1</v>
      </c>
      <c r="DH214" s="1">
        <v>1</v>
      </c>
      <c r="DI214" s="1">
        <v>1</v>
      </c>
      <c r="DJ214" s="1">
        <v>1</v>
      </c>
      <c r="DK214" s="1">
        <v>1</v>
      </c>
      <c r="DL214" s="1">
        <v>7</v>
      </c>
      <c r="DM214" s="19">
        <v>7</v>
      </c>
      <c r="DN214" s="19">
        <v>1</v>
      </c>
      <c r="DO214" s="1">
        <v>1</v>
      </c>
      <c r="DP214" s="1">
        <v>1</v>
      </c>
      <c r="DQ214" s="1">
        <v>1</v>
      </c>
      <c r="DR214" s="1">
        <v>2</v>
      </c>
      <c r="DS214" s="1">
        <v>2</v>
      </c>
      <c r="DT214" s="1">
        <v>2</v>
      </c>
      <c r="DU214" s="27">
        <v>1</v>
      </c>
      <c r="DV214" s="27">
        <v>1</v>
      </c>
      <c r="DW214" s="27">
        <v>1</v>
      </c>
      <c r="DX214" s="27">
        <v>1</v>
      </c>
      <c r="DY214" s="27">
        <v>1</v>
      </c>
      <c r="DZ214" s="27">
        <v>7</v>
      </c>
      <c r="EA214" s="27">
        <v>5</v>
      </c>
      <c r="EB214" s="27">
        <v>1</v>
      </c>
      <c r="EC214" s="27">
        <v>1</v>
      </c>
      <c r="ED214" s="27">
        <v>1</v>
      </c>
      <c r="EE214" s="27">
        <v>1</v>
      </c>
      <c r="EF214" s="27">
        <v>1</v>
      </c>
      <c r="EG214" s="27">
        <v>1</v>
      </c>
      <c r="EH214" s="27">
        <v>7</v>
      </c>
      <c r="EI214" s="27">
        <v>7</v>
      </c>
      <c r="EJ214" s="27">
        <v>7</v>
      </c>
      <c r="EK214" s="27">
        <v>7</v>
      </c>
      <c r="EL214" s="27">
        <v>4</v>
      </c>
      <c r="EM214" s="27">
        <v>1</v>
      </c>
      <c r="EN214" s="27">
        <v>1</v>
      </c>
      <c r="EO214" s="27">
        <v>1</v>
      </c>
      <c r="EP214" s="27">
        <v>1</v>
      </c>
      <c r="EQ214" s="27">
        <v>4</v>
      </c>
      <c r="ER214" s="27">
        <v>7</v>
      </c>
      <c r="ES214" s="27">
        <v>7</v>
      </c>
      <c r="ET214" s="27">
        <v>1</v>
      </c>
      <c r="EU214" s="27">
        <v>1</v>
      </c>
      <c r="EV214" s="27">
        <v>19</v>
      </c>
      <c r="EW214" s="27">
        <v>1</v>
      </c>
      <c r="EY214" s="27">
        <v>1</v>
      </c>
      <c r="FA214" s="27">
        <v>2</v>
      </c>
      <c r="FB214" s="28" t="s">
        <v>904</v>
      </c>
      <c r="FC214" s="27">
        <v>0</v>
      </c>
      <c r="FD214" s="1">
        <v>8</v>
      </c>
      <c r="FE214" s="4">
        <v>5.29</v>
      </c>
      <c r="FF214" s="4">
        <v>5.81</v>
      </c>
      <c r="FG214" s="4">
        <v>6.44</v>
      </c>
      <c r="FH214" s="4">
        <v>5.67</v>
      </c>
      <c r="FI214" s="4">
        <v>5.5</v>
      </c>
      <c r="FJ214" s="23">
        <v>6</v>
      </c>
      <c r="FK214" s="4">
        <v>3.33</v>
      </c>
      <c r="FL214" s="4">
        <v>5.75</v>
      </c>
      <c r="FM214" s="4">
        <v>3.5</v>
      </c>
      <c r="FN214" s="4">
        <v>3.75</v>
      </c>
      <c r="FO214" s="4">
        <v>4.67</v>
      </c>
      <c r="FP214" s="4">
        <v>3.67</v>
      </c>
      <c r="FQ214" s="4">
        <v>2.75</v>
      </c>
      <c r="FR214" s="4">
        <v>4.25</v>
      </c>
      <c r="FS214" s="4">
        <v>3.75</v>
      </c>
      <c r="FT214" s="4">
        <v>3.5</v>
      </c>
      <c r="FU214" s="4">
        <v>3</v>
      </c>
      <c r="FV214" s="4">
        <v>4.25</v>
      </c>
      <c r="FW214" s="4">
        <v>3.75</v>
      </c>
      <c r="FX214" s="4">
        <v>4</v>
      </c>
      <c r="FY214" s="4">
        <v>5</v>
      </c>
      <c r="FZ214" s="4">
        <v>4.67</v>
      </c>
      <c r="GA214" s="4">
        <v>2.75</v>
      </c>
      <c r="GB214" s="4">
        <v>3.08</v>
      </c>
      <c r="GC214" s="4">
        <v>5.25</v>
      </c>
      <c r="GD214" s="4">
        <v>2.25</v>
      </c>
      <c r="GE214" s="26"/>
      <c r="GF214" s="26"/>
      <c r="GG214" s="4"/>
      <c r="JH214" s="1"/>
      <c r="JV214" s="1"/>
      <c r="KM214" s="4"/>
      <c r="LA214" s="4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</row>
    <row r="215" spans="1:376" x14ac:dyDescent="0.35">
      <c r="A215" s="14">
        <v>43510</v>
      </c>
      <c r="B215" s="16" t="s">
        <v>142</v>
      </c>
      <c r="C215" s="16" t="s">
        <v>376</v>
      </c>
      <c r="D215" s="1">
        <v>214</v>
      </c>
      <c r="E215" s="1">
        <v>5</v>
      </c>
      <c r="F215" s="1">
        <v>5</v>
      </c>
      <c r="H215" s="1">
        <v>54</v>
      </c>
      <c r="I215" s="1">
        <v>2</v>
      </c>
      <c r="K215" s="18">
        <v>0</v>
      </c>
      <c r="L215" s="18">
        <v>0</v>
      </c>
      <c r="M215" s="18">
        <v>1</v>
      </c>
      <c r="N215" s="18">
        <v>1</v>
      </c>
      <c r="O215" s="18">
        <v>1</v>
      </c>
      <c r="P215" s="4">
        <v>0.6</v>
      </c>
      <c r="Q215" s="3">
        <v>53</v>
      </c>
      <c r="R215" s="1">
        <v>51</v>
      </c>
      <c r="S215" s="1">
        <v>46</v>
      </c>
      <c r="T215" s="1">
        <v>47</v>
      </c>
      <c r="U215" s="1">
        <v>75</v>
      </c>
      <c r="V215" s="1">
        <v>121</v>
      </c>
      <c r="W215" s="1">
        <v>114</v>
      </c>
      <c r="X215" s="1">
        <v>121</v>
      </c>
      <c r="Y215" s="1">
        <v>121</v>
      </c>
      <c r="AI215" s="4"/>
      <c r="AJ215" s="4"/>
      <c r="AK215" s="4"/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9">
        <v>8</v>
      </c>
      <c r="AT215" s="19">
        <v>8</v>
      </c>
      <c r="AU215" s="19">
        <v>2</v>
      </c>
      <c r="AV215" s="19">
        <v>0</v>
      </c>
      <c r="AW215" s="19">
        <v>0</v>
      </c>
      <c r="AX215" s="19"/>
      <c r="AY215"/>
      <c r="AZ215"/>
      <c r="BA215"/>
      <c r="BB215"/>
      <c r="BC215"/>
      <c r="BP215" s="4"/>
      <c r="BQ215" s="4"/>
      <c r="BR215" s="4"/>
      <c r="BS215" s="4"/>
      <c r="BT215" s="4"/>
      <c r="BU215" s="4"/>
      <c r="CI215" s="1">
        <v>6</v>
      </c>
      <c r="CJ215" s="1">
        <v>6</v>
      </c>
      <c r="CK215" s="1">
        <v>6</v>
      </c>
      <c r="CL215" s="1">
        <v>6</v>
      </c>
      <c r="CM215" s="1">
        <v>6</v>
      </c>
      <c r="CN215" s="1">
        <v>6</v>
      </c>
      <c r="CO215" s="1">
        <v>6</v>
      </c>
      <c r="CP215" s="1">
        <v>1</v>
      </c>
      <c r="CQ215" s="1">
        <v>7</v>
      </c>
      <c r="CR215" s="1">
        <v>7</v>
      </c>
      <c r="CS215" s="1">
        <v>7</v>
      </c>
      <c r="CT215" s="1">
        <v>7</v>
      </c>
      <c r="CU215" s="1">
        <v>5</v>
      </c>
      <c r="CV215" s="1">
        <v>5</v>
      </c>
      <c r="CW215" s="1">
        <v>6</v>
      </c>
      <c r="CX215" s="1">
        <v>7</v>
      </c>
      <c r="CY215" s="1">
        <v>6</v>
      </c>
      <c r="CZ215" s="1">
        <v>6</v>
      </c>
      <c r="DA215" s="1">
        <v>6</v>
      </c>
      <c r="DB215" s="1">
        <v>6</v>
      </c>
      <c r="DC215" s="1">
        <v>6</v>
      </c>
      <c r="DD215" s="1">
        <v>6</v>
      </c>
      <c r="DE215" s="1">
        <v>6</v>
      </c>
      <c r="DF215" s="1">
        <v>6</v>
      </c>
      <c r="DG215" s="1">
        <v>6</v>
      </c>
      <c r="DH215" s="1">
        <v>6</v>
      </c>
      <c r="DI215" s="1">
        <v>6</v>
      </c>
      <c r="DJ215" s="1">
        <v>6</v>
      </c>
      <c r="DK215" s="1">
        <v>6</v>
      </c>
      <c r="DL215" s="1">
        <v>7</v>
      </c>
      <c r="DM215" s="19">
        <v>7</v>
      </c>
      <c r="DN215" s="19">
        <v>6</v>
      </c>
      <c r="DO215" s="1">
        <v>6</v>
      </c>
      <c r="DP215" s="1">
        <v>6</v>
      </c>
      <c r="DQ215" s="1">
        <v>6</v>
      </c>
      <c r="DR215" s="1">
        <v>6</v>
      </c>
      <c r="DS215" s="1">
        <v>5</v>
      </c>
      <c r="DT215" s="1">
        <v>5</v>
      </c>
      <c r="DU215" s="27">
        <v>2</v>
      </c>
      <c r="DV215" s="27">
        <v>2</v>
      </c>
      <c r="DW215" s="27">
        <v>4</v>
      </c>
      <c r="DX215" s="27">
        <v>4</v>
      </c>
      <c r="DY215" s="27">
        <v>4</v>
      </c>
      <c r="DZ215" s="27">
        <v>5</v>
      </c>
      <c r="EA215" s="27">
        <v>6</v>
      </c>
      <c r="EB215" s="27">
        <v>4</v>
      </c>
      <c r="EC215" s="27">
        <v>3</v>
      </c>
      <c r="ED215" s="27">
        <v>3</v>
      </c>
      <c r="EE215" s="27">
        <v>3</v>
      </c>
      <c r="EF215" s="27">
        <v>3</v>
      </c>
      <c r="EG215" s="27">
        <v>4</v>
      </c>
      <c r="EH215" s="27">
        <v>3</v>
      </c>
      <c r="EI215" s="27">
        <v>2</v>
      </c>
      <c r="EJ215" s="27">
        <v>2</v>
      </c>
      <c r="EK215" s="27">
        <v>3</v>
      </c>
      <c r="EL215" s="27">
        <v>2</v>
      </c>
      <c r="EM215" s="27">
        <v>4</v>
      </c>
      <c r="EN215" s="27">
        <v>5</v>
      </c>
      <c r="EO215" s="27">
        <v>1</v>
      </c>
      <c r="EP215" s="27">
        <v>1</v>
      </c>
      <c r="EQ215" s="27">
        <v>1</v>
      </c>
      <c r="ER215" s="27">
        <v>3</v>
      </c>
      <c r="ES215" s="27">
        <v>2</v>
      </c>
      <c r="ET215" s="27">
        <v>1</v>
      </c>
      <c r="EU215" s="27">
        <v>1</v>
      </c>
      <c r="EV215" s="27">
        <v>21</v>
      </c>
      <c r="EW215" s="27">
        <v>2</v>
      </c>
      <c r="EY215" s="27">
        <v>1</v>
      </c>
      <c r="FA215" s="27">
        <v>3</v>
      </c>
      <c r="FB215" s="28" t="s">
        <v>905</v>
      </c>
      <c r="FC215" s="27">
        <v>0</v>
      </c>
      <c r="FD215" s="1">
        <v>6</v>
      </c>
      <c r="FE215" s="4"/>
      <c r="FF215" s="4"/>
      <c r="FG215" s="4"/>
      <c r="FH215" s="4"/>
      <c r="FI215" s="4"/>
      <c r="FJ215" s="23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26"/>
      <c r="GF215" s="26"/>
      <c r="GG215" s="4"/>
      <c r="JH215" s="1"/>
      <c r="JV215" s="1"/>
      <c r="KM215" s="4"/>
      <c r="LA215" s="4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</row>
    <row r="216" spans="1:376" x14ac:dyDescent="0.35">
      <c r="A216" s="14">
        <v>43510</v>
      </c>
      <c r="B216" s="16" t="s">
        <v>142</v>
      </c>
      <c r="C216" s="16" t="s">
        <v>377</v>
      </c>
      <c r="D216" s="1">
        <v>215</v>
      </c>
      <c r="E216" s="1">
        <v>5</v>
      </c>
      <c r="F216" s="1">
        <v>5</v>
      </c>
      <c r="H216" s="1">
        <v>54</v>
      </c>
      <c r="I216" s="1">
        <v>3</v>
      </c>
      <c r="K216" s="18">
        <v>0</v>
      </c>
      <c r="L216" s="18">
        <v>1</v>
      </c>
      <c r="M216" s="18">
        <v>1</v>
      </c>
      <c r="N216" s="18">
        <v>1</v>
      </c>
      <c r="O216" s="18">
        <v>0</v>
      </c>
      <c r="P216" s="4">
        <v>0.6</v>
      </c>
      <c r="Q216" s="3">
        <v>42</v>
      </c>
      <c r="R216" s="1">
        <v>45</v>
      </c>
      <c r="S216" s="1">
        <v>37</v>
      </c>
      <c r="T216" s="1">
        <v>47</v>
      </c>
      <c r="U216" s="1">
        <v>54</v>
      </c>
      <c r="V216" s="1">
        <v>77</v>
      </c>
      <c r="W216" s="1">
        <v>71</v>
      </c>
      <c r="X216" s="1">
        <v>78</v>
      </c>
      <c r="Y216" s="1">
        <v>64</v>
      </c>
      <c r="AI216" s="4"/>
      <c r="AJ216" s="4"/>
      <c r="AK216" s="4"/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9">
        <v>0</v>
      </c>
      <c r="AT216" s="19">
        <v>0</v>
      </c>
      <c r="AU216" s="19">
        <v>0</v>
      </c>
      <c r="AV216" s="19">
        <v>0</v>
      </c>
      <c r="AW216" s="19">
        <v>0</v>
      </c>
      <c r="AX216" s="19"/>
      <c r="AY216"/>
      <c r="AZ216"/>
      <c r="BA216"/>
      <c r="BB216"/>
      <c r="BC216"/>
      <c r="BP216" s="4"/>
      <c r="BQ216" s="4"/>
      <c r="BR216" s="4"/>
      <c r="BS216" s="4"/>
      <c r="BT216" s="4"/>
      <c r="BU216" s="4"/>
      <c r="CI216" s="1">
        <v>5</v>
      </c>
      <c r="CJ216" s="1">
        <v>6</v>
      </c>
      <c r="CK216" s="1">
        <v>6</v>
      </c>
      <c r="CL216" s="1">
        <v>5</v>
      </c>
      <c r="CM216" s="1">
        <v>4</v>
      </c>
      <c r="CN216" s="1">
        <v>5</v>
      </c>
      <c r="CO216" s="1">
        <v>5</v>
      </c>
      <c r="CP216" s="1">
        <v>4</v>
      </c>
      <c r="CQ216" s="1">
        <v>5</v>
      </c>
      <c r="CR216" s="1">
        <v>5</v>
      </c>
      <c r="CS216" s="1">
        <v>5</v>
      </c>
      <c r="CT216" s="1">
        <v>4</v>
      </c>
      <c r="CU216" s="1">
        <v>5</v>
      </c>
      <c r="CV216" s="1">
        <v>4</v>
      </c>
      <c r="CW216" s="1">
        <v>5</v>
      </c>
      <c r="CX216" s="1">
        <v>4</v>
      </c>
      <c r="CY216" s="1">
        <v>4</v>
      </c>
      <c r="CZ216" s="1">
        <v>4</v>
      </c>
      <c r="DA216" s="1">
        <v>4</v>
      </c>
      <c r="DB216" s="1">
        <v>4</v>
      </c>
      <c r="DC216" s="1">
        <v>4</v>
      </c>
      <c r="DD216" s="1">
        <v>4</v>
      </c>
      <c r="DE216" s="1">
        <v>5</v>
      </c>
      <c r="DF216" s="1">
        <v>2</v>
      </c>
      <c r="DG216" s="1">
        <v>2</v>
      </c>
      <c r="DH216" s="1">
        <v>4</v>
      </c>
      <c r="DI216" s="1">
        <v>2</v>
      </c>
      <c r="DJ216" s="1">
        <v>4</v>
      </c>
      <c r="DK216" s="1">
        <v>4</v>
      </c>
      <c r="DL216" s="1">
        <v>2</v>
      </c>
      <c r="DM216" s="19">
        <v>2</v>
      </c>
      <c r="DN216" s="19">
        <v>2</v>
      </c>
      <c r="DO216" s="1">
        <v>2</v>
      </c>
      <c r="DP216" s="1">
        <v>4</v>
      </c>
      <c r="DQ216" s="1">
        <v>2</v>
      </c>
      <c r="DR216" s="1">
        <v>7</v>
      </c>
      <c r="DS216" s="1">
        <v>5</v>
      </c>
      <c r="DT216" s="1">
        <v>4</v>
      </c>
      <c r="DU216" s="27">
        <v>4</v>
      </c>
      <c r="DV216" s="27">
        <v>4</v>
      </c>
      <c r="DW216" s="27">
        <v>4</v>
      </c>
      <c r="DX216" s="27">
        <v>2</v>
      </c>
      <c r="DY216" s="27">
        <v>2</v>
      </c>
      <c r="DZ216" s="27">
        <v>6</v>
      </c>
      <c r="EA216" s="27">
        <v>4</v>
      </c>
      <c r="EB216" s="27">
        <v>4</v>
      </c>
      <c r="EC216" s="27">
        <v>4</v>
      </c>
      <c r="ED216" s="27">
        <v>4</v>
      </c>
      <c r="EE216" s="27">
        <v>6</v>
      </c>
      <c r="EF216" s="27">
        <v>4</v>
      </c>
      <c r="EG216" s="27">
        <v>4</v>
      </c>
      <c r="EH216" s="27">
        <v>4</v>
      </c>
      <c r="EI216" s="27">
        <v>4</v>
      </c>
      <c r="EJ216" s="27">
        <v>4</v>
      </c>
      <c r="EK216" s="27">
        <v>4</v>
      </c>
      <c r="EL216" s="27">
        <v>4</v>
      </c>
      <c r="EM216" s="27">
        <v>4</v>
      </c>
      <c r="EN216" s="27">
        <v>4</v>
      </c>
      <c r="EO216" s="27">
        <v>4</v>
      </c>
      <c r="EP216" s="27">
        <v>4</v>
      </c>
      <c r="EQ216" s="27">
        <v>4</v>
      </c>
      <c r="ER216" s="27">
        <v>6</v>
      </c>
      <c r="ES216" s="27">
        <v>4</v>
      </c>
      <c r="ET216" s="27">
        <v>4</v>
      </c>
      <c r="EU216" s="27">
        <v>2</v>
      </c>
      <c r="EV216" s="27">
        <v>27</v>
      </c>
      <c r="EW216" s="27">
        <v>1</v>
      </c>
      <c r="EY216" s="27">
        <v>1</v>
      </c>
      <c r="FA216" s="27">
        <v>3</v>
      </c>
      <c r="FB216" s="28" t="s">
        <v>906</v>
      </c>
      <c r="FC216" s="27">
        <v>1</v>
      </c>
      <c r="FD216" s="1">
        <v>1</v>
      </c>
      <c r="FE216" s="4"/>
      <c r="FF216" s="4"/>
      <c r="FG216" s="4"/>
      <c r="FH216" s="4"/>
      <c r="FI216" s="4"/>
      <c r="FJ216" s="23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26"/>
      <c r="GF216" s="26"/>
      <c r="GG216" s="4"/>
      <c r="JH216" s="1"/>
      <c r="JV216" s="1"/>
      <c r="KM216" s="4"/>
      <c r="LA216" s="4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</row>
    <row r="217" spans="1:376" x14ac:dyDescent="0.35">
      <c r="A217" s="14">
        <v>43510</v>
      </c>
      <c r="B217" s="16" t="s">
        <v>142</v>
      </c>
      <c r="C217" s="16" t="s">
        <v>378</v>
      </c>
      <c r="D217" s="1">
        <v>216</v>
      </c>
      <c r="E217" s="1">
        <v>5</v>
      </c>
      <c r="F217" s="1">
        <v>5</v>
      </c>
      <c r="H217" s="1">
        <v>54</v>
      </c>
      <c r="I217" s="1">
        <v>4</v>
      </c>
      <c r="K217" s="18">
        <v>1</v>
      </c>
      <c r="L217" s="18">
        <v>1</v>
      </c>
      <c r="M217" s="18">
        <v>1</v>
      </c>
      <c r="N217" s="18">
        <v>1</v>
      </c>
      <c r="O217" s="18">
        <v>1</v>
      </c>
      <c r="P217" s="4">
        <v>1</v>
      </c>
      <c r="Q217" s="3">
        <v>53</v>
      </c>
      <c r="R217" s="1">
        <v>43</v>
      </c>
      <c r="S217" s="1">
        <v>47</v>
      </c>
      <c r="T217" s="1">
        <v>46</v>
      </c>
      <c r="U217" s="1">
        <v>48</v>
      </c>
      <c r="V217" s="1">
        <v>103</v>
      </c>
      <c r="W217" s="1">
        <v>111</v>
      </c>
      <c r="X217" s="1">
        <v>103</v>
      </c>
      <c r="Y217" s="1">
        <v>109</v>
      </c>
      <c r="AI217" s="4"/>
      <c r="AJ217" s="4"/>
      <c r="AK217" s="4"/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9">
        <v>0</v>
      </c>
      <c r="AT217" s="19">
        <v>2</v>
      </c>
      <c r="AU217" s="19">
        <v>0</v>
      </c>
      <c r="AV217" s="19">
        <v>0</v>
      </c>
      <c r="AW217" s="19">
        <v>0</v>
      </c>
      <c r="AX217" s="19"/>
      <c r="AY217"/>
      <c r="AZ217"/>
      <c r="BA217"/>
      <c r="BB217"/>
      <c r="BC217"/>
      <c r="BP217" s="4"/>
      <c r="BQ217" s="4"/>
      <c r="BR217" s="4"/>
      <c r="BS217" s="4"/>
      <c r="BT217" s="4"/>
      <c r="BU217" s="4"/>
      <c r="CI217" s="1">
        <v>6</v>
      </c>
      <c r="CJ217" s="1">
        <v>6</v>
      </c>
      <c r="CK217" s="1">
        <v>6</v>
      </c>
      <c r="CL217" s="1">
        <v>6</v>
      </c>
      <c r="CM217" s="1">
        <v>5</v>
      </c>
      <c r="CN217" s="1">
        <v>6</v>
      </c>
      <c r="CO217" s="1">
        <v>6</v>
      </c>
      <c r="CP217" s="1">
        <v>2</v>
      </c>
      <c r="CQ217" s="1">
        <v>6</v>
      </c>
      <c r="CR217" s="1">
        <v>6</v>
      </c>
      <c r="CS217" s="1">
        <v>6</v>
      </c>
      <c r="CT217" s="1">
        <v>6</v>
      </c>
      <c r="CU217" s="1">
        <v>5</v>
      </c>
      <c r="CV217" s="1">
        <v>4</v>
      </c>
      <c r="CW217" s="1">
        <v>5</v>
      </c>
      <c r="CX217" s="1">
        <v>6</v>
      </c>
      <c r="CY217" s="1">
        <v>5</v>
      </c>
      <c r="CZ217" s="1">
        <v>6</v>
      </c>
      <c r="DA217" s="1">
        <v>6</v>
      </c>
      <c r="DB217" s="1">
        <v>5</v>
      </c>
      <c r="DC217" s="1">
        <v>7</v>
      </c>
      <c r="DD217" s="1">
        <v>6</v>
      </c>
      <c r="DE217" s="1">
        <v>7</v>
      </c>
      <c r="DF217" s="1">
        <v>5</v>
      </c>
      <c r="DG217" s="1">
        <v>2</v>
      </c>
      <c r="DH217" s="1">
        <v>5</v>
      </c>
      <c r="DI217" s="1">
        <v>4</v>
      </c>
      <c r="DJ217" s="1">
        <v>2</v>
      </c>
      <c r="DK217" s="1">
        <v>2</v>
      </c>
      <c r="DL217" s="1">
        <v>7</v>
      </c>
      <c r="DM217" s="19">
        <v>7</v>
      </c>
      <c r="DN217" s="19">
        <v>6</v>
      </c>
      <c r="DO217" s="1">
        <v>4</v>
      </c>
      <c r="DP217" s="1">
        <v>4</v>
      </c>
      <c r="DQ217" s="1">
        <v>6</v>
      </c>
      <c r="DR217" s="1">
        <v>6</v>
      </c>
      <c r="DS217" s="1">
        <v>6</v>
      </c>
      <c r="DT217" s="1">
        <v>6</v>
      </c>
      <c r="DU217" s="27">
        <v>7</v>
      </c>
      <c r="DV217" s="27">
        <v>7</v>
      </c>
      <c r="DW217" s="27">
        <v>7</v>
      </c>
      <c r="DX217" s="27">
        <v>4</v>
      </c>
      <c r="DY217" s="27">
        <v>4</v>
      </c>
      <c r="DZ217" s="27">
        <v>2</v>
      </c>
      <c r="EA217" s="27">
        <v>2</v>
      </c>
      <c r="EB217" s="27">
        <v>6</v>
      </c>
      <c r="EC217" s="27">
        <v>6</v>
      </c>
      <c r="ED217" s="27">
        <v>4</v>
      </c>
      <c r="EE217" s="27">
        <v>7</v>
      </c>
      <c r="EF217" s="27">
        <v>7</v>
      </c>
      <c r="EG217" s="27">
        <v>7</v>
      </c>
      <c r="EH217" s="27">
        <v>6</v>
      </c>
      <c r="EI217" s="27">
        <v>7</v>
      </c>
      <c r="EJ217" s="27">
        <v>6</v>
      </c>
      <c r="EK217" s="27">
        <v>6</v>
      </c>
      <c r="EL217" s="27">
        <v>7</v>
      </c>
      <c r="EM217" s="27">
        <v>2</v>
      </c>
      <c r="EN217" s="27">
        <v>1</v>
      </c>
      <c r="EO217" s="27">
        <v>6</v>
      </c>
      <c r="EP217" s="27">
        <v>6</v>
      </c>
      <c r="EQ217" s="27">
        <v>4</v>
      </c>
      <c r="ER217" s="27">
        <v>7</v>
      </c>
      <c r="ES217" s="27">
        <v>6</v>
      </c>
      <c r="ET217" s="27">
        <v>4</v>
      </c>
      <c r="EU217" s="27">
        <v>4</v>
      </c>
      <c r="EV217" s="27">
        <v>18</v>
      </c>
      <c r="EW217" s="27">
        <v>2</v>
      </c>
      <c r="EY217" s="27">
        <v>1</v>
      </c>
      <c r="FA217" s="27">
        <v>1</v>
      </c>
      <c r="FB217" s="28" t="s">
        <v>907</v>
      </c>
      <c r="FC217" s="27">
        <v>1</v>
      </c>
      <c r="FD217" s="1">
        <v>3</v>
      </c>
      <c r="FE217" s="4"/>
      <c r="FF217" s="4"/>
      <c r="FG217" s="4"/>
      <c r="FH217" s="4"/>
      <c r="FI217" s="4"/>
      <c r="FJ217" s="23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26"/>
      <c r="GF217" s="26"/>
      <c r="GG217" s="4"/>
      <c r="JH217" s="1"/>
      <c r="JV217" s="1"/>
      <c r="KM217" s="4"/>
      <c r="LA217" s="4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</row>
    <row r="218" spans="1:376" x14ac:dyDescent="0.35">
      <c r="A218" s="14">
        <v>43510</v>
      </c>
      <c r="B218" s="16" t="s">
        <v>143</v>
      </c>
      <c r="C218" s="16" t="s">
        <v>379</v>
      </c>
      <c r="D218" s="1">
        <v>217</v>
      </c>
      <c r="E218" s="1">
        <v>5</v>
      </c>
      <c r="F218" s="1">
        <v>5</v>
      </c>
      <c r="G218" s="1">
        <v>0</v>
      </c>
      <c r="H218" s="1">
        <v>55</v>
      </c>
      <c r="I218" s="1">
        <v>1</v>
      </c>
      <c r="J218" s="1">
        <v>1</v>
      </c>
      <c r="K218" s="18">
        <v>0</v>
      </c>
      <c r="L218" s="18">
        <v>0</v>
      </c>
      <c r="M218" s="18">
        <v>1</v>
      </c>
      <c r="N218" s="18">
        <v>1</v>
      </c>
      <c r="O218" s="18">
        <v>0</v>
      </c>
      <c r="P218" s="4">
        <v>0.4</v>
      </c>
      <c r="Q218" s="3">
        <v>31</v>
      </c>
      <c r="R218" s="1">
        <v>42</v>
      </c>
      <c r="S218" s="1">
        <v>44</v>
      </c>
      <c r="T218" s="1">
        <v>51</v>
      </c>
      <c r="U218" s="1">
        <v>86</v>
      </c>
      <c r="V218" s="1">
        <v>73</v>
      </c>
      <c r="W218" s="1">
        <v>73</v>
      </c>
      <c r="X218" s="1">
        <v>67</v>
      </c>
      <c r="Y218" s="1">
        <v>85</v>
      </c>
      <c r="Z218" s="1">
        <v>246</v>
      </c>
      <c r="AA218" s="1">
        <v>228</v>
      </c>
      <c r="AB218" s="1">
        <v>235</v>
      </c>
      <c r="AC218" s="1">
        <v>313</v>
      </c>
      <c r="AD218" s="1">
        <v>335</v>
      </c>
      <c r="AE218" s="1">
        <v>317</v>
      </c>
      <c r="AF218" s="1">
        <v>344</v>
      </c>
      <c r="AG218" s="1">
        <v>345</v>
      </c>
      <c r="AH218" s="1">
        <v>372</v>
      </c>
      <c r="AI218" s="4">
        <v>236.33</v>
      </c>
      <c r="AJ218" s="4">
        <v>321.67</v>
      </c>
      <c r="AK218" s="4">
        <v>353.67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9">
        <v>0</v>
      </c>
      <c r="AT218" s="19">
        <v>0</v>
      </c>
      <c r="AU218" s="19">
        <v>0</v>
      </c>
      <c r="AV218" s="19">
        <v>0</v>
      </c>
      <c r="AW218" s="19">
        <v>0</v>
      </c>
      <c r="AX218" s="19">
        <f t="shared" ref="AX218:BC218" si="108">AL218+AL219+AL220+AL221</f>
        <v>1</v>
      </c>
      <c r="AY218" s="19">
        <f t="shared" si="108"/>
        <v>0</v>
      </c>
      <c r="AZ218" s="19">
        <f t="shared" si="108"/>
        <v>0</v>
      </c>
      <c r="BA218" s="19">
        <f t="shared" si="108"/>
        <v>0</v>
      </c>
      <c r="BB218" s="19">
        <f t="shared" si="108"/>
        <v>0</v>
      </c>
      <c r="BC218" s="19">
        <f t="shared" si="108"/>
        <v>0</v>
      </c>
      <c r="BD218" s="1">
        <f>AX218*3</f>
        <v>3</v>
      </c>
      <c r="BE218" s="1">
        <f t="shared" ref="BE218:BI218" si="109">AY218*3</f>
        <v>0</v>
      </c>
      <c r="BF218" s="1">
        <f t="shared" si="109"/>
        <v>0</v>
      </c>
      <c r="BG218" s="1">
        <f t="shared" si="109"/>
        <v>0</v>
      </c>
      <c r="BH218" s="1">
        <f t="shared" si="109"/>
        <v>0</v>
      </c>
      <c r="BI218" s="1">
        <f t="shared" si="109"/>
        <v>0</v>
      </c>
      <c r="BJ218" s="1">
        <f>AX218+AY218+AZ218</f>
        <v>1</v>
      </c>
      <c r="BK218" s="1">
        <f>BA218+BB218+BC218</f>
        <v>0</v>
      </c>
      <c r="BL218" s="1">
        <f>BJ218*3</f>
        <v>3</v>
      </c>
      <c r="BM218" s="1">
        <f>BK218*3</f>
        <v>0</v>
      </c>
      <c r="BN218" s="1">
        <f>BL218/3</f>
        <v>1</v>
      </c>
      <c r="BO218" s="1">
        <f>BM218/3</f>
        <v>0</v>
      </c>
      <c r="BP218" s="4">
        <v>235.33333333333334</v>
      </c>
      <c r="BQ218" s="4">
        <v>321.66666666666669</v>
      </c>
      <c r="BR218" s="4">
        <v>353.66666666666669</v>
      </c>
      <c r="BS218" s="4">
        <v>321.67</v>
      </c>
      <c r="BT218" s="4">
        <v>353.67</v>
      </c>
      <c r="BU218" s="4">
        <v>3</v>
      </c>
      <c r="BV218" s="1">
        <v>3</v>
      </c>
      <c r="BW218" s="1">
        <v>3</v>
      </c>
      <c r="BX218" s="1">
        <v>3</v>
      </c>
      <c r="BY218" s="1">
        <v>3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7</v>
      </c>
      <c r="CJ218" s="1">
        <v>7</v>
      </c>
      <c r="CK218" s="1">
        <v>7</v>
      </c>
      <c r="CL218" s="1">
        <v>6</v>
      </c>
      <c r="CM218" s="1">
        <v>6</v>
      </c>
      <c r="CN218" s="1">
        <v>6</v>
      </c>
      <c r="CO218" s="1">
        <v>4</v>
      </c>
      <c r="CP218" s="1">
        <v>3</v>
      </c>
      <c r="CQ218" s="1">
        <v>5</v>
      </c>
      <c r="CR218" s="1">
        <v>6</v>
      </c>
      <c r="CS218" s="1">
        <v>6</v>
      </c>
      <c r="CT218" s="1">
        <v>5</v>
      </c>
      <c r="CU218" s="1">
        <v>6</v>
      </c>
      <c r="CV218" s="1">
        <v>6</v>
      </c>
      <c r="CW218" s="1">
        <v>6</v>
      </c>
      <c r="CX218" s="1">
        <v>6</v>
      </c>
      <c r="CY218" s="1">
        <v>6</v>
      </c>
      <c r="CZ218" s="1">
        <v>7</v>
      </c>
      <c r="DA218" s="1">
        <v>6</v>
      </c>
      <c r="DB218" s="1">
        <v>7</v>
      </c>
      <c r="DC218" s="1">
        <v>6</v>
      </c>
      <c r="DD218" s="1">
        <v>6</v>
      </c>
      <c r="DE218" s="1">
        <v>6</v>
      </c>
      <c r="DF218" s="1">
        <v>5</v>
      </c>
      <c r="DG218" s="1">
        <v>5</v>
      </c>
      <c r="DH218" s="1">
        <v>2</v>
      </c>
      <c r="DI218" s="1">
        <v>5</v>
      </c>
      <c r="DJ218" s="1">
        <v>3</v>
      </c>
      <c r="DK218" s="1">
        <v>4</v>
      </c>
      <c r="DL218" s="1">
        <v>6</v>
      </c>
      <c r="DM218" s="19">
        <v>6</v>
      </c>
      <c r="DN218" s="19">
        <v>2</v>
      </c>
      <c r="DO218" s="1">
        <v>2</v>
      </c>
      <c r="DP218" s="1">
        <v>5</v>
      </c>
      <c r="DQ218" s="1">
        <v>6</v>
      </c>
      <c r="DR218" s="1">
        <v>6</v>
      </c>
      <c r="DS218" s="1">
        <v>6</v>
      </c>
      <c r="DT218" s="1">
        <v>6</v>
      </c>
      <c r="DU218" s="27">
        <v>5</v>
      </c>
      <c r="DV218" s="27">
        <v>4</v>
      </c>
      <c r="DW218" s="27">
        <v>4</v>
      </c>
      <c r="DX218" s="27">
        <v>3</v>
      </c>
      <c r="DY218" s="27">
        <v>3</v>
      </c>
      <c r="DZ218" s="27">
        <v>3</v>
      </c>
      <c r="EA218" s="27">
        <v>1</v>
      </c>
      <c r="EB218" s="27">
        <v>2</v>
      </c>
      <c r="EC218" s="27">
        <v>6</v>
      </c>
      <c r="ED218" s="27">
        <v>3</v>
      </c>
      <c r="EE218" s="27">
        <v>4</v>
      </c>
      <c r="EF218" s="27">
        <v>5</v>
      </c>
      <c r="EG218" s="27">
        <v>5</v>
      </c>
      <c r="EH218" s="27">
        <v>6</v>
      </c>
      <c r="EI218" s="27">
        <v>6</v>
      </c>
      <c r="EJ218" s="27">
        <v>3</v>
      </c>
      <c r="EK218" s="27">
        <v>5</v>
      </c>
      <c r="EL218" s="27">
        <v>5</v>
      </c>
      <c r="EM218" s="27">
        <v>3</v>
      </c>
      <c r="EN218" s="27">
        <v>3</v>
      </c>
      <c r="EO218" s="27">
        <v>5</v>
      </c>
      <c r="EP218" s="27">
        <v>5</v>
      </c>
      <c r="EQ218" s="27">
        <v>5</v>
      </c>
      <c r="ER218" s="27">
        <v>5</v>
      </c>
      <c r="ES218" s="27">
        <v>4</v>
      </c>
      <c r="ET218" s="27">
        <v>4</v>
      </c>
      <c r="EU218" s="27">
        <v>4</v>
      </c>
      <c r="EV218" s="27">
        <v>21</v>
      </c>
      <c r="EW218" s="27">
        <v>2</v>
      </c>
      <c r="EY218" s="27">
        <v>4</v>
      </c>
      <c r="FA218" s="27">
        <v>3</v>
      </c>
      <c r="FB218" s="28" t="s">
        <v>908</v>
      </c>
      <c r="FC218" s="27">
        <v>0</v>
      </c>
      <c r="FD218" s="1">
        <v>9</v>
      </c>
      <c r="FE218" s="4">
        <v>6.36</v>
      </c>
      <c r="FF218" s="4">
        <v>6.13</v>
      </c>
      <c r="FG218" s="4">
        <v>7.75</v>
      </c>
      <c r="FH218" s="4">
        <v>6.67</v>
      </c>
      <c r="FI218" s="4">
        <v>6.25</v>
      </c>
      <c r="FJ218" s="23">
        <v>6.25</v>
      </c>
      <c r="FK218" s="4">
        <v>4.54</v>
      </c>
      <c r="FL218" s="4">
        <v>5.63</v>
      </c>
      <c r="FM218" s="4">
        <v>3.5</v>
      </c>
      <c r="FN218" s="4">
        <v>4.38</v>
      </c>
      <c r="FO218" s="4">
        <v>6</v>
      </c>
      <c r="FP218" s="4">
        <v>4.83</v>
      </c>
      <c r="FQ218" s="4">
        <v>3.63</v>
      </c>
      <c r="FR218" s="4">
        <v>1.25</v>
      </c>
      <c r="FS218" s="4">
        <v>4.25</v>
      </c>
      <c r="FT218" s="4">
        <v>6</v>
      </c>
      <c r="FU218" s="4">
        <v>3.5</v>
      </c>
      <c r="FV218" s="4">
        <v>5.25</v>
      </c>
      <c r="FW218" s="4">
        <v>5.25</v>
      </c>
      <c r="FX218" s="4">
        <v>5.75</v>
      </c>
      <c r="FY218" s="4">
        <v>6.5</v>
      </c>
      <c r="FZ218" s="4">
        <v>5.25</v>
      </c>
      <c r="GA218" s="4">
        <v>2</v>
      </c>
      <c r="GB218" s="4">
        <v>5.75</v>
      </c>
      <c r="GC218" s="4">
        <v>5.13</v>
      </c>
      <c r="GD218" s="4">
        <v>4</v>
      </c>
      <c r="GE218" s="26"/>
      <c r="GF218" s="26"/>
      <c r="GG218" s="4"/>
      <c r="JH218" s="1"/>
      <c r="JV218" s="1"/>
      <c r="KM218" s="4"/>
      <c r="LA218" s="4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</row>
    <row r="219" spans="1:376" x14ac:dyDescent="0.35">
      <c r="A219" s="14">
        <v>43510</v>
      </c>
      <c r="B219" s="16" t="s">
        <v>143</v>
      </c>
      <c r="C219" s="16" t="s">
        <v>380</v>
      </c>
      <c r="D219" s="1">
        <v>218</v>
      </c>
      <c r="E219" s="1">
        <v>5</v>
      </c>
      <c r="F219" s="1">
        <v>5</v>
      </c>
      <c r="H219" s="1">
        <v>55</v>
      </c>
      <c r="I219" s="1">
        <v>2</v>
      </c>
      <c r="K219" s="18">
        <v>1</v>
      </c>
      <c r="L219" s="18">
        <v>0</v>
      </c>
      <c r="M219" s="18">
        <v>1</v>
      </c>
      <c r="N219" s="18">
        <v>1</v>
      </c>
      <c r="O219" s="18">
        <v>0</v>
      </c>
      <c r="P219" s="4">
        <v>0.6</v>
      </c>
      <c r="Q219" s="3">
        <v>46</v>
      </c>
      <c r="R219" s="1">
        <v>33</v>
      </c>
      <c r="S219" s="1">
        <v>37</v>
      </c>
      <c r="T219" s="1">
        <v>60</v>
      </c>
      <c r="U219" s="1">
        <v>59</v>
      </c>
      <c r="V219" s="1">
        <v>64</v>
      </c>
      <c r="W219" s="1">
        <v>70</v>
      </c>
      <c r="X219" s="1">
        <v>67</v>
      </c>
      <c r="Y219" s="1">
        <v>64</v>
      </c>
      <c r="AI219" s="4"/>
      <c r="AJ219" s="4"/>
      <c r="AK219" s="4"/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9">
        <v>0</v>
      </c>
      <c r="AT219" s="19">
        <v>0</v>
      </c>
      <c r="AU219" s="19">
        <v>0</v>
      </c>
      <c r="AV219" s="19">
        <v>0</v>
      </c>
      <c r="AW219" s="19">
        <v>0</v>
      </c>
      <c r="AX219" s="19"/>
      <c r="AY219"/>
      <c r="AZ219"/>
      <c r="BA219"/>
      <c r="BB219"/>
      <c r="BC219"/>
      <c r="BP219" s="4"/>
      <c r="BQ219" s="4"/>
      <c r="BR219" s="4"/>
      <c r="BS219" s="4"/>
      <c r="BT219" s="4"/>
      <c r="BU219" s="4"/>
      <c r="CI219" s="1">
        <v>7</v>
      </c>
      <c r="CJ219" s="1">
        <v>7</v>
      </c>
      <c r="CK219" s="1">
        <v>7</v>
      </c>
      <c r="CL219" s="1">
        <v>6</v>
      </c>
      <c r="CM219" s="1">
        <v>6</v>
      </c>
      <c r="CN219" s="1">
        <v>6</v>
      </c>
      <c r="CO219" s="1">
        <v>6</v>
      </c>
      <c r="CP219" s="1">
        <v>2</v>
      </c>
      <c r="CQ219" s="1">
        <v>6</v>
      </c>
      <c r="CR219" s="1">
        <v>6</v>
      </c>
      <c r="CS219" s="1">
        <v>6</v>
      </c>
      <c r="CT219" s="1">
        <v>6</v>
      </c>
      <c r="CU219" s="1">
        <v>6</v>
      </c>
      <c r="CV219" s="1">
        <v>6</v>
      </c>
      <c r="CW219" s="1">
        <v>6</v>
      </c>
      <c r="CX219" s="1">
        <v>6</v>
      </c>
      <c r="CY219" s="1">
        <v>6</v>
      </c>
      <c r="CZ219" s="1">
        <v>6</v>
      </c>
      <c r="DA219" s="1">
        <v>6</v>
      </c>
      <c r="DB219" s="1">
        <v>6</v>
      </c>
      <c r="DC219" s="1">
        <v>6</v>
      </c>
      <c r="DD219" s="1">
        <v>6</v>
      </c>
      <c r="DE219" s="1">
        <v>6</v>
      </c>
      <c r="DF219" s="1">
        <v>6</v>
      </c>
      <c r="DG219" s="1">
        <v>6</v>
      </c>
      <c r="DH219" s="1">
        <v>6</v>
      </c>
      <c r="DI219" s="1">
        <v>6</v>
      </c>
      <c r="DJ219" s="1">
        <v>7</v>
      </c>
      <c r="DK219" s="1">
        <v>7</v>
      </c>
      <c r="DL219" s="1">
        <v>6</v>
      </c>
      <c r="DM219" s="19">
        <v>6</v>
      </c>
      <c r="DN219" s="19">
        <v>7</v>
      </c>
      <c r="DO219" s="1">
        <v>6</v>
      </c>
      <c r="DP219" s="1">
        <v>6</v>
      </c>
      <c r="DQ219" s="1">
        <v>6</v>
      </c>
      <c r="DR219" s="1">
        <v>5</v>
      </c>
      <c r="DS219" s="1">
        <v>6</v>
      </c>
      <c r="DT219" s="1">
        <v>6</v>
      </c>
      <c r="DU219" s="27">
        <v>7</v>
      </c>
      <c r="DV219" s="27">
        <v>7</v>
      </c>
      <c r="DW219" s="27">
        <v>6</v>
      </c>
      <c r="DX219" s="27">
        <v>4</v>
      </c>
      <c r="DY219" s="27">
        <v>2</v>
      </c>
      <c r="DZ219" s="27">
        <v>3</v>
      </c>
      <c r="EA219" s="27">
        <v>2</v>
      </c>
      <c r="EB219" s="27">
        <v>7</v>
      </c>
      <c r="EC219" s="27">
        <v>6</v>
      </c>
      <c r="ED219" s="27">
        <v>2</v>
      </c>
      <c r="EE219" s="27">
        <v>6</v>
      </c>
      <c r="EF219" s="27">
        <v>6</v>
      </c>
      <c r="EG219" s="27">
        <v>6</v>
      </c>
      <c r="EH219" s="27">
        <v>7</v>
      </c>
      <c r="EI219" s="27">
        <v>7</v>
      </c>
      <c r="EJ219" s="27">
        <v>6</v>
      </c>
      <c r="EK219" s="27">
        <v>6</v>
      </c>
      <c r="EL219" s="27">
        <v>7</v>
      </c>
      <c r="EM219" s="27">
        <v>1</v>
      </c>
      <c r="EN219" s="27">
        <v>2</v>
      </c>
      <c r="EO219" s="27">
        <v>6</v>
      </c>
      <c r="EP219" s="27">
        <v>6</v>
      </c>
      <c r="EQ219" s="27">
        <v>4</v>
      </c>
      <c r="ER219" s="27">
        <v>6</v>
      </c>
      <c r="ES219" s="27">
        <v>6</v>
      </c>
      <c r="ET219" s="27">
        <v>4</v>
      </c>
      <c r="EU219" s="27">
        <v>4</v>
      </c>
      <c r="EV219" s="27">
        <v>21</v>
      </c>
      <c r="EW219" s="27">
        <v>2</v>
      </c>
      <c r="EY219" s="27">
        <v>1</v>
      </c>
      <c r="FA219" s="27">
        <v>3</v>
      </c>
      <c r="FB219" s="28" t="s">
        <v>909</v>
      </c>
      <c r="FC219" s="27">
        <v>1</v>
      </c>
      <c r="FD219" s="1">
        <v>7</v>
      </c>
      <c r="FE219" s="4"/>
      <c r="FF219" s="4"/>
      <c r="FG219" s="4"/>
      <c r="FH219" s="4"/>
      <c r="FI219" s="4"/>
      <c r="FJ219" s="23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26"/>
      <c r="GF219" s="26"/>
      <c r="GG219" s="4"/>
      <c r="JH219" s="1"/>
      <c r="JV219" s="1"/>
      <c r="KM219" s="4"/>
      <c r="LA219" s="4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</row>
    <row r="220" spans="1:376" x14ac:dyDescent="0.35">
      <c r="A220" s="14">
        <v>43510</v>
      </c>
      <c r="B220" s="16" t="s">
        <v>143</v>
      </c>
      <c r="C220" s="16" t="s">
        <v>381</v>
      </c>
      <c r="D220" s="1">
        <v>219</v>
      </c>
      <c r="E220" s="1">
        <v>5</v>
      </c>
      <c r="F220" s="1">
        <v>5</v>
      </c>
      <c r="H220" s="1">
        <v>55</v>
      </c>
      <c r="I220" s="1">
        <v>3</v>
      </c>
      <c r="K220" s="18">
        <v>1</v>
      </c>
      <c r="L220" s="18">
        <v>1</v>
      </c>
      <c r="M220" s="18">
        <v>1</v>
      </c>
      <c r="N220" s="18">
        <v>1</v>
      </c>
      <c r="O220" s="18">
        <v>1</v>
      </c>
      <c r="P220" s="4">
        <v>1</v>
      </c>
      <c r="Q220" s="3">
        <v>95</v>
      </c>
      <c r="R220" s="1">
        <v>79</v>
      </c>
      <c r="S220" s="1">
        <v>76</v>
      </c>
      <c r="T220" s="1">
        <v>83</v>
      </c>
      <c r="U220" s="1">
        <v>75</v>
      </c>
      <c r="V220" s="1">
        <v>82</v>
      </c>
      <c r="W220" s="1">
        <v>83</v>
      </c>
      <c r="X220" s="1">
        <v>94</v>
      </c>
      <c r="Y220" s="1">
        <v>100</v>
      </c>
      <c r="AI220" s="4"/>
      <c r="AJ220" s="4"/>
      <c r="AK220" s="4"/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2</v>
      </c>
      <c r="AS220" s="19">
        <v>0</v>
      </c>
      <c r="AT220" s="19">
        <v>0</v>
      </c>
      <c r="AU220" s="19">
        <v>0</v>
      </c>
      <c r="AV220" s="19">
        <v>0</v>
      </c>
      <c r="AW220" s="19">
        <v>0</v>
      </c>
      <c r="AX220" s="19"/>
      <c r="AY220"/>
      <c r="AZ220"/>
      <c r="BA220"/>
      <c r="BB220"/>
      <c r="BC220"/>
      <c r="BP220" s="4"/>
      <c r="BQ220" s="4"/>
      <c r="BR220" s="4"/>
      <c r="BS220" s="4"/>
      <c r="BT220" s="4"/>
      <c r="BU220" s="4"/>
      <c r="CI220" s="1">
        <v>7</v>
      </c>
      <c r="CJ220" s="1">
        <v>7</v>
      </c>
      <c r="CK220" s="1">
        <v>7</v>
      </c>
      <c r="CL220" s="1">
        <v>7</v>
      </c>
      <c r="CM220" s="1">
        <v>7</v>
      </c>
      <c r="CN220" s="1">
        <v>7</v>
      </c>
      <c r="CO220" s="1">
        <v>7</v>
      </c>
      <c r="CP220" s="1">
        <v>1</v>
      </c>
      <c r="CQ220" s="1">
        <v>7</v>
      </c>
      <c r="CR220" s="1">
        <v>7</v>
      </c>
      <c r="CS220" s="1">
        <v>7</v>
      </c>
      <c r="CT220" s="1">
        <v>7</v>
      </c>
      <c r="CU220" s="1">
        <v>7</v>
      </c>
      <c r="CV220" s="1">
        <v>7</v>
      </c>
      <c r="CW220" s="1">
        <v>7</v>
      </c>
      <c r="CX220" s="1">
        <v>7</v>
      </c>
      <c r="CY220" s="1">
        <v>7</v>
      </c>
      <c r="CZ220" s="1">
        <v>7</v>
      </c>
      <c r="DA220" s="1">
        <v>7</v>
      </c>
      <c r="DB220" s="1">
        <v>7</v>
      </c>
      <c r="DC220" s="1">
        <v>7</v>
      </c>
      <c r="DD220" s="1">
        <v>7</v>
      </c>
      <c r="DE220" s="1">
        <v>7</v>
      </c>
      <c r="DF220" s="1">
        <v>5</v>
      </c>
      <c r="DG220" s="1">
        <v>5</v>
      </c>
      <c r="DH220" s="1">
        <v>5</v>
      </c>
      <c r="DI220" s="1">
        <v>7</v>
      </c>
      <c r="DJ220" s="1">
        <v>7</v>
      </c>
      <c r="DK220" s="1">
        <v>7</v>
      </c>
      <c r="DL220" s="1">
        <v>7</v>
      </c>
      <c r="DM220" s="19">
        <v>7</v>
      </c>
      <c r="DN220" s="19">
        <v>7</v>
      </c>
      <c r="DO220" s="1">
        <v>1</v>
      </c>
      <c r="DP220" s="1">
        <v>4</v>
      </c>
      <c r="DQ220" s="1">
        <v>3</v>
      </c>
      <c r="DR220" s="1">
        <v>6</v>
      </c>
      <c r="DS220" s="1">
        <v>7</v>
      </c>
      <c r="DT220" s="1">
        <v>7</v>
      </c>
      <c r="DU220" s="27">
        <v>7</v>
      </c>
      <c r="DV220" s="27">
        <v>5</v>
      </c>
      <c r="DW220" s="27">
        <v>3</v>
      </c>
      <c r="DX220" s="27">
        <v>6</v>
      </c>
      <c r="DY220" s="27">
        <v>1</v>
      </c>
      <c r="DZ220" s="27">
        <v>7</v>
      </c>
      <c r="EA220" s="27">
        <v>1</v>
      </c>
      <c r="EB220" s="27">
        <v>5</v>
      </c>
      <c r="EC220" s="27">
        <v>7</v>
      </c>
      <c r="ED220" s="27">
        <v>7</v>
      </c>
      <c r="EE220" s="27">
        <v>7</v>
      </c>
      <c r="EF220" s="27">
        <v>7</v>
      </c>
      <c r="EG220" s="27">
        <v>6</v>
      </c>
      <c r="EH220" s="27">
        <v>7</v>
      </c>
      <c r="EI220" s="27">
        <v>7</v>
      </c>
      <c r="EJ220" s="27">
        <v>7</v>
      </c>
      <c r="EK220" s="27">
        <v>7</v>
      </c>
      <c r="EL220" s="27">
        <v>7</v>
      </c>
      <c r="EM220" s="27">
        <v>1</v>
      </c>
      <c r="EN220" s="27">
        <v>1</v>
      </c>
      <c r="EO220" s="27">
        <v>7</v>
      </c>
      <c r="EP220" s="27">
        <v>7</v>
      </c>
      <c r="EQ220" s="27">
        <v>7</v>
      </c>
      <c r="ER220" s="27">
        <v>7</v>
      </c>
      <c r="ES220" s="27">
        <v>5</v>
      </c>
      <c r="ET220" s="27">
        <v>4</v>
      </c>
      <c r="EU220" s="27">
        <v>4</v>
      </c>
      <c r="EV220" s="27">
        <v>19</v>
      </c>
      <c r="EW220" s="27">
        <v>1</v>
      </c>
      <c r="EY220" s="27">
        <v>1</v>
      </c>
      <c r="FA220" s="27">
        <v>1</v>
      </c>
      <c r="FB220" s="28" t="s">
        <v>884</v>
      </c>
      <c r="FC220" s="27">
        <v>0</v>
      </c>
      <c r="FD220" s="1">
        <v>3</v>
      </c>
      <c r="FE220" s="4"/>
      <c r="FF220" s="4"/>
      <c r="FG220" s="4"/>
      <c r="FH220" s="4"/>
      <c r="FI220" s="4"/>
      <c r="FJ220" s="23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26"/>
      <c r="GF220" s="26"/>
      <c r="GG220" s="4"/>
      <c r="JH220" s="1"/>
      <c r="JV220" s="1"/>
      <c r="KM220" s="4"/>
      <c r="LA220" s="4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</row>
    <row r="221" spans="1:376" x14ac:dyDescent="0.35">
      <c r="A221" s="14">
        <v>43510</v>
      </c>
      <c r="B221" s="16" t="s">
        <v>143</v>
      </c>
      <c r="C221" s="16" t="s">
        <v>382</v>
      </c>
      <c r="D221" s="1">
        <v>220</v>
      </c>
      <c r="E221" s="1">
        <v>5</v>
      </c>
      <c r="F221" s="1">
        <v>5</v>
      </c>
      <c r="H221" s="1">
        <v>55</v>
      </c>
      <c r="I221" s="1">
        <v>4</v>
      </c>
      <c r="K221" s="18">
        <v>1</v>
      </c>
      <c r="L221" s="18">
        <v>1</v>
      </c>
      <c r="M221" s="18">
        <v>1</v>
      </c>
      <c r="N221" s="18">
        <v>1</v>
      </c>
      <c r="O221" s="18">
        <v>0</v>
      </c>
      <c r="P221" s="4">
        <v>0.8</v>
      </c>
      <c r="Q221" s="3">
        <v>74</v>
      </c>
      <c r="R221" s="1">
        <v>74</v>
      </c>
      <c r="S221" s="1">
        <v>78</v>
      </c>
      <c r="T221" s="1">
        <v>119</v>
      </c>
      <c r="U221" s="1">
        <v>115</v>
      </c>
      <c r="V221" s="1">
        <v>98</v>
      </c>
      <c r="W221" s="1">
        <v>118</v>
      </c>
      <c r="X221" s="1">
        <v>117</v>
      </c>
      <c r="Y221" s="1">
        <v>123</v>
      </c>
      <c r="AI221" s="4"/>
      <c r="AJ221" s="4"/>
      <c r="AK221" s="4"/>
      <c r="AL221" s="1">
        <v>1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9">
        <v>0</v>
      </c>
      <c r="AT221" s="19">
        <v>0</v>
      </c>
      <c r="AU221" s="19">
        <v>0</v>
      </c>
      <c r="AV221" s="19">
        <v>0</v>
      </c>
      <c r="AW221" s="19">
        <v>0</v>
      </c>
      <c r="AX221" s="19"/>
      <c r="AY221"/>
      <c r="AZ221"/>
      <c r="BA221"/>
      <c r="BB221"/>
      <c r="BC221"/>
      <c r="BP221" s="4"/>
      <c r="BQ221" s="4"/>
      <c r="BR221" s="4"/>
      <c r="BS221" s="4"/>
      <c r="BT221" s="4"/>
      <c r="BU221" s="4"/>
      <c r="CI221" s="1">
        <v>6</v>
      </c>
      <c r="CJ221" s="1">
        <v>6</v>
      </c>
      <c r="CK221" s="1">
        <v>6</v>
      </c>
      <c r="CL221" s="1">
        <v>6</v>
      </c>
      <c r="CM221" s="1">
        <v>6</v>
      </c>
      <c r="CN221" s="1">
        <v>6</v>
      </c>
      <c r="CO221" s="1">
        <v>5</v>
      </c>
      <c r="CP221" s="1">
        <v>3</v>
      </c>
      <c r="CQ221" s="1">
        <v>6</v>
      </c>
      <c r="CR221" s="1">
        <v>7</v>
      </c>
      <c r="CS221" s="1">
        <v>6</v>
      </c>
      <c r="CT221" s="1">
        <v>5</v>
      </c>
      <c r="CU221" s="1">
        <v>6</v>
      </c>
      <c r="CV221" s="1">
        <v>6</v>
      </c>
      <c r="CW221" s="1">
        <v>6</v>
      </c>
      <c r="CX221" s="1">
        <v>5</v>
      </c>
      <c r="CY221" s="1">
        <v>6</v>
      </c>
      <c r="CZ221" s="1">
        <v>7</v>
      </c>
      <c r="DA221" s="1">
        <v>7</v>
      </c>
      <c r="DB221" s="1">
        <v>7</v>
      </c>
      <c r="DC221" s="1">
        <v>6</v>
      </c>
      <c r="DD221" s="1">
        <v>6</v>
      </c>
      <c r="DE221" s="1">
        <v>6</v>
      </c>
      <c r="DF221" s="1">
        <v>2</v>
      </c>
      <c r="DG221" s="1">
        <v>1</v>
      </c>
      <c r="DH221" s="1">
        <v>2</v>
      </c>
      <c r="DI221" s="1">
        <v>2</v>
      </c>
      <c r="DJ221" s="1">
        <v>2</v>
      </c>
      <c r="DK221" s="1">
        <v>2</v>
      </c>
      <c r="DL221" s="1">
        <v>4</v>
      </c>
      <c r="DM221" s="19">
        <v>3</v>
      </c>
      <c r="DN221" s="19">
        <v>1</v>
      </c>
      <c r="DO221" s="1">
        <v>2</v>
      </c>
      <c r="DP221" s="1">
        <v>2</v>
      </c>
      <c r="DQ221" s="1">
        <v>3</v>
      </c>
      <c r="DR221" s="1">
        <v>5</v>
      </c>
      <c r="DS221" s="1">
        <v>6</v>
      </c>
      <c r="DT221" s="1">
        <v>6</v>
      </c>
      <c r="DU221" s="27">
        <v>3</v>
      </c>
      <c r="DV221" s="27">
        <v>3</v>
      </c>
      <c r="DW221" s="27">
        <v>4</v>
      </c>
      <c r="DX221" s="27">
        <v>6</v>
      </c>
      <c r="DY221" s="27">
        <v>4</v>
      </c>
      <c r="DZ221" s="27">
        <v>3</v>
      </c>
      <c r="EA221" s="27">
        <v>1</v>
      </c>
      <c r="EB221" s="27">
        <v>3</v>
      </c>
      <c r="EC221" s="27">
        <v>5</v>
      </c>
      <c r="ED221" s="27">
        <v>2</v>
      </c>
      <c r="EE221" s="27">
        <v>4</v>
      </c>
      <c r="EF221" s="27">
        <v>3</v>
      </c>
      <c r="EG221" s="27">
        <v>6</v>
      </c>
      <c r="EH221" s="27">
        <v>6</v>
      </c>
      <c r="EI221" s="27">
        <v>6</v>
      </c>
      <c r="EJ221" s="27">
        <v>4</v>
      </c>
      <c r="EK221" s="27">
        <v>4</v>
      </c>
      <c r="EL221" s="27">
        <v>2</v>
      </c>
      <c r="EM221" s="27">
        <v>1</v>
      </c>
      <c r="EN221" s="27">
        <v>4</v>
      </c>
      <c r="EO221" s="27">
        <v>7</v>
      </c>
      <c r="EP221" s="27">
        <v>6</v>
      </c>
      <c r="EQ221" s="27">
        <v>4</v>
      </c>
      <c r="ER221" s="27">
        <v>4</v>
      </c>
      <c r="ES221" s="27">
        <v>4</v>
      </c>
      <c r="ET221" s="27">
        <v>4</v>
      </c>
      <c r="EU221" s="27">
        <v>4</v>
      </c>
      <c r="EV221" s="27">
        <v>18</v>
      </c>
      <c r="EW221" s="27">
        <v>2</v>
      </c>
      <c r="EY221" s="27">
        <v>4</v>
      </c>
      <c r="FA221" s="27">
        <v>1</v>
      </c>
      <c r="FB221" s="28" t="s">
        <v>910</v>
      </c>
      <c r="FC221" s="27">
        <v>1</v>
      </c>
      <c r="FD221" s="1">
        <v>3</v>
      </c>
      <c r="FE221" s="4"/>
      <c r="FF221" s="4"/>
      <c r="FG221" s="4"/>
      <c r="FH221" s="4"/>
      <c r="FI221" s="4"/>
      <c r="FJ221" s="23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26"/>
      <c r="GF221" s="26"/>
      <c r="GG221" s="4"/>
      <c r="JH221" s="1"/>
      <c r="JV221" s="1"/>
      <c r="KM221" s="4"/>
      <c r="LA221" s="4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</row>
    <row r="222" spans="1:376" x14ac:dyDescent="0.35">
      <c r="A222" s="14">
        <v>43720</v>
      </c>
      <c r="B222" s="16" t="s">
        <v>144</v>
      </c>
      <c r="C222" s="16" t="s">
        <v>383</v>
      </c>
      <c r="D222" s="1">
        <v>221</v>
      </c>
      <c r="E222" s="1">
        <v>5</v>
      </c>
      <c r="F222" s="1">
        <v>5</v>
      </c>
      <c r="G222" s="1">
        <v>0</v>
      </c>
      <c r="H222" s="1">
        <v>56</v>
      </c>
      <c r="I222" s="1">
        <v>1</v>
      </c>
      <c r="J222" s="1">
        <v>1</v>
      </c>
      <c r="K222" s="18">
        <v>0</v>
      </c>
      <c r="L222" s="18">
        <v>1</v>
      </c>
      <c r="M222" s="18">
        <v>1</v>
      </c>
      <c r="N222" s="18">
        <v>1</v>
      </c>
      <c r="O222" s="18">
        <v>0</v>
      </c>
      <c r="P222" s="4">
        <v>0.6</v>
      </c>
      <c r="Q222" s="3">
        <v>76</v>
      </c>
      <c r="R222" s="1">
        <v>70</v>
      </c>
      <c r="S222" s="1">
        <v>65</v>
      </c>
      <c r="T222" s="1">
        <v>26</v>
      </c>
      <c r="U222" s="1">
        <v>68</v>
      </c>
      <c r="V222" s="1">
        <v>85</v>
      </c>
      <c r="W222" s="1">
        <v>74</v>
      </c>
      <c r="X222" s="1">
        <v>69</v>
      </c>
      <c r="Y222" s="1">
        <v>59</v>
      </c>
      <c r="Z222" s="1">
        <v>205</v>
      </c>
      <c r="AA222" s="1">
        <v>193</v>
      </c>
      <c r="AB222" s="1">
        <v>196</v>
      </c>
      <c r="AC222" s="1">
        <v>232</v>
      </c>
      <c r="AD222" s="1">
        <v>299</v>
      </c>
      <c r="AE222" s="1">
        <v>356</v>
      </c>
      <c r="AF222" s="1">
        <v>228</v>
      </c>
      <c r="AG222" s="1">
        <v>202</v>
      </c>
      <c r="AH222" s="1">
        <v>198</v>
      </c>
      <c r="AI222" s="4">
        <v>198</v>
      </c>
      <c r="AJ222" s="4">
        <v>295.67</v>
      </c>
      <c r="AK222" s="4">
        <v>209.33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</v>
      </c>
      <c r="AS222" s="19">
        <v>0</v>
      </c>
      <c r="AT222" s="19">
        <v>0</v>
      </c>
      <c r="AU222" s="19">
        <v>0</v>
      </c>
      <c r="AV222" s="19">
        <v>0</v>
      </c>
      <c r="AW222" s="19">
        <v>0</v>
      </c>
      <c r="AX222" s="19">
        <f t="shared" ref="AX222:BC222" si="110">AL222+AL223+AL224+AL225</f>
        <v>1</v>
      </c>
      <c r="AY222" s="19">
        <f t="shared" si="110"/>
        <v>0</v>
      </c>
      <c r="AZ222" s="19">
        <f t="shared" si="110"/>
        <v>0</v>
      </c>
      <c r="BA222" s="19">
        <f t="shared" si="110"/>
        <v>0</v>
      </c>
      <c r="BB222" s="19">
        <f t="shared" si="110"/>
        <v>0</v>
      </c>
      <c r="BC222" s="19">
        <f t="shared" si="110"/>
        <v>0</v>
      </c>
      <c r="BD222" s="1">
        <f>AX222*3</f>
        <v>3</v>
      </c>
      <c r="BE222" s="1">
        <f t="shared" ref="BE222:BI222" si="111">AY222*3</f>
        <v>0</v>
      </c>
      <c r="BF222" s="1">
        <f t="shared" si="111"/>
        <v>0</v>
      </c>
      <c r="BG222" s="1">
        <f t="shared" si="111"/>
        <v>0</v>
      </c>
      <c r="BH222" s="1">
        <f t="shared" si="111"/>
        <v>0</v>
      </c>
      <c r="BI222" s="1">
        <f t="shared" si="111"/>
        <v>0</v>
      </c>
      <c r="BJ222" s="1">
        <f>AX222+AY222+AZ222</f>
        <v>1</v>
      </c>
      <c r="BK222" s="1">
        <f>BA222+BB222+BC222</f>
        <v>0</v>
      </c>
      <c r="BL222" s="1">
        <f>BJ222*3</f>
        <v>3</v>
      </c>
      <c r="BM222" s="1">
        <f>BK222*3</f>
        <v>0</v>
      </c>
      <c r="BN222" s="1">
        <f>BL222/3</f>
        <v>1</v>
      </c>
      <c r="BO222" s="1">
        <f>BM222/3</f>
        <v>0</v>
      </c>
      <c r="BP222" s="4">
        <v>197</v>
      </c>
      <c r="BQ222" s="4">
        <v>295.66666666666669</v>
      </c>
      <c r="BR222" s="4">
        <v>209.33333333333334</v>
      </c>
      <c r="BS222" s="4">
        <v>295.67</v>
      </c>
      <c r="BT222" s="4">
        <v>209.33</v>
      </c>
      <c r="BU222" s="4">
        <v>3.88</v>
      </c>
      <c r="BV222" s="1">
        <v>1</v>
      </c>
      <c r="BW222" s="1">
        <v>1</v>
      </c>
      <c r="BX222" s="1">
        <v>3</v>
      </c>
      <c r="BY222" s="1">
        <v>3</v>
      </c>
      <c r="BZ222" s="1">
        <v>0</v>
      </c>
      <c r="CA222" s="1">
        <v>0</v>
      </c>
      <c r="CB222" s="1">
        <v>0</v>
      </c>
      <c r="CC222" s="1">
        <v>0</v>
      </c>
      <c r="CD222" s="1">
        <v>1</v>
      </c>
      <c r="CE222" s="1">
        <v>1</v>
      </c>
      <c r="CF222" s="1">
        <v>1</v>
      </c>
      <c r="CG222" s="1">
        <v>1</v>
      </c>
      <c r="CH222" s="1">
        <v>0</v>
      </c>
      <c r="CI222" s="1">
        <v>7</v>
      </c>
      <c r="CJ222" s="1">
        <v>7</v>
      </c>
      <c r="CK222" s="1">
        <v>7</v>
      </c>
      <c r="CL222" s="1">
        <v>7</v>
      </c>
      <c r="CM222" s="1">
        <v>7</v>
      </c>
      <c r="CN222" s="1">
        <v>7</v>
      </c>
      <c r="CO222" s="1">
        <v>7</v>
      </c>
      <c r="CP222" s="1">
        <v>1</v>
      </c>
      <c r="CQ222" s="1">
        <v>7</v>
      </c>
      <c r="CR222" s="1">
        <v>7</v>
      </c>
      <c r="CS222" s="1">
        <v>7</v>
      </c>
      <c r="CT222" s="1">
        <v>7</v>
      </c>
      <c r="CU222" s="1">
        <v>7</v>
      </c>
      <c r="CV222" s="1">
        <v>7</v>
      </c>
      <c r="CW222" s="1">
        <v>7</v>
      </c>
      <c r="CX222" s="1">
        <v>7</v>
      </c>
      <c r="CY222" s="1">
        <v>7</v>
      </c>
      <c r="CZ222" s="1">
        <v>7</v>
      </c>
      <c r="DA222" s="1">
        <v>7</v>
      </c>
      <c r="DB222" s="1">
        <v>7</v>
      </c>
      <c r="DC222" s="1">
        <v>7</v>
      </c>
      <c r="DD222" s="1">
        <v>7</v>
      </c>
      <c r="DE222" s="1">
        <v>7</v>
      </c>
      <c r="DF222" s="1">
        <v>7</v>
      </c>
      <c r="DG222" s="1">
        <v>1</v>
      </c>
      <c r="DH222" s="1">
        <v>6</v>
      </c>
      <c r="DI222" s="1">
        <v>7</v>
      </c>
      <c r="DJ222" s="1">
        <v>5</v>
      </c>
      <c r="DK222" s="1">
        <v>6</v>
      </c>
      <c r="DL222" s="1">
        <v>7</v>
      </c>
      <c r="DM222" s="19">
        <v>7</v>
      </c>
      <c r="DN222" s="19">
        <v>6</v>
      </c>
      <c r="DO222" s="1">
        <v>5</v>
      </c>
      <c r="DP222" s="1">
        <v>7</v>
      </c>
      <c r="DQ222" s="1">
        <v>7</v>
      </c>
      <c r="DR222" s="1">
        <v>7</v>
      </c>
      <c r="DS222" s="1">
        <v>7</v>
      </c>
      <c r="DT222" s="1">
        <v>7</v>
      </c>
      <c r="DU222" s="27">
        <v>7</v>
      </c>
      <c r="DV222" s="27">
        <v>5</v>
      </c>
      <c r="DW222" s="27">
        <v>2</v>
      </c>
      <c r="DX222" s="27">
        <v>6</v>
      </c>
      <c r="DY222" s="27">
        <v>4</v>
      </c>
      <c r="DZ222" s="27">
        <v>2</v>
      </c>
      <c r="EA222" s="27">
        <v>5</v>
      </c>
      <c r="EB222" s="27">
        <v>7</v>
      </c>
      <c r="EC222" s="27">
        <v>7</v>
      </c>
      <c r="ED222" s="27">
        <v>2</v>
      </c>
      <c r="EE222" s="27">
        <v>5</v>
      </c>
      <c r="EF222" s="27">
        <v>5</v>
      </c>
      <c r="EG222" s="27">
        <v>7</v>
      </c>
      <c r="EH222" s="27">
        <v>7</v>
      </c>
      <c r="EI222" s="27">
        <v>7</v>
      </c>
      <c r="EJ222" s="27">
        <v>1</v>
      </c>
      <c r="EK222" s="27">
        <v>7</v>
      </c>
      <c r="EL222" s="27">
        <v>7</v>
      </c>
      <c r="EM222" s="27">
        <v>2</v>
      </c>
      <c r="EN222" s="27">
        <v>1</v>
      </c>
      <c r="EO222" s="27">
        <v>7</v>
      </c>
      <c r="EP222" s="27">
        <v>7</v>
      </c>
      <c r="EQ222" s="27">
        <v>7</v>
      </c>
      <c r="ER222" s="27">
        <v>7</v>
      </c>
      <c r="ES222" s="27">
        <v>1</v>
      </c>
      <c r="ET222" s="27">
        <v>7</v>
      </c>
      <c r="EU222" s="27">
        <v>3</v>
      </c>
      <c r="EV222" s="27">
        <v>18</v>
      </c>
      <c r="EW222" s="27">
        <v>1</v>
      </c>
      <c r="EY222" s="27">
        <v>2</v>
      </c>
      <c r="FA222" s="27">
        <v>1</v>
      </c>
      <c r="FB222" s="28" t="s">
        <v>911</v>
      </c>
      <c r="FC222" s="27">
        <v>0</v>
      </c>
      <c r="FD222" s="1">
        <v>9</v>
      </c>
      <c r="FE222" s="4">
        <v>6.32</v>
      </c>
      <c r="FF222" s="4">
        <v>6.88</v>
      </c>
      <c r="FG222" s="4">
        <v>8.1300000000000008</v>
      </c>
      <c r="FH222" s="4">
        <v>6</v>
      </c>
      <c r="FI222" s="4">
        <v>6.63</v>
      </c>
      <c r="FJ222" s="23">
        <v>6</v>
      </c>
      <c r="FK222" s="4">
        <v>4.92</v>
      </c>
      <c r="FL222" s="4">
        <v>5.63</v>
      </c>
      <c r="FM222" s="4">
        <v>4.75</v>
      </c>
      <c r="FN222" s="4">
        <v>5.88</v>
      </c>
      <c r="FO222" s="4">
        <v>6.5</v>
      </c>
      <c r="FP222" s="4">
        <v>3.75</v>
      </c>
      <c r="FQ222" s="4">
        <v>3.38</v>
      </c>
      <c r="FR222" s="4">
        <v>2.25</v>
      </c>
      <c r="FS222" s="4">
        <v>4</v>
      </c>
      <c r="FT222" s="4">
        <v>5.75</v>
      </c>
      <c r="FU222" s="4">
        <v>2.25</v>
      </c>
      <c r="FV222" s="4">
        <v>4.5</v>
      </c>
      <c r="FW222" s="4">
        <v>3.25</v>
      </c>
      <c r="FX222" s="4">
        <v>6.5</v>
      </c>
      <c r="FY222" s="4">
        <v>6.13</v>
      </c>
      <c r="FZ222" s="4">
        <v>4.75</v>
      </c>
      <c r="GA222" s="4">
        <v>1.88</v>
      </c>
      <c r="GB222" s="4">
        <v>7</v>
      </c>
      <c r="GC222" s="4">
        <v>5</v>
      </c>
      <c r="GD222" s="4">
        <v>5.13</v>
      </c>
      <c r="GE222" s="26"/>
      <c r="GF222" s="26"/>
      <c r="GG222" s="4"/>
      <c r="JH222" s="1"/>
      <c r="JV222" s="1"/>
      <c r="KM222" s="4"/>
      <c r="LA222" s="4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</row>
    <row r="223" spans="1:376" x14ac:dyDescent="0.35">
      <c r="A223" s="14">
        <v>43720</v>
      </c>
      <c r="B223" s="16" t="s">
        <v>144</v>
      </c>
      <c r="C223" s="17" t="s">
        <v>384</v>
      </c>
      <c r="D223" s="1">
        <v>222</v>
      </c>
      <c r="E223" s="1">
        <v>5</v>
      </c>
      <c r="F223" s="1">
        <v>5</v>
      </c>
      <c r="H223" s="1">
        <v>56</v>
      </c>
      <c r="I223" s="1">
        <v>2</v>
      </c>
      <c r="K223" s="18">
        <v>1</v>
      </c>
      <c r="L223" s="18">
        <v>1</v>
      </c>
      <c r="M223" s="18">
        <v>1</v>
      </c>
      <c r="N223" s="18">
        <v>1</v>
      </c>
      <c r="O223" s="18">
        <v>0</v>
      </c>
      <c r="P223" s="4">
        <v>0.8</v>
      </c>
      <c r="Q223" s="3">
        <v>36</v>
      </c>
      <c r="R223" s="1">
        <v>32</v>
      </c>
      <c r="S223" s="1">
        <v>32</v>
      </c>
      <c r="T223" s="1">
        <v>24</v>
      </c>
      <c r="U223" s="1">
        <v>94</v>
      </c>
      <c r="V223" s="1">
        <v>114</v>
      </c>
      <c r="W223" s="1">
        <v>45</v>
      </c>
      <c r="X223" s="1">
        <v>42</v>
      </c>
      <c r="Y223" s="1">
        <v>38</v>
      </c>
      <c r="AI223" s="4"/>
      <c r="AJ223" s="4"/>
      <c r="AK223" s="4"/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9">
        <v>0</v>
      </c>
      <c r="AT223" s="19">
        <v>0</v>
      </c>
      <c r="AU223" s="19">
        <v>0</v>
      </c>
      <c r="AV223" s="19">
        <v>0</v>
      </c>
      <c r="AW223" s="19">
        <v>0</v>
      </c>
      <c r="AX223" s="19"/>
      <c r="AY223"/>
      <c r="AZ223"/>
      <c r="BA223"/>
      <c r="BB223"/>
      <c r="BC223"/>
      <c r="BP223" s="4"/>
      <c r="BQ223" s="4"/>
      <c r="BR223" s="4"/>
      <c r="BS223" s="4"/>
      <c r="BT223" s="4"/>
      <c r="BU223" s="4"/>
      <c r="CI223" s="1">
        <v>7</v>
      </c>
      <c r="CJ223" s="1">
        <v>7</v>
      </c>
      <c r="CK223" s="1">
        <v>7</v>
      </c>
      <c r="CL223" s="1">
        <v>7</v>
      </c>
      <c r="CM223" s="1">
        <v>7</v>
      </c>
      <c r="CN223" s="1">
        <v>7</v>
      </c>
      <c r="CO223" s="1">
        <v>7</v>
      </c>
      <c r="CP223" s="1">
        <v>1</v>
      </c>
      <c r="CQ223" s="1">
        <v>7</v>
      </c>
      <c r="CR223" s="1">
        <v>7</v>
      </c>
      <c r="CS223" s="1">
        <v>7</v>
      </c>
      <c r="CT223" s="1">
        <v>7</v>
      </c>
      <c r="CU223" s="1">
        <v>7</v>
      </c>
      <c r="CV223" s="1">
        <v>7</v>
      </c>
      <c r="CW223" s="1">
        <v>7</v>
      </c>
      <c r="CX223" s="1">
        <v>7</v>
      </c>
      <c r="CY223" s="1">
        <v>7</v>
      </c>
      <c r="CZ223" s="1">
        <v>7</v>
      </c>
      <c r="DA223" s="1">
        <v>7</v>
      </c>
      <c r="DB223" s="1">
        <v>7</v>
      </c>
      <c r="DC223" s="1">
        <v>7</v>
      </c>
      <c r="DD223" s="1">
        <v>7</v>
      </c>
      <c r="DE223" s="1">
        <v>7</v>
      </c>
      <c r="DF223" s="1">
        <v>2</v>
      </c>
      <c r="DG223" s="1">
        <v>1</v>
      </c>
      <c r="DH223" s="1">
        <v>2</v>
      </c>
      <c r="DI223" s="1">
        <v>6</v>
      </c>
      <c r="DJ223" s="1">
        <v>6</v>
      </c>
      <c r="DK223" s="1">
        <v>5</v>
      </c>
      <c r="DL223" s="1">
        <v>7</v>
      </c>
      <c r="DM223" s="19">
        <v>7</v>
      </c>
      <c r="DN223" s="19">
        <v>4</v>
      </c>
      <c r="DO223" s="1">
        <v>5</v>
      </c>
      <c r="DP223" s="1">
        <v>7</v>
      </c>
      <c r="DQ223" s="1">
        <v>7</v>
      </c>
      <c r="DR223" s="1">
        <v>6</v>
      </c>
      <c r="DS223" s="1">
        <v>7</v>
      </c>
      <c r="DT223" s="1">
        <v>7</v>
      </c>
      <c r="DU223" s="27">
        <v>1</v>
      </c>
      <c r="DV223" s="27">
        <v>1</v>
      </c>
      <c r="DW223" s="27">
        <v>7</v>
      </c>
      <c r="DX223" s="27">
        <v>6</v>
      </c>
      <c r="DY223" s="27">
        <v>1</v>
      </c>
      <c r="DZ223" s="27">
        <v>2</v>
      </c>
      <c r="EA223" s="27">
        <v>1</v>
      </c>
      <c r="EB223" s="27">
        <v>2</v>
      </c>
      <c r="EC223" s="27">
        <v>7</v>
      </c>
      <c r="ED223" s="27">
        <v>1</v>
      </c>
      <c r="EE223" s="27">
        <v>4</v>
      </c>
      <c r="EF223" s="27">
        <v>4</v>
      </c>
      <c r="EG223" s="27">
        <v>7</v>
      </c>
      <c r="EH223" s="27">
        <v>7</v>
      </c>
      <c r="EI223" s="27">
        <v>7</v>
      </c>
      <c r="EJ223" s="27">
        <v>7</v>
      </c>
      <c r="EK223" s="27">
        <v>7</v>
      </c>
      <c r="EL223" s="27">
        <v>7</v>
      </c>
      <c r="EM223" s="27">
        <v>1</v>
      </c>
      <c r="EN223" s="27">
        <v>1</v>
      </c>
      <c r="EO223" s="27">
        <v>7</v>
      </c>
      <c r="EP223" s="27">
        <v>7</v>
      </c>
      <c r="EQ223" s="27">
        <v>7</v>
      </c>
      <c r="ER223" s="27">
        <v>7</v>
      </c>
      <c r="ES223" s="27">
        <v>7</v>
      </c>
      <c r="ET223" s="27">
        <v>7</v>
      </c>
      <c r="EU223" s="27">
        <v>7</v>
      </c>
      <c r="EV223" s="27">
        <v>18</v>
      </c>
      <c r="EW223" s="27">
        <v>2</v>
      </c>
      <c r="EY223" s="27">
        <v>1</v>
      </c>
      <c r="FA223" s="27">
        <v>1</v>
      </c>
      <c r="FB223" s="28" t="s">
        <v>912</v>
      </c>
      <c r="FC223" s="27">
        <v>0</v>
      </c>
      <c r="FD223" s="1">
        <v>7</v>
      </c>
      <c r="FE223" s="4"/>
      <c r="FF223" s="4"/>
      <c r="FG223" s="4"/>
      <c r="FH223" s="4"/>
      <c r="FI223" s="4"/>
      <c r="FJ223" s="23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26"/>
      <c r="GF223" s="26"/>
      <c r="GG223" s="4"/>
      <c r="JH223" s="1"/>
      <c r="JV223" s="1"/>
      <c r="KM223" s="4"/>
      <c r="LA223" s="4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</row>
    <row r="224" spans="1:376" x14ac:dyDescent="0.35">
      <c r="A224" s="14">
        <v>43720</v>
      </c>
      <c r="B224" s="16" t="s">
        <v>144</v>
      </c>
      <c r="C224" s="16" t="s">
        <v>385</v>
      </c>
      <c r="D224" s="1">
        <v>223</v>
      </c>
      <c r="E224" s="1">
        <v>5</v>
      </c>
      <c r="F224" s="1">
        <v>5</v>
      </c>
      <c r="H224" s="1">
        <v>56</v>
      </c>
      <c r="I224" s="1">
        <v>3</v>
      </c>
      <c r="K224" s="18">
        <v>0</v>
      </c>
      <c r="L224" s="18">
        <v>0</v>
      </c>
      <c r="M224" s="18">
        <v>1</v>
      </c>
      <c r="N224" s="18">
        <v>1</v>
      </c>
      <c r="O224" s="18">
        <v>1</v>
      </c>
      <c r="P224" s="4">
        <v>0.6</v>
      </c>
      <c r="Q224" s="3">
        <v>58</v>
      </c>
      <c r="R224" s="1">
        <v>56</v>
      </c>
      <c r="S224" s="1">
        <v>59</v>
      </c>
      <c r="T224" s="1">
        <v>98</v>
      </c>
      <c r="U224" s="1">
        <v>88</v>
      </c>
      <c r="V224" s="1">
        <v>101</v>
      </c>
      <c r="W224" s="1">
        <v>55</v>
      </c>
      <c r="X224" s="1">
        <v>62</v>
      </c>
      <c r="Y224" s="1">
        <v>64</v>
      </c>
      <c r="AI224" s="4"/>
      <c r="AJ224" s="4"/>
      <c r="AK224" s="4"/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9">
        <v>0</v>
      </c>
      <c r="AT224" s="19">
        <v>0</v>
      </c>
      <c r="AU224" s="19">
        <v>0</v>
      </c>
      <c r="AV224" s="19">
        <v>0</v>
      </c>
      <c r="AW224" s="19">
        <v>0</v>
      </c>
      <c r="AX224" s="19"/>
      <c r="AY224"/>
      <c r="AZ224"/>
      <c r="BA224"/>
      <c r="BB224"/>
      <c r="BC224"/>
      <c r="BP224" s="4"/>
      <c r="BQ224" s="4"/>
      <c r="BR224" s="4"/>
      <c r="BS224" s="4"/>
      <c r="BT224" s="4"/>
      <c r="BU224" s="4"/>
      <c r="CI224" s="1">
        <v>7</v>
      </c>
      <c r="CJ224" s="1">
        <v>7</v>
      </c>
      <c r="CK224" s="1">
        <v>7</v>
      </c>
      <c r="CL224" s="1">
        <v>6</v>
      </c>
      <c r="CM224" s="1">
        <v>4</v>
      </c>
      <c r="CN224" s="1">
        <v>5</v>
      </c>
      <c r="CO224" s="1">
        <v>6</v>
      </c>
      <c r="CP224" s="1">
        <v>1</v>
      </c>
      <c r="CQ224" s="1">
        <v>7</v>
      </c>
      <c r="CR224" s="1">
        <v>7</v>
      </c>
      <c r="CS224" s="1">
        <v>7</v>
      </c>
      <c r="CT224" s="1">
        <v>7</v>
      </c>
      <c r="CU224" s="1">
        <v>7</v>
      </c>
      <c r="CV224" s="1">
        <v>7</v>
      </c>
      <c r="CW224" s="1">
        <v>6</v>
      </c>
      <c r="CX224" s="1">
        <v>7</v>
      </c>
      <c r="CY224" s="1">
        <v>6</v>
      </c>
      <c r="CZ224" s="1">
        <v>6</v>
      </c>
      <c r="DA224" s="1">
        <v>6</v>
      </c>
      <c r="DB224" s="1">
        <v>7</v>
      </c>
      <c r="DC224" s="1">
        <v>7</v>
      </c>
      <c r="DD224" s="1">
        <v>6</v>
      </c>
      <c r="DE224" s="1">
        <v>7</v>
      </c>
      <c r="DF224" s="1">
        <v>7</v>
      </c>
      <c r="DG224" s="1">
        <v>5</v>
      </c>
      <c r="DH224" s="1">
        <v>5</v>
      </c>
      <c r="DI224" s="1">
        <v>4</v>
      </c>
      <c r="DJ224" s="1">
        <v>6</v>
      </c>
      <c r="DK224" s="1">
        <v>2</v>
      </c>
      <c r="DL224" s="1">
        <v>7</v>
      </c>
      <c r="DM224" s="19">
        <v>6</v>
      </c>
      <c r="DN224" s="19">
        <v>7</v>
      </c>
      <c r="DO224" s="1">
        <v>4</v>
      </c>
      <c r="DP224" s="1">
        <v>6</v>
      </c>
      <c r="DQ224" s="1">
        <v>6</v>
      </c>
      <c r="DR224" s="1">
        <v>6</v>
      </c>
      <c r="DS224" s="1">
        <v>6</v>
      </c>
      <c r="DT224" s="1">
        <v>7</v>
      </c>
      <c r="DU224" s="27">
        <v>7</v>
      </c>
      <c r="DV224" s="27">
        <v>7</v>
      </c>
      <c r="DW224" s="27">
        <v>4</v>
      </c>
      <c r="DX224" s="27">
        <v>4</v>
      </c>
      <c r="DY224" s="27">
        <v>4</v>
      </c>
      <c r="DZ224" s="27">
        <v>1</v>
      </c>
      <c r="EA224" s="27">
        <v>1</v>
      </c>
      <c r="EB224" s="27">
        <v>4</v>
      </c>
      <c r="EC224" s="27">
        <v>7</v>
      </c>
      <c r="ED224" s="27">
        <v>3</v>
      </c>
      <c r="EE224" s="27">
        <v>6</v>
      </c>
      <c r="EF224" s="27">
        <v>2</v>
      </c>
      <c r="EG224" s="27">
        <v>7</v>
      </c>
      <c r="EH224" s="27">
        <v>4</v>
      </c>
      <c r="EI224" s="27">
        <v>4</v>
      </c>
      <c r="EJ224" s="27">
        <v>4</v>
      </c>
      <c r="EK224" s="27">
        <v>4</v>
      </c>
      <c r="EL224" s="27">
        <v>4</v>
      </c>
      <c r="EM224" s="27">
        <v>4</v>
      </c>
      <c r="EN224" s="27">
        <v>4</v>
      </c>
      <c r="EO224" s="27">
        <v>7</v>
      </c>
      <c r="EP224" s="27">
        <v>7</v>
      </c>
      <c r="EQ224" s="27">
        <v>7</v>
      </c>
      <c r="ER224" s="27">
        <v>4</v>
      </c>
      <c r="ES224" s="27">
        <v>4</v>
      </c>
      <c r="ET224" s="27">
        <v>6</v>
      </c>
      <c r="EU224" s="27">
        <v>6</v>
      </c>
      <c r="EV224" s="27">
        <v>18</v>
      </c>
      <c r="EW224" s="27">
        <v>2</v>
      </c>
      <c r="EY224" s="27">
        <v>1</v>
      </c>
      <c r="FA224" s="27">
        <v>1</v>
      </c>
      <c r="FB224" s="28" t="s">
        <v>784</v>
      </c>
      <c r="FC224" s="27">
        <v>1</v>
      </c>
      <c r="FD224" s="1">
        <v>4</v>
      </c>
      <c r="FE224" s="4"/>
      <c r="FF224" s="4"/>
      <c r="FG224" s="4"/>
      <c r="FH224" s="4"/>
      <c r="FI224" s="4"/>
      <c r="FJ224" s="23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26"/>
      <c r="GF224" s="26"/>
      <c r="GG224" s="4"/>
      <c r="JH224" s="1"/>
      <c r="JV224" s="1"/>
      <c r="KM224" s="4"/>
      <c r="LA224" s="4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</row>
    <row r="225" spans="1:376" x14ac:dyDescent="0.35">
      <c r="A225" s="14">
        <v>43720</v>
      </c>
      <c r="B225" s="16" t="s">
        <v>144</v>
      </c>
      <c r="C225" s="16" t="s">
        <v>386</v>
      </c>
      <c r="D225" s="1">
        <v>224</v>
      </c>
      <c r="E225" s="1">
        <v>5</v>
      </c>
      <c r="F225" s="1">
        <v>5</v>
      </c>
      <c r="H225" s="1">
        <v>56</v>
      </c>
      <c r="I225" s="1">
        <v>4</v>
      </c>
      <c r="K225" s="18">
        <v>0</v>
      </c>
      <c r="L225" s="18">
        <v>1</v>
      </c>
      <c r="M225" s="18">
        <v>1</v>
      </c>
      <c r="N225" s="18">
        <v>1</v>
      </c>
      <c r="O225" s="18">
        <v>0</v>
      </c>
      <c r="P225" s="4">
        <v>0.6</v>
      </c>
      <c r="Q225" s="3">
        <v>35</v>
      </c>
      <c r="R225" s="1">
        <v>35</v>
      </c>
      <c r="S225" s="1">
        <v>40</v>
      </c>
      <c r="T225" s="1">
        <v>84</v>
      </c>
      <c r="U225" s="1">
        <v>49</v>
      </c>
      <c r="V225" s="1">
        <v>56</v>
      </c>
      <c r="W225" s="1">
        <v>54</v>
      </c>
      <c r="X225" s="1">
        <v>29</v>
      </c>
      <c r="Y225" s="1">
        <v>37</v>
      </c>
      <c r="AI225" s="4"/>
      <c r="AJ225" s="4"/>
      <c r="AK225" s="4"/>
      <c r="AL225" s="1">
        <v>1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9">
        <v>0</v>
      </c>
      <c r="AT225" s="19">
        <v>0</v>
      </c>
      <c r="AU225" s="19">
        <v>0</v>
      </c>
      <c r="AV225" s="19">
        <v>0</v>
      </c>
      <c r="AW225" s="19">
        <v>0</v>
      </c>
      <c r="AX225" s="19"/>
      <c r="AY225"/>
      <c r="AZ225"/>
      <c r="BA225"/>
      <c r="BB225"/>
      <c r="BC225"/>
      <c r="BP225" s="4"/>
      <c r="BQ225" s="4"/>
      <c r="BR225" s="4"/>
      <c r="BS225" s="4"/>
      <c r="BT225" s="4"/>
      <c r="BU225" s="4"/>
      <c r="CI225" s="1">
        <v>7</v>
      </c>
      <c r="CJ225" s="1">
        <v>6</v>
      </c>
      <c r="CK225" s="1">
        <v>7</v>
      </c>
      <c r="CL225" s="1">
        <v>3</v>
      </c>
      <c r="CM225" s="1">
        <v>4</v>
      </c>
      <c r="CN225" s="1">
        <v>6</v>
      </c>
      <c r="CO225" s="1">
        <v>4</v>
      </c>
      <c r="CP225" s="1">
        <v>2</v>
      </c>
      <c r="CQ225" s="1">
        <v>7</v>
      </c>
      <c r="CR225" s="1">
        <v>7</v>
      </c>
      <c r="CS225" s="1">
        <v>6</v>
      </c>
      <c r="CT225" s="1">
        <v>6</v>
      </c>
      <c r="CU225" s="1">
        <v>4</v>
      </c>
      <c r="CV225" s="1">
        <v>3</v>
      </c>
      <c r="CW225" s="1">
        <v>7</v>
      </c>
      <c r="CX225" s="1">
        <v>6</v>
      </c>
      <c r="CY225" s="1">
        <v>7</v>
      </c>
      <c r="CZ225" s="1">
        <v>3</v>
      </c>
      <c r="DA225" s="1">
        <v>3</v>
      </c>
      <c r="DB225" s="1">
        <v>5</v>
      </c>
      <c r="DC225" s="1">
        <v>7</v>
      </c>
      <c r="DD225" s="1">
        <v>5</v>
      </c>
      <c r="DE225" s="1">
        <v>3</v>
      </c>
      <c r="DF225" s="1">
        <v>5</v>
      </c>
      <c r="DG225" s="1">
        <v>6</v>
      </c>
      <c r="DH225" s="1">
        <v>5</v>
      </c>
      <c r="DI225" s="1">
        <v>7</v>
      </c>
      <c r="DJ225" s="1">
        <v>6</v>
      </c>
      <c r="DK225" s="1">
        <v>6</v>
      </c>
      <c r="DL225" s="1">
        <v>2</v>
      </c>
      <c r="DM225" s="19">
        <v>2</v>
      </c>
      <c r="DN225" s="19">
        <v>4</v>
      </c>
      <c r="DO225" s="1">
        <v>3</v>
      </c>
      <c r="DP225" s="1">
        <v>4</v>
      </c>
      <c r="DQ225" s="1">
        <v>3</v>
      </c>
      <c r="DR225" s="1">
        <v>4</v>
      </c>
      <c r="DS225" s="1">
        <v>7</v>
      </c>
      <c r="DT225" s="1">
        <v>7</v>
      </c>
      <c r="DU225" s="27">
        <v>1</v>
      </c>
      <c r="DV225" s="27">
        <v>1</v>
      </c>
      <c r="DW225" s="27">
        <v>2</v>
      </c>
      <c r="DX225" s="27">
        <v>1</v>
      </c>
      <c r="DY225" s="27">
        <v>1</v>
      </c>
      <c r="DZ225" s="27">
        <v>4</v>
      </c>
      <c r="EA225" s="27">
        <v>2</v>
      </c>
      <c r="EB225" s="27">
        <v>3</v>
      </c>
      <c r="EC225" s="27">
        <v>2</v>
      </c>
      <c r="ED225" s="27">
        <v>3</v>
      </c>
      <c r="EE225" s="27">
        <v>3</v>
      </c>
      <c r="EF225" s="27">
        <v>2</v>
      </c>
      <c r="EG225" s="27">
        <v>5</v>
      </c>
      <c r="EH225" s="27">
        <v>6</v>
      </c>
      <c r="EI225" s="27">
        <v>7</v>
      </c>
      <c r="EJ225" s="27">
        <v>3</v>
      </c>
      <c r="EK225" s="27">
        <v>5</v>
      </c>
      <c r="EL225" s="27">
        <v>1</v>
      </c>
      <c r="EM225" s="27">
        <v>1</v>
      </c>
      <c r="EN225" s="27">
        <v>1</v>
      </c>
      <c r="EO225" s="27">
        <v>7</v>
      </c>
      <c r="EP225" s="27">
        <v>7</v>
      </c>
      <c r="EQ225" s="27">
        <v>7</v>
      </c>
      <c r="ER225" s="27">
        <v>6</v>
      </c>
      <c r="ES225" s="27">
        <v>4</v>
      </c>
      <c r="ET225" s="27">
        <v>1</v>
      </c>
      <c r="EU225" s="27">
        <v>4</v>
      </c>
      <c r="EV225" s="27">
        <v>18</v>
      </c>
      <c r="EW225" s="27">
        <v>1</v>
      </c>
      <c r="EY225" s="27">
        <v>5</v>
      </c>
      <c r="FA225" s="27">
        <v>1</v>
      </c>
      <c r="FB225" s="28" t="s">
        <v>913</v>
      </c>
      <c r="FC225" s="27">
        <v>0</v>
      </c>
      <c r="FD225" s="1">
        <v>5</v>
      </c>
      <c r="FE225" s="4"/>
      <c r="FF225" s="4"/>
      <c r="FG225" s="4"/>
      <c r="FH225" s="4"/>
      <c r="FI225" s="4"/>
      <c r="FJ225" s="23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26"/>
      <c r="GF225" s="26"/>
      <c r="GG225" s="4"/>
      <c r="JH225" s="1"/>
      <c r="JV225" s="1"/>
      <c r="KM225" s="4"/>
      <c r="LA225" s="4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</row>
    <row r="226" spans="1:376" x14ac:dyDescent="0.35">
      <c r="A226" s="14">
        <v>43720</v>
      </c>
      <c r="B226" s="16" t="s">
        <v>145</v>
      </c>
      <c r="C226" s="16" t="s">
        <v>387</v>
      </c>
      <c r="D226" s="1">
        <v>225</v>
      </c>
      <c r="E226" s="1">
        <v>5</v>
      </c>
      <c r="F226" s="1">
        <v>5</v>
      </c>
      <c r="G226" s="1">
        <v>0</v>
      </c>
      <c r="H226" s="1">
        <v>57</v>
      </c>
      <c r="I226" s="1">
        <v>1</v>
      </c>
      <c r="J226" s="1">
        <v>1</v>
      </c>
      <c r="K226" s="18">
        <v>1</v>
      </c>
      <c r="L226" s="18">
        <v>1</v>
      </c>
      <c r="M226" s="18">
        <v>1</v>
      </c>
      <c r="N226" s="18">
        <v>1</v>
      </c>
      <c r="O226" s="18">
        <v>0</v>
      </c>
      <c r="P226" s="4">
        <v>0.8</v>
      </c>
      <c r="Q226" s="3">
        <v>51</v>
      </c>
      <c r="R226" s="1">
        <v>50</v>
      </c>
      <c r="S226" s="1">
        <v>47</v>
      </c>
      <c r="T226" s="1">
        <v>90</v>
      </c>
      <c r="U226" s="1">
        <v>87</v>
      </c>
      <c r="V226" s="1">
        <v>99</v>
      </c>
      <c r="W226" s="1">
        <v>99</v>
      </c>
      <c r="X226" s="1">
        <v>86</v>
      </c>
      <c r="Y226" s="1">
        <v>78</v>
      </c>
      <c r="Z226" s="1">
        <v>205</v>
      </c>
      <c r="AA226" s="1">
        <v>203</v>
      </c>
      <c r="AB226" s="1">
        <v>196</v>
      </c>
      <c r="AC226" s="1">
        <v>364</v>
      </c>
      <c r="AD226" s="1">
        <v>375</v>
      </c>
      <c r="AE226" s="1">
        <v>388</v>
      </c>
      <c r="AF226" s="1">
        <v>395</v>
      </c>
      <c r="AG226" s="1">
        <v>393</v>
      </c>
      <c r="AH226" s="1">
        <v>331</v>
      </c>
      <c r="AI226" s="4">
        <v>201.33</v>
      </c>
      <c r="AJ226" s="4">
        <v>375.67</v>
      </c>
      <c r="AK226" s="4">
        <v>373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9">
        <v>0</v>
      </c>
      <c r="AT226" s="19">
        <v>4</v>
      </c>
      <c r="AU226" s="19">
        <v>0</v>
      </c>
      <c r="AV226" s="19">
        <v>0</v>
      </c>
      <c r="AW226" s="19">
        <v>0</v>
      </c>
      <c r="AX226" s="19">
        <f t="shared" ref="AX226:BC226" si="112">AL226+AL227+AL228+AL229</f>
        <v>0</v>
      </c>
      <c r="AY226" s="19">
        <f t="shared" si="112"/>
        <v>2</v>
      </c>
      <c r="AZ226" s="19">
        <f t="shared" si="112"/>
        <v>2</v>
      </c>
      <c r="BA226" s="19">
        <f t="shared" si="112"/>
        <v>0</v>
      </c>
      <c r="BB226" s="19">
        <f t="shared" si="112"/>
        <v>0</v>
      </c>
      <c r="BC226" s="19">
        <f t="shared" si="112"/>
        <v>0</v>
      </c>
      <c r="BD226" s="1">
        <f>AX226*3</f>
        <v>0</v>
      </c>
      <c r="BE226" s="1">
        <f t="shared" ref="BE226:BI226" si="113">AY226*3</f>
        <v>6</v>
      </c>
      <c r="BF226" s="1">
        <f t="shared" si="113"/>
        <v>6</v>
      </c>
      <c r="BG226" s="1">
        <f t="shared" si="113"/>
        <v>0</v>
      </c>
      <c r="BH226" s="1">
        <f t="shared" si="113"/>
        <v>0</v>
      </c>
      <c r="BI226" s="1">
        <f t="shared" si="113"/>
        <v>0</v>
      </c>
      <c r="BJ226" s="1">
        <f>AX226+AY226+AZ226</f>
        <v>4</v>
      </c>
      <c r="BK226" s="1">
        <f>BA226+BB226+BC226</f>
        <v>0</v>
      </c>
      <c r="BL226" s="1">
        <f>BJ226*3</f>
        <v>12</v>
      </c>
      <c r="BM226" s="1">
        <f>BK226*3</f>
        <v>0</v>
      </c>
      <c r="BN226" s="1">
        <f>BL226/3</f>
        <v>4</v>
      </c>
      <c r="BO226" s="1">
        <f>BM226/3</f>
        <v>0</v>
      </c>
      <c r="BP226" s="4">
        <v>197.33333333333334</v>
      </c>
      <c r="BQ226" s="4">
        <v>375.66666666666669</v>
      </c>
      <c r="BR226" s="4">
        <v>373</v>
      </c>
      <c r="BS226" s="4">
        <v>375.67</v>
      </c>
      <c r="BT226" s="4">
        <v>373</v>
      </c>
      <c r="BU226" s="4">
        <v>3.5</v>
      </c>
      <c r="BV226" s="1">
        <v>2</v>
      </c>
      <c r="BW226" s="1">
        <v>2</v>
      </c>
      <c r="BX226" s="1">
        <v>2</v>
      </c>
      <c r="BY226" s="1">
        <v>2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7</v>
      </c>
      <c r="CJ226" s="1">
        <v>6</v>
      </c>
      <c r="CK226" s="1">
        <v>7</v>
      </c>
      <c r="CL226" s="1">
        <v>6</v>
      </c>
      <c r="CM226" s="1">
        <v>6</v>
      </c>
      <c r="CN226" s="1">
        <v>6</v>
      </c>
      <c r="CO226" s="1">
        <v>6</v>
      </c>
      <c r="CP226" s="1">
        <v>6</v>
      </c>
      <c r="CQ226" s="1">
        <v>3</v>
      </c>
      <c r="CR226" s="1">
        <v>5</v>
      </c>
      <c r="CS226" s="1">
        <v>5</v>
      </c>
      <c r="CT226" s="1">
        <v>2</v>
      </c>
      <c r="CU226" s="1">
        <v>3</v>
      </c>
      <c r="CV226" s="1">
        <v>2</v>
      </c>
      <c r="CW226" s="1">
        <v>5</v>
      </c>
      <c r="CX226" s="1">
        <v>5</v>
      </c>
      <c r="CY226" s="1">
        <v>2</v>
      </c>
      <c r="CZ226" s="1">
        <v>7</v>
      </c>
      <c r="DA226" s="1">
        <v>7</v>
      </c>
      <c r="DB226" s="1">
        <v>7</v>
      </c>
      <c r="DC226" s="1">
        <v>7</v>
      </c>
      <c r="DD226" s="1">
        <v>7</v>
      </c>
      <c r="DE226" s="1">
        <v>6</v>
      </c>
      <c r="DF226" s="1">
        <v>1</v>
      </c>
      <c r="DG226" s="1">
        <v>1</v>
      </c>
      <c r="DH226" s="1">
        <v>1</v>
      </c>
      <c r="DI226" s="1">
        <v>1</v>
      </c>
      <c r="DJ226" s="1">
        <v>1</v>
      </c>
      <c r="DK226" s="1">
        <v>1</v>
      </c>
      <c r="DL226" s="1">
        <v>7</v>
      </c>
      <c r="DM226" s="19">
        <v>7</v>
      </c>
      <c r="DN226" s="19">
        <v>1</v>
      </c>
      <c r="DO226" s="1">
        <v>1</v>
      </c>
      <c r="DP226" s="1">
        <v>3</v>
      </c>
      <c r="DQ226" s="1">
        <v>7</v>
      </c>
      <c r="DR226" s="1">
        <v>2</v>
      </c>
      <c r="DS226" s="1">
        <v>3</v>
      </c>
      <c r="DT226" s="1">
        <v>1</v>
      </c>
      <c r="DU226" s="27">
        <v>7</v>
      </c>
      <c r="DV226" s="27">
        <v>7</v>
      </c>
      <c r="DW226" s="27">
        <v>7</v>
      </c>
      <c r="DX226" s="27">
        <v>7</v>
      </c>
      <c r="DY226" s="27">
        <v>2</v>
      </c>
      <c r="DZ226" s="27">
        <v>2</v>
      </c>
      <c r="EA226" s="27">
        <v>1</v>
      </c>
      <c r="EB226" s="27">
        <v>2</v>
      </c>
      <c r="EC226" s="27">
        <v>6</v>
      </c>
      <c r="ED226" s="27">
        <v>2</v>
      </c>
      <c r="EE226" s="27">
        <v>6</v>
      </c>
      <c r="EF226" s="27">
        <v>7</v>
      </c>
      <c r="EG226" s="27">
        <v>2</v>
      </c>
      <c r="EH226" s="27">
        <v>1</v>
      </c>
      <c r="EI226" s="27">
        <v>1</v>
      </c>
      <c r="EJ226" s="27">
        <v>1</v>
      </c>
      <c r="EK226" s="27">
        <v>1</v>
      </c>
      <c r="EL226" s="27">
        <v>1</v>
      </c>
      <c r="EM226" s="27">
        <v>6</v>
      </c>
      <c r="EN226" s="27">
        <v>3</v>
      </c>
      <c r="EO226" s="27">
        <v>1</v>
      </c>
      <c r="EP226" s="27">
        <v>1</v>
      </c>
      <c r="EQ226" s="27">
        <v>1</v>
      </c>
      <c r="ER226" s="27">
        <v>1</v>
      </c>
      <c r="ES226" s="27">
        <v>2</v>
      </c>
      <c r="ET226" s="27">
        <v>1</v>
      </c>
      <c r="EU226" s="27">
        <v>1</v>
      </c>
      <c r="EV226" s="27">
        <v>19</v>
      </c>
      <c r="EW226" s="27">
        <v>2</v>
      </c>
      <c r="EY226" s="27">
        <v>8</v>
      </c>
      <c r="EZ226" s="28" t="s">
        <v>767</v>
      </c>
      <c r="FA226" s="27">
        <v>1</v>
      </c>
      <c r="FB226" s="28" t="s">
        <v>914</v>
      </c>
      <c r="FC226" s="27">
        <v>0</v>
      </c>
      <c r="FD226" s="1">
        <v>2</v>
      </c>
      <c r="FE226" s="4">
        <v>6.43</v>
      </c>
      <c r="FF226" s="4">
        <v>5.69</v>
      </c>
      <c r="FG226" s="4">
        <v>6.94</v>
      </c>
      <c r="FH226" s="4">
        <v>7</v>
      </c>
      <c r="FI226" s="4">
        <v>6.88</v>
      </c>
      <c r="FJ226" s="23">
        <v>6.25</v>
      </c>
      <c r="FK226" s="4">
        <v>3.92</v>
      </c>
      <c r="FL226" s="4">
        <v>6.88</v>
      </c>
      <c r="FM226" s="4">
        <v>5.38</v>
      </c>
      <c r="FN226" s="4">
        <v>5.88</v>
      </c>
      <c r="FO226" s="4">
        <v>5</v>
      </c>
      <c r="FP226" s="4">
        <v>5.17</v>
      </c>
      <c r="FQ226" s="4">
        <v>5.88</v>
      </c>
      <c r="FR226" s="4">
        <v>3</v>
      </c>
      <c r="FS226" s="4">
        <v>5</v>
      </c>
      <c r="FT226" s="4">
        <v>6.5</v>
      </c>
      <c r="FU226" s="4">
        <v>1.5</v>
      </c>
      <c r="FV226" s="4">
        <v>4.5</v>
      </c>
      <c r="FW226" s="4">
        <v>4.75</v>
      </c>
      <c r="FX226" s="4">
        <v>5</v>
      </c>
      <c r="FY226" s="4">
        <v>5.25</v>
      </c>
      <c r="FZ226" s="4">
        <v>4.75</v>
      </c>
      <c r="GA226" s="4">
        <v>2.88</v>
      </c>
      <c r="GB226" s="4">
        <v>4.58</v>
      </c>
      <c r="GC226" s="4">
        <v>5.13</v>
      </c>
      <c r="GD226" s="4">
        <v>3.13</v>
      </c>
      <c r="GE226" s="26"/>
      <c r="GF226" s="26"/>
      <c r="GG226" s="4"/>
      <c r="JH226" s="1"/>
      <c r="JV226" s="1"/>
      <c r="KM226" s="4"/>
      <c r="LA226" s="4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</row>
    <row r="227" spans="1:376" x14ac:dyDescent="0.35">
      <c r="A227" s="14">
        <v>43720</v>
      </c>
      <c r="B227" s="16" t="s">
        <v>145</v>
      </c>
      <c r="C227" s="16" t="s">
        <v>388</v>
      </c>
      <c r="D227" s="1">
        <v>226</v>
      </c>
      <c r="E227" s="1">
        <v>5</v>
      </c>
      <c r="F227" s="1">
        <v>5</v>
      </c>
      <c r="H227" s="1">
        <v>57</v>
      </c>
      <c r="I227" s="1">
        <v>2</v>
      </c>
      <c r="K227" s="18">
        <v>1</v>
      </c>
      <c r="L227" s="18">
        <v>1</v>
      </c>
      <c r="M227" s="18">
        <v>1</v>
      </c>
      <c r="N227" s="18">
        <v>1</v>
      </c>
      <c r="O227" s="18">
        <v>0</v>
      </c>
      <c r="P227" s="4">
        <v>0.8</v>
      </c>
      <c r="Q227" s="3">
        <v>56</v>
      </c>
      <c r="R227" s="1">
        <v>44</v>
      </c>
      <c r="S227" s="1">
        <v>52</v>
      </c>
      <c r="T227" s="1">
        <v>88</v>
      </c>
      <c r="U227" s="1">
        <v>95</v>
      </c>
      <c r="V227" s="1">
        <v>86</v>
      </c>
      <c r="W227" s="1">
        <v>92</v>
      </c>
      <c r="X227" s="1">
        <v>119</v>
      </c>
      <c r="Y227" s="1">
        <v>79</v>
      </c>
      <c r="AI227" s="4"/>
      <c r="AJ227" s="4"/>
      <c r="AK227" s="4"/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9">
        <v>0</v>
      </c>
      <c r="AT227" s="19">
        <v>0</v>
      </c>
      <c r="AU227" s="19">
        <v>0</v>
      </c>
      <c r="AV227" s="19">
        <v>0</v>
      </c>
      <c r="AW227" s="19">
        <v>0</v>
      </c>
      <c r="AX227" s="19"/>
      <c r="AY227"/>
      <c r="AZ227"/>
      <c r="BA227"/>
      <c r="BB227"/>
      <c r="BC227"/>
      <c r="BP227" s="4"/>
      <c r="BQ227" s="4"/>
      <c r="BR227" s="4"/>
      <c r="BS227" s="4"/>
      <c r="BT227" s="4"/>
      <c r="BU227" s="4"/>
      <c r="CI227" s="1">
        <v>7</v>
      </c>
      <c r="CJ227" s="1">
        <v>7</v>
      </c>
      <c r="CK227" s="1">
        <v>7</v>
      </c>
      <c r="CL227" s="1">
        <v>6</v>
      </c>
      <c r="CM227" s="1">
        <v>6</v>
      </c>
      <c r="CN227" s="1">
        <v>6</v>
      </c>
      <c r="CO227" s="1">
        <v>5</v>
      </c>
      <c r="CP227" s="1">
        <v>1</v>
      </c>
      <c r="CQ227" s="1">
        <v>7</v>
      </c>
      <c r="CR227" s="1">
        <v>7</v>
      </c>
      <c r="CS227" s="1">
        <v>7</v>
      </c>
      <c r="CT227" s="1">
        <v>7</v>
      </c>
      <c r="CU227" s="1">
        <v>7</v>
      </c>
      <c r="CV227" s="1">
        <v>7</v>
      </c>
      <c r="CW227" s="1">
        <v>7</v>
      </c>
      <c r="CX227" s="1">
        <v>7</v>
      </c>
      <c r="CY227" s="1">
        <v>7</v>
      </c>
      <c r="CZ227" s="1">
        <v>7</v>
      </c>
      <c r="DA227" s="1">
        <v>7</v>
      </c>
      <c r="DB227" s="1">
        <v>7</v>
      </c>
      <c r="DC227" s="1">
        <v>7</v>
      </c>
      <c r="DD227" s="1">
        <v>7</v>
      </c>
      <c r="DE227" s="1">
        <v>6</v>
      </c>
      <c r="DF227" s="1">
        <v>3</v>
      </c>
      <c r="DG227" s="1">
        <v>3</v>
      </c>
      <c r="DH227" s="1">
        <v>5</v>
      </c>
      <c r="DI227" s="1">
        <v>5</v>
      </c>
      <c r="DJ227" s="1">
        <v>5</v>
      </c>
      <c r="DK227" s="1">
        <v>5</v>
      </c>
      <c r="DL227" s="1">
        <v>6</v>
      </c>
      <c r="DM227" s="19">
        <v>7</v>
      </c>
      <c r="DN227" s="19">
        <v>7</v>
      </c>
      <c r="DO227" s="1">
        <v>7</v>
      </c>
      <c r="DP227" s="1">
        <v>6</v>
      </c>
      <c r="DQ227" s="1">
        <v>4</v>
      </c>
      <c r="DR227" s="1">
        <v>5</v>
      </c>
      <c r="DS227" s="1">
        <v>7</v>
      </c>
      <c r="DT227" s="1">
        <v>7</v>
      </c>
      <c r="DU227" s="27">
        <v>7</v>
      </c>
      <c r="DV227" s="27">
        <v>7</v>
      </c>
      <c r="DW227" s="27">
        <v>1</v>
      </c>
      <c r="DX227" s="27">
        <v>7</v>
      </c>
      <c r="DY227" s="27">
        <v>6</v>
      </c>
      <c r="DZ227" s="27">
        <v>2</v>
      </c>
      <c r="EA227" s="27">
        <v>1</v>
      </c>
      <c r="EB227" s="27">
        <v>6</v>
      </c>
      <c r="EC227" s="27">
        <v>7</v>
      </c>
      <c r="ED227" s="27">
        <v>1</v>
      </c>
      <c r="EE227" s="27">
        <v>3</v>
      </c>
      <c r="EF227" s="27">
        <v>4</v>
      </c>
      <c r="EG227" s="27">
        <v>7</v>
      </c>
      <c r="EH227" s="27">
        <v>7</v>
      </c>
      <c r="EI227" s="27">
        <v>7</v>
      </c>
      <c r="EJ227" s="27">
        <v>7</v>
      </c>
      <c r="EK227" s="27">
        <v>7</v>
      </c>
      <c r="EL227" s="27">
        <v>7</v>
      </c>
      <c r="EM227" s="27">
        <v>4</v>
      </c>
      <c r="EN227" s="27">
        <v>1</v>
      </c>
      <c r="EO227" s="27">
        <v>7</v>
      </c>
      <c r="EP227" s="27">
        <v>7</v>
      </c>
      <c r="EQ227" s="27">
        <v>5</v>
      </c>
      <c r="ER227" s="27">
        <v>7</v>
      </c>
      <c r="ES227" s="27">
        <v>6</v>
      </c>
      <c r="ET227" s="27">
        <v>4</v>
      </c>
      <c r="EU227" s="27">
        <v>4</v>
      </c>
      <c r="EV227" s="27">
        <v>18</v>
      </c>
      <c r="EW227" s="27">
        <v>1</v>
      </c>
      <c r="EY227" s="27">
        <v>1</v>
      </c>
      <c r="FA227" s="27">
        <v>1</v>
      </c>
      <c r="FB227" s="28" t="s">
        <v>778</v>
      </c>
      <c r="FC227" s="27">
        <v>1</v>
      </c>
      <c r="FD227" s="1">
        <v>4</v>
      </c>
      <c r="FE227" s="4"/>
      <c r="FF227" s="4"/>
      <c r="FG227" s="4"/>
      <c r="FH227" s="4"/>
      <c r="FI227" s="4"/>
      <c r="FJ227" s="23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26"/>
      <c r="GF227" s="26"/>
      <c r="GG227" s="4"/>
      <c r="JH227" s="1"/>
      <c r="JV227" s="1"/>
      <c r="KM227" s="4"/>
      <c r="LA227" s="4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</row>
    <row r="228" spans="1:376" x14ac:dyDescent="0.35">
      <c r="A228" s="14">
        <v>43720</v>
      </c>
      <c r="B228" s="16" t="s">
        <v>145</v>
      </c>
      <c r="C228" s="16" t="s">
        <v>389</v>
      </c>
      <c r="D228" s="1">
        <v>227</v>
      </c>
      <c r="E228" s="1">
        <v>5</v>
      </c>
      <c r="F228" s="1">
        <v>5</v>
      </c>
      <c r="H228" s="1">
        <v>57</v>
      </c>
      <c r="I228" s="1">
        <v>3</v>
      </c>
      <c r="K228" s="18">
        <v>1</v>
      </c>
      <c r="L228" s="18">
        <v>1</v>
      </c>
      <c r="M228" s="18">
        <v>0</v>
      </c>
      <c r="N228" s="18">
        <v>1</v>
      </c>
      <c r="O228" s="18">
        <v>0</v>
      </c>
      <c r="P228" s="4">
        <v>0.6</v>
      </c>
      <c r="Q228" s="3">
        <v>25</v>
      </c>
      <c r="R228" s="1">
        <v>34</v>
      </c>
      <c r="S228" s="1">
        <v>37</v>
      </c>
      <c r="T228" s="1">
        <v>71</v>
      </c>
      <c r="U228" s="1">
        <v>94</v>
      </c>
      <c r="V228" s="1">
        <v>90</v>
      </c>
      <c r="W228" s="1">
        <v>100</v>
      </c>
      <c r="X228" s="1">
        <v>84</v>
      </c>
      <c r="Y228" s="1">
        <v>62</v>
      </c>
      <c r="AI228" s="4"/>
      <c r="AJ228" s="4"/>
      <c r="AK228" s="4"/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9">
        <v>4</v>
      </c>
      <c r="AT228" s="19">
        <v>0</v>
      </c>
      <c r="AU228" s="19">
        <v>0</v>
      </c>
      <c r="AV228" s="19">
        <v>0</v>
      </c>
      <c r="AW228" s="19">
        <v>0</v>
      </c>
      <c r="AX228" s="19"/>
      <c r="AY228"/>
      <c r="AZ228"/>
      <c r="BA228"/>
      <c r="BB228"/>
      <c r="BC228"/>
      <c r="BP228" s="4"/>
      <c r="BQ228" s="4"/>
      <c r="BR228" s="4"/>
      <c r="BS228" s="4"/>
      <c r="BT228" s="4"/>
      <c r="BU228" s="4"/>
      <c r="CI228" s="1">
        <v>7</v>
      </c>
      <c r="CJ228" s="1">
        <v>7</v>
      </c>
      <c r="CK228" s="1">
        <v>7</v>
      </c>
      <c r="CL228" s="1">
        <v>6</v>
      </c>
      <c r="CM228" s="1">
        <v>7</v>
      </c>
      <c r="CN228" s="1">
        <v>7</v>
      </c>
      <c r="CO228" s="1">
        <v>7</v>
      </c>
      <c r="CP228" s="1">
        <v>1</v>
      </c>
      <c r="CQ228" s="1">
        <v>7</v>
      </c>
      <c r="CR228" s="1">
        <v>7</v>
      </c>
      <c r="CS228" s="1">
        <v>6</v>
      </c>
      <c r="CT228" s="1">
        <v>7</v>
      </c>
      <c r="CU228" s="1">
        <v>6</v>
      </c>
      <c r="CV228" s="1">
        <v>5</v>
      </c>
      <c r="CW228" s="1">
        <v>5</v>
      </c>
      <c r="CX228" s="1">
        <v>6</v>
      </c>
      <c r="CY228" s="1">
        <v>7</v>
      </c>
      <c r="CZ228" s="1">
        <v>7</v>
      </c>
      <c r="DA228" s="1">
        <v>7</v>
      </c>
      <c r="DB228" s="1">
        <v>7</v>
      </c>
      <c r="DC228" s="1">
        <v>7</v>
      </c>
      <c r="DD228" s="1">
        <v>6</v>
      </c>
      <c r="DE228" s="1">
        <v>7</v>
      </c>
      <c r="DF228" s="1">
        <v>6</v>
      </c>
      <c r="DG228" s="1">
        <v>5</v>
      </c>
      <c r="DH228" s="1">
        <v>7</v>
      </c>
      <c r="DI228" s="1">
        <v>5</v>
      </c>
      <c r="DJ228" s="1">
        <v>7</v>
      </c>
      <c r="DK228" s="1">
        <v>3</v>
      </c>
      <c r="DL228" s="1">
        <v>7</v>
      </c>
      <c r="DM228" s="19">
        <v>7</v>
      </c>
      <c r="DN228" s="19">
        <v>7</v>
      </c>
      <c r="DO228" s="1">
        <v>6</v>
      </c>
      <c r="DP228" s="1">
        <v>7</v>
      </c>
      <c r="DQ228" s="1">
        <v>7</v>
      </c>
      <c r="DR228" s="1">
        <v>5</v>
      </c>
      <c r="DS228" s="1">
        <v>7</v>
      </c>
      <c r="DT228" s="1">
        <v>7</v>
      </c>
      <c r="DU228" s="27">
        <v>7</v>
      </c>
      <c r="DV228" s="27">
        <v>7</v>
      </c>
      <c r="DW228" s="27">
        <v>6</v>
      </c>
      <c r="DX228" s="27">
        <v>7</v>
      </c>
      <c r="DY228" s="27">
        <v>4</v>
      </c>
      <c r="DZ228" s="27">
        <v>4</v>
      </c>
      <c r="EA228" s="27">
        <v>3</v>
      </c>
      <c r="EB228" s="27">
        <v>7</v>
      </c>
      <c r="EC228" s="27">
        <v>6</v>
      </c>
      <c r="ED228" s="27">
        <v>1</v>
      </c>
      <c r="EE228" s="27">
        <v>7</v>
      </c>
      <c r="EF228" s="27">
        <v>6</v>
      </c>
      <c r="EG228" s="27">
        <v>5</v>
      </c>
      <c r="EH228" s="27">
        <v>7</v>
      </c>
      <c r="EI228" s="27">
        <v>6</v>
      </c>
      <c r="EJ228" s="27">
        <v>6</v>
      </c>
      <c r="EK228" s="27">
        <v>2</v>
      </c>
      <c r="EL228" s="27">
        <v>6</v>
      </c>
      <c r="EM228" s="27">
        <v>2</v>
      </c>
      <c r="EN228" s="27">
        <v>3</v>
      </c>
      <c r="EO228" s="27">
        <v>7</v>
      </c>
      <c r="EP228" s="27">
        <v>7</v>
      </c>
      <c r="EQ228" s="27">
        <v>7</v>
      </c>
      <c r="ER228" s="27">
        <v>4</v>
      </c>
      <c r="ES228" s="27">
        <v>7</v>
      </c>
      <c r="ET228" s="27">
        <v>4</v>
      </c>
      <c r="EU228" s="27">
        <v>3</v>
      </c>
      <c r="EV228" s="27">
        <v>19</v>
      </c>
      <c r="EW228" s="27">
        <v>2</v>
      </c>
      <c r="EY228" s="27">
        <v>1</v>
      </c>
      <c r="FA228" s="27">
        <v>2</v>
      </c>
      <c r="FB228" s="28" t="s">
        <v>915</v>
      </c>
      <c r="FC228" s="27">
        <v>0</v>
      </c>
      <c r="FD228" s="1">
        <v>3</v>
      </c>
      <c r="FE228" s="4"/>
      <c r="FF228" s="4"/>
      <c r="FG228" s="4"/>
      <c r="FH228" s="4"/>
      <c r="FI228" s="4"/>
      <c r="FJ228" s="23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26"/>
      <c r="GF228" s="26"/>
      <c r="GG228" s="4"/>
      <c r="JH228" s="1"/>
      <c r="JV228" s="1"/>
      <c r="KM228" s="4"/>
      <c r="LA228" s="4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</row>
    <row r="229" spans="1:376" x14ac:dyDescent="0.35">
      <c r="A229" s="14">
        <v>43720</v>
      </c>
      <c r="B229" s="16" t="s">
        <v>145</v>
      </c>
      <c r="C229" s="16" t="s">
        <v>390</v>
      </c>
      <c r="D229" s="1">
        <v>228</v>
      </c>
      <c r="E229" s="1">
        <v>5</v>
      </c>
      <c r="F229" s="1">
        <v>5</v>
      </c>
      <c r="H229" s="1">
        <v>57</v>
      </c>
      <c r="I229" s="1">
        <v>4</v>
      </c>
      <c r="K229" s="18">
        <v>1</v>
      </c>
      <c r="L229" s="18">
        <v>1</v>
      </c>
      <c r="M229" s="18">
        <v>1</v>
      </c>
      <c r="N229" s="18">
        <v>1</v>
      </c>
      <c r="O229" s="18">
        <v>1</v>
      </c>
      <c r="P229" s="4">
        <v>1</v>
      </c>
      <c r="Q229" s="3">
        <v>73</v>
      </c>
      <c r="R229" s="1">
        <v>75</v>
      </c>
      <c r="S229" s="1">
        <v>60</v>
      </c>
      <c r="T229" s="1">
        <v>115</v>
      </c>
      <c r="U229" s="1">
        <v>99</v>
      </c>
      <c r="V229" s="1">
        <v>113</v>
      </c>
      <c r="W229" s="1">
        <v>104</v>
      </c>
      <c r="X229" s="1">
        <v>104</v>
      </c>
      <c r="Y229" s="1">
        <v>112</v>
      </c>
      <c r="AI229" s="4"/>
      <c r="AJ229" s="4"/>
      <c r="AK229" s="4"/>
      <c r="AL229" s="1">
        <v>0</v>
      </c>
      <c r="AM229" s="1">
        <v>2</v>
      </c>
      <c r="AN229" s="1">
        <v>2</v>
      </c>
      <c r="AO229" s="1">
        <v>0</v>
      </c>
      <c r="AP229" s="1">
        <v>0</v>
      </c>
      <c r="AQ229" s="1">
        <v>0</v>
      </c>
      <c r="AR229" s="1">
        <v>0</v>
      </c>
      <c r="AS229" s="19">
        <v>0</v>
      </c>
      <c r="AT229" s="19">
        <v>0</v>
      </c>
      <c r="AU229" s="19">
        <v>0</v>
      </c>
      <c r="AV229" s="19">
        <v>0</v>
      </c>
      <c r="AW229" s="19">
        <v>0</v>
      </c>
      <c r="AX229" s="19"/>
      <c r="AY229"/>
      <c r="AZ229"/>
      <c r="BA229"/>
      <c r="BB229"/>
      <c r="BC229"/>
      <c r="BP229" s="4"/>
      <c r="BQ229" s="4"/>
      <c r="BR229" s="4"/>
      <c r="BS229" s="4"/>
      <c r="BT229" s="4"/>
      <c r="BU229" s="4"/>
      <c r="CI229" s="1">
        <v>6</v>
      </c>
      <c r="CJ229" s="1">
        <v>6</v>
      </c>
      <c r="CK229" s="1">
        <v>7</v>
      </c>
      <c r="CL229" s="1">
        <v>7</v>
      </c>
      <c r="CM229" s="1">
        <v>6</v>
      </c>
      <c r="CN229" s="1">
        <v>6</v>
      </c>
      <c r="CO229" s="1">
        <v>6</v>
      </c>
      <c r="CP229" s="1">
        <v>5</v>
      </c>
      <c r="CQ229" s="1">
        <v>6</v>
      </c>
      <c r="CR229" s="1">
        <v>6</v>
      </c>
      <c r="CS229" s="1">
        <v>6</v>
      </c>
      <c r="CT229" s="1">
        <v>3</v>
      </c>
      <c r="CU229" s="1">
        <v>6</v>
      </c>
      <c r="CV229" s="1">
        <v>6</v>
      </c>
      <c r="CW229" s="1">
        <v>6</v>
      </c>
      <c r="CX229" s="1">
        <v>6</v>
      </c>
      <c r="CY229" s="1">
        <v>6</v>
      </c>
      <c r="CZ229" s="1">
        <v>7</v>
      </c>
      <c r="DA229" s="1">
        <v>7</v>
      </c>
      <c r="DB229" s="1">
        <v>7</v>
      </c>
      <c r="DC229" s="1">
        <v>7</v>
      </c>
      <c r="DD229" s="1">
        <v>7</v>
      </c>
      <c r="DE229" s="1">
        <v>6</v>
      </c>
      <c r="DF229" s="1">
        <v>6</v>
      </c>
      <c r="DG229" s="1">
        <v>5</v>
      </c>
      <c r="DH229" s="1">
        <v>5</v>
      </c>
      <c r="DI229" s="1">
        <v>3</v>
      </c>
      <c r="DJ229" s="1">
        <v>5</v>
      </c>
      <c r="DK229" s="1">
        <v>5</v>
      </c>
      <c r="DL229" s="1">
        <v>7</v>
      </c>
      <c r="DM229" s="19">
        <v>7</v>
      </c>
      <c r="DN229" s="19">
        <v>7</v>
      </c>
      <c r="DO229" s="1">
        <v>7</v>
      </c>
      <c r="DP229" s="1">
        <v>7</v>
      </c>
      <c r="DQ229" s="1">
        <v>6</v>
      </c>
      <c r="DR229" s="1">
        <v>4</v>
      </c>
      <c r="DS229" s="1">
        <v>6</v>
      </c>
      <c r="DT229" s="1">
        <v>6</v>
      </c>
      <c r="DU229" s="27">
        <v>2</v>
      </c>
      <c r="DV229" s="27">
        <v>2</v>
      </c>
      <c r="DW229" s="27">
        <v>2</v>
      </c>
      <c r="DX229" s="27">
        <v>7</v>
      </c>
      <c r="DY229" s="27">
        <v>7</v>
      </c>
      <c r="DZ229" s="27">
        <v>7</v>
      </c>
      <c r="EA229" s="27">
        <v>7</v>
      </c>
      <c r="EB229" s="27">
        <v>5</v>
      </c>
      <c r="EC229" s="27">
        <v>7</v>
      </c>
      <c r="ED229" s="27">
        <v>2</v>
      </c>
      <c r="EE229" s="27">
        <v>2</v>
      </c>
      <c r="EF229" s="27">
        <v>2</v>
      </c>
      <c r="EG229" s="27">
        <v>6</v>
      </c>
      <c r="EH229" s="27">
        <v>7</v>
      </c>
      <c r="EI229" s="27">
        <v>6</v>
      </c>
      <c r="EJ229" s="27">
        <v>6</v>
      </c>
      <c r="EK229" s="27">
        <v>7</v>
      </c>
      <c r="EL229" s="27">
        <v>6</v>
      </c>
      <c r="EM229" s="27">
        <v>2</v>
      </c>
      <c r="EN229" s="27">
        <v>2</v>
      </c>
      <c r="EO229" s="27">
        <v>3</v>
      </c>
      <c r="EP229" s="27">
        <v>6</v>
      </c>
      <c r="EQ229" s="27">
        <v>3</v>
      </c>
      <c r="ER229" s="27">
        <v>7</v>
      </c>
      <c r="ES229" s="27">
        <v>7</v>
      </c>
      <c r="ET229" s="27">
        <v>4</v>
      </c>
      <c r="EU229" s="27">
        <v>4</v>
      </c>
      <c r="EV229" s="27">
        <v>18</v>
      </c>
      <c r="EW229" s="27">
        <v>1</v>
      </c>
      <c r="EY229" s="27">
        <v>1</v>
      </c>
      <c r="FA229" s="27">
        <v>1</v>
      </c>
      <c r="FB229" s="28" t="s">
        <v>916</v>
      </c>
      <c r="FC229" s="27">
        <v>0</v>
      </c>
      <c r="FD229" s="1">
        <v>9</v>
      </c>
      <c r="FE229" s="4"/>
      <c r="FF229" s="4"/>
      <c r="FG229" s="4"/>
      <c r="FH229" s="4"/>
      <c r="FI229" s="4"/>
      <c r="FJ229" s="23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26"/>
      <c r="GF229" s="26"/>
      <c r="GG229" s="4"/>
      <c r="JH229" s="1"/>
      <c r="JV229" s="1"/>
      <c r="KM229" s="4"/>
      <c r="LA229" s="4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</row>
    <row r="230" spans="1:376" x14ac:dyDescent="0.35">
      <c r="A230" s="14">
        <v>43720</v>
      </c>
      <c r="B230" s="16" t="s">
        <v>146</v>
      </c>
      <c r="C230" s="16" t="s">
        <v>391</v>
      </c>
      <c r="D230" s="1">
        <v>229</v>
      </c>
      <c r="E230" s="1">
        <v>5</v>
      </c>
      <c r="F230" s="1">
        <v>5</v>
      </c>
      <c r="G230" s="1">
        <v>0</v>
      </c>
      <c r="H230" s="1">
        <v>58</v>
      </c>
      <c r="I230" s="1">
        <v>1</v>
      </c>
      <c r="J230" s="1">
        <v>1</v>
      </c>
      <c r="K230" s="18">
        <v>0</v>
      </c>
      <c r="L230" s="18">
        <v>1</v>
      </c>
      <c r="M230" s="18">
        <v>1</v>
      </c>
      <c r="N230" s="18">
        <v>1</v>
      </c>
      <c r="O230" s="18">
        <v>0</v>
      </c>
      <c r="P230" s="4">
        <v>0.6</v>
      </c>
      <c r="Q230" s="3">
        <v>44</v>
      </c>
      <c r="R230" s="1">
        <v>39</v>
      </c>
      <c r="S230" s="1">
        <v>57</v>
      </c>
      <c r="T230" s="1">
        <v>95</v>
      </c>
      <c r="U230" s="1">
        <v>118</v>
      </c>
      <c r="V230" s="1">
        <v>114</v>
      </c>
      <c r="W230" s="1">
        <v>111</v>
      </c>
      <c r="X230" s="1">
        <v>114</v>
      </c>
      <c r="Y230" s="1">
        <v>109</v>
      </c>
      <c r="Z230" s="1">
        <v>274</v>
      </c>
      <c r="AA230" s="1">
        <v>236</v>
      </c>
      <c r="AB230" s="1">
        <v>207</v>
      </c>
      <c r="AC230" s="1">
        <v>296</v>
      </c>
      <c r="AD230" s="1">
        <v>389</v>
      </c>
      <c r="AE230" s="1">
        <v>421</v>
      </c>
      <c r="AF230" s="1">
        <v>406</v>
      </c>
      <c r="AG230" s="1">
        <v>379</v>
      </c>
      <c r="AH230" s="1">
        <v>365</v>
      </c>
      <c r="AI230" s="4">
        <v>239</v>
      </c>
      <c r="AJ230" s="4">
        <v>368.67</v>
      </c>
      <c r="AK230" s="4">
        <v>383.33</v>
      </c>
      <c r="AL230" s="1">
        <v>1</v>
      </c>
      <c r="AM230" s="1">
        <v>1</v>
      </c>
      <c r="AN230" s="1">
        <v>0</v>
      </c>
      <c r="AO230" s="1">
        <v>3</v>
      </c>
      <c r="AP230" s="1">
        <v>0</v>
      </c>
      <c r="AQ230" s="1">
        <v>0</v>
      </c>
      <c r="AR230" s="1">
        <v>2</v>
      </c>
      <c r="AS230" s="19">
        <v>4</v>
      </c>
      <c r="AT230" s="19">
        <v>0</v>
      </c>
      <c r="AU230" s="19">
        <v>0</v>
      </c>
      <c r="AV230" s="19">
        <v>0</v>
      </c>
      <c r="AW230" s="19">
        <v>0</v>
      </c>
      <c r="AX230" s="19">
        <f t="shared" ref="AX230:BC230" si="114">AL230+AL231+AL232+AL233</f>
        <v>2</v>
      </c>
      <c r="AY230" s="19">
        <f t="shared" si="114"/>
        <v>3</v>
      </c>
      <c r="AZ230" s="19">
        <f t="shared" si="114"/>
        <v>0</v>
      </c>
      <c r="BA230" s="19">
        <f t="shared" si="114"/>
        <v>3</v>
      </c>
      <c r="BB230" s="19">
        <f t="shared" si="114"/>
        <v>0</v>
      </c>
      <c r="BC230" s="19">
        <f t="shared" si="114"/>
        <v>0</v>
      </c>
      <c r="BD230" s="1">
        <f>AX230*3</f>
        <v>6</v>
      </c>
      <c r="BE230" s="1">
        <f t="shared" ref="BE230:BI230" si="115">AY230*3</f>
        <v>9</v>
      </c>
      <c r="BF230" s="1">
        <f t="shared" si="115"/>
        <v>0</v>
      </c>
      <c r="BG230" s="1">
        <f t="shared" si="115"/>
        <v>9</v>
      </c>
      <c r="BH230" s="1">
        <f t="shared" si="115"/>
        <v>0</v>
      </c>
      <c r="BI230" s="1">
        <f t="shared" si="115"/>
        <v>0</v>
      </c>
      <c r="BJ230" s="1">
        <f>AX230+AY230+AZ230</f>
        <v>5</v>
      </c>
      <c r="BK230" s="1">
        <f>BA230+BB230+BC230</f>
        <v>3</v>
      </c>
      <c r="BL230" s="1">
        <f>BJ230*3</f>
        <v>15</v>
      </c>
      <c r="BM230" s="1">
        <f>BK230*3</f>
        <v>9</v>
      </c>
      <c r="BN230" s="1">
        <f>BL230/3</f>
        <v>5</v>
      </c>
      <c r="BO230" s="1">
        <f>BM230/3</f>
        <v>3</v>
      </c>
      <c r="BP230" s="4">
        <v>234</v>
      </c>
      <c r="BQ230" s="4">
        <v>365.66666666666669</v>
      </c>
      <c r="BR230" s="4">
        <v>383.33333333333331</v>
      </c>
      <c r="BS230" s="4">
        <v>365.67</v>
      </c>
      <c r="BT230" s="4">
        <v>383.33</v>
      </c>
      <c r="BU230" s="4">
        <v>3.67</v>
      </c>
      <c r="BV230" s="1">
        <v>4</v>
      </c>
      <c r="BW230" s="1">
        <v>4</v>
      </c>
      <c r="BX230" s="1">
        <v>4</v>
      </c>
      <c r="BY230" s="1">
        <v>4</v>
      </c>
      <c r="BZ230" s="1">
        <v>3</v>
      </c>
      <c r="CA230" s="1">
        <v>3</v>
      </c>
      <c r="CB230" s="1">
        <v>3</v>
      </c>
      <c r="CC230" s="1">
        <v>3</v>
      </c>
      <c r="CD230" s="1">
        <v>3</v>
      </c>
      <c r="CE230" s="1">
        <v>3</v>
      </c>
      <c r="CF230" s="1">
        <v>3</v>
      </c>
      <c r="CG230" s="1">
        <v>3</v>
      </c>
      <c r="CH230" s="1">
        <v>1</v>
      </c>
      <c r="CI230" s="1">
        <v>7</v>
      </c>
      <c r="CJ230" s="1">
        <v>7</v>
      </c>
      <c r="CK230" s="1">
        <v>7</v>
      </c>
      <c r="CL230" s="1">
        <v>7</v>
      </c>
      <c r="CM230" s="1">
        <v>4</v>
      </c>
      <c r="CN230" s="1">
        <v>5</v>
      </c>
      <c r="CO230" s="1">
        <v>7</v>
      </c>
      <c r="CP230" s="1">
        <v>1</v>
      </c>
      <c r="CQ230" s="1">
        <v>7</v>
      </c>
      <c r="CR230" s="1">
        <v>7</v>
      </c>
      <c r="CS230" s="1">
        <v>7</v>
      </c>
      <c r="CT230" s="1">
        <v>7</v>
      </c>
      <c r="CU230" s="1">
        <v>7</v>
      </c>
      <c r="CV230" s="1">
        <v>7</v>
      </c>
      <c r="CW230" s="1">
        <v>7</v>
      </c>
      <c r="CX230" s="1">
        <v>7</v>
      </c>
      <c r="CY230" s="1">
        <v>6</v>
      </c>
      <c r="CZ230" s="1">
        <v>7</v>
      </c>
      <c r="DA230" s="1">
        <v>7</v>
      </c>
      <c r="DB230" s="1">
        <v>7</v>
      </c>
      <c r="DC230" s="1">
        <v>7</v>
      </c>
      <c r="DD230" s="1">
        <v>7</v>
      </c>
      <c r="DE230" s="1">
        <v>7</v>
      </c>
      <c r="DF230" s="1">
        <v>1</v>
      </c>
      <c r="DG230" s="1">
        <v>2</v>
      </c>
      <c r="DH230" s="1">
        <v>7</v>
      </c>
      <c r="DI230" s="1">
        <v>5</v>
      </c>
      <c r="DJ230" s="1">
        <v>5</v>
      </c>
      <c r="DK230" s="1">
        <v>1</v>
      </c>
      <c r="DL230" s="1">
        <v>7</v>
      </c>
      <c r="DM230" s="19">
        <v>7</v>
      </c>
      <c r="DN230" s="19">
        <v>7</v>
      </c>
      <c r="DO230" s="1">
        <v>7</v>
      </c>
      <c r="DP230" s="1">
        <v>7</v>
      </c>
      <c r="DQ230" s="1">
        <v>7</v>
      </c>
      <c r="DR230" s="1">
        <v>4</v>
      </c>
      <c r="DS230" s="1">
        <v>7</v>
      </c>
      <c r="DT230" s="1">
        <v>6</v>
      </c>
      <c r="DU230" s="27">
        <v>2</v>
      </c>
      <c r="DV230" s="27">
        <v>2</v>
      </c>
      <c r="DW230" s="27">
        <v>1</v>
      </c>
      <c r="DX230" s="27">
        <v>7</v>
      </c>
      <c r="DY230" s="27">
        <v>7</v>
      </c>
      <c r="DZ230" s="27">
        <v>5</v>
      </c>
      <c r="EA230" s="27">
        <v>3</v>
      </c>
      <c r="EB230" s="27">
        <v>7</v>
      </c>
      <c r="EC230" s="27">
        <v>7</v>
      </c>
      <c r="ED230" s="27">
        <v>1</v>
      </c>
      <c r="EE230" s="27">
        <v>1</v>
      </c>
      <c r="EF230" s="27">
        <v>1</v>
      </c>
      <c r="EG230" s="27">
        <v>7</v>
      </c>
      <c r="EH230" s="27">
        <v>6</v>
      </c>
      <c r="EI230" s="27">
        <v>6</v>
      </c>
      <c r="EJ230" s="27">
        <v>7</v>
      </c>
      <c r="EK230" s="27">
        <v>7</v>
      </c>
      <c r="EL230" s="27">
        <v>7</v>
      </c>
      <c r="EM230" s="27">
        <v>1</v>
      </c>
      <c r="EN230" s="27">
        <v>1</v>
      </c>
      <c r="EO230" s="27">
        <v>7</v>
      </c>
      <c r="EP230" s="27">
        <v>7</v>
      </c>
      <c r="EQ230" s="27">
        <v>4</v>
      </c>
      <c r="ER230" s="27">
        <v>7</v>
      </c>
      <c r="ES230" s="27">
        <v>7</v>
      </c>
      <c r="ET230" s="27">
        <v>4</v>
      </c>
      <c r="EU230" s="27">
        <v>4</v>
      </c>
      <c r="EV230" s="27">
        <v>18</v>
      </c>
      <c r="EW230" s="27">
        <v>1</v>
      </c>
      <c r="EY230" s="27">
        <v>1</v>
      </c>
      <c r="FA230" s="27">
        <v>1</v>
      </c>
      <c r="FB230" s="28" t="s">
        <v>917</v>
      </c>
      <c r="FC230" s="27">
        <v>1</v>
      </c>
      <c r="FD230" s="1">
        <v>1</v>
      </c>
      <c r="FE230" s="4">
        <v>6.29</v>
      </c>
      <c r="FF230" s="4">
        <v>6.75</v>
      </c>
      <c r="FG230" s="4">
        <v>7.88</v>
      </c>
      <c r="FH230" s="4">
        <v>6.83</v>
      </c>
      <c r="FI230" s="4">
        <v>5.75</v>
      </c>
      <c r="FJ230" s="23">
        <v>7</v>
      </c>
      <c r="FK230" s="4">
        <v>5.13</v>
      </c>
      <c r="FL230" s="4">
        <v>6.75</v>
      </c>
      <c r="FM230" s="4">
        <v>6.5</v>
      </c>
      <c r="FN230" s="4">
        <v>5.5</v>
      </c>
      <c r="FO230" s="4">
        <v>5.92</v>
      </c>
      <c r="FP230" s="4">
        <v>4.75</v>
      </c>
      <c r="FQ230" s="4">
        <v>5.75</v>
      </c>
      <c r="FR230" s="4">
        <v>2.75</v>
      </c>
      <c r="FS230" s="4">
        <v>6</v>
      </c>
      <c r="FT230" s="4">
        <v>6</v>
      </c>
      <c r="FU230" s="4">
        <v>3.25</v>
      </c>
      <c r="FV230" s="4">
        <v>4.25</v>
      </c>
      <c r="FW230" s="4">
        <v>3.5</v>
      </c>
      <c r="FX230" s="4">
        <v>6.25</v>
      </c>
      <c r="FY230" s="4">
        <v>6.25</v>
      </c>
      <c r="FZ230" s="4">
        <v>6.42</v>
      </c>
      <c r="GA230" s="4">
        <v>1.25</v>
      </c>
      <c r="GB230" s="4">
        <v>6.25</v>
      </c>
      <c r="GC230" s="4">
        <v>6.63</v>
      </c>
      <c r="GD230" s="4">
        <v>4.5</v>
      </c>
      <c r="GE230" s="26"/>
      <c r="GF230" s="26"/>
      <c r="GG230" s="4"/>
      <c r="JH230" s="1"/>
      <c r="JV230" s="1"/>
      <c r="KM230" s="4"/>
      <c r="LA230" s="4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</row>
    <row r="231" spans="1:376" x14ac:dyDescent="0.35">
      <c r="A231" s="14">
        <v>43720</v>
      </c>
      <c r="B231" s="16" t="s">
        <v>146</v>
      </c>
      <c r="C231" s="16" t="s">
        <v>392</v>
      </c>
      <c r="D231" s="1">
        <v>230</v>
      </c>
      <c r="E231" s="1">
        <v>5</v>
      </c>
      <c r="F231" s="1">
        <v>5</v>
      </c>
      <c r="H231" s="1">
        <v>58</v>
      </c>
      <c r="I231" s="1">
        <v>2</v>
      </c>
      <c r="K231" s="18">
        <v>0</v>
      </c>
      <c r="L231" s="18">
        <v>1</v>
      </c>
      <c r="M231" s="18">
        <v>0</v>
      </c>
      <c r="N231" s="18">
        <v>1</v>
      </c>
      <c r="O231" s="18">
        <v>1</v>
      </c>
      <c r="P231" s="4">
        <v>0.6</v>
      </c>
      <c r="Q231" s="3">
        <v>111</v>
      </c>
      <c r="R231" s="1">
        <v>71</v>
      </c>
      <c r="S231" s="1">
        <v>56</v>
      </c>
      <c r="T231" s="1">
        <v>50</v>
      </c>
      <c r="U231" s="1">
        <v>101</v>
      </c>
      <c r="V231" s="1">
        <v>118</v>
      </c>
      <c r="W231" s="1">
        <v>111</v>
      </c>
      <c r="X231" s="1">
        <v>75</v>
      </c>
      <c r="Y231" s="1">
        <v>77</v>
      </c>
      <c r="AI231" s="4"/>
      <c r="AJ231" s="4"/>
      <c r="AK231" s="4"/>
      <c r="AL231" s="1">
        <v>1</v>
      </c>
      <c r="AM231" s="1">
        <v>2</v>
      </c>
      <c r="AN231" s="1">
        <v>0</v>
      </c>
      <c r="AO231" s="1">
        <v>0</v>
      </c>
      <c r="AP231" s="1">
        <v>0</v>
      </c>
      <c r="AQ231" s="1">
        <v>0</v>
      </c>
      <c r="AR231" s="1">
        <v>2</v>
      </c>
      <c r="AS231" s="19">
        <v>2</v>
      </c>
      <c r="AT231" s="19">
        <v>0</v>
      </c>
      <c r="AU231" s="19">
        <v>6</v>
      </c>
      <c r="AV231" s="19">
        <v>0</v>
      </c>
      <c r="AW231" s="19">
        <v>0</v>
      </c>
      <c r="AX231" s="19"/>
      <c r="AY231"/>
      <c r="AZ231"/>
      <c r="BA231"/>
      <c r="BB231"/>
      <c r="BC231"/>
      <c r="BP231" s="4"/>
      <c r="BQ231" s="4"/>
      <c r="BR231" s="4"/>
      <c r="BS231" s="4"/>
      <c r="BT231" s="4"/>
      <c r="BU231" s="4"/>
      <c r="CI231" s="1">
        <v>6</v>
      </c>
      <c r="CJ231" s="1">
        <v>6</v>
      </c>
      <c r="CK231" s="1">
        <v>6</v>
      </c>
      <c r="CL231" s="1">
        <v>6</v>
      </c>
      <c r="CM231" s="1">
        <v>6</v>
      </c>
      <c r="CN231" s="1">
        <v>6</v>
      </c>
      <c r="CO231" s="1">
        <v>5</v>
      </c>
      <c r="CP231" s="1">
        <v>2</v>
      </c>
      <c r="CQ231" s="1">
        <v>6</v>
      </c>
      <c r="CR231" s="1">
        <v>6</v>
      </c>
      <c r="CS231" s="1">
        <v>6</v>
      </c>
      <c r="CT231" s="1">
        <v>6</v>
      </c>
      <c r="CU231" s="1">
        <v>5</v>
      </c>
      <c r="CV231" s="1">
        <v>6</v>
      </c>
      <c r="CW231" s="1">
        <v>4</v>
      </c>
      <c r="CX231" s="1">
        <v>6</v>
      </c>
      <c r="CY231" s="1">
        <v>4</v>
      </c>
      <c r="CZ231" s="1">
        <v>6</v>
      </c>
      <c r="DA231" s="1">
        <v>6</v>
      </c>
      <c r="DB231" s="1">
        <v>7</v>
      </c>
      <c r="DC231" s="1">
        <v>4</v>
      </c>
      <c r="DD231" s="1">
        <v>6</v>
      </c>
      <c r="DE231" s="1">
        <v>7</v>
      </c>
      <c r="DF231" s="1">
        <v>5</v>
      </c>
      <c r="DG231" s="1">
        <v>5</v>
      </c>
      <c r="DH231" s="1">
        <v>2</v>
      </c>
      <c r="DI231" s="1">
        <v>5</v>
      </c>
      <c r="DJ231" s="1">
        <v>3</v>
      </c>
      <c r="DK231" s="1">
        <v>4</v>
      </c>
      <c r="DL231" s="1">
        <v>6</v>
      </c>
      <c r="DM231" s="19">
        <v>6</v>
      </c>
      <c r="DN231" s="19">
        <v>6</v>
      </c>
      <c r="DO231" s="1">
        <v>6</v>
      </c>
      <c r="DP231" s="1">
        <v>5</v>
      </c>
      <c r="DQ231" s="1">
        <v>5</v>
      </c>
      <c r="DR231" s="1">
        <v>6</v>
      </c>
      <c r="DS231" s="1">
        <v>6</v>
      </c>
      <c r="DT231" s="1">
        <v>6</v>
      </c>
      <c r="DU231" s="27">
        <v>6</v>
      </c>
      <c r="DV231" s="27">
        <v>6</v>
      </c>
      <c r="DW231" s="27">
        <v>4</v>
      </c>
      <c r="DX231" s="27">
        <v>6</v>
      </c>
      <c r="DY231" s="27">
        <v>5</v>
      </c>
      <c r="DZ231" s="27">
        <v>3</v>
      </c>
      <c r="EA231" s="27">
        <v>2</v>
      </c>
      <c r="EB231" s="27">
        <v>6</v>
      </c>
      <c r="EC231" s="27">
        <v>6</v>
      </c>
      <c r="ED231" s="27">
        <v>4</v>
      </c>
      <c r="EE231" s="27">
        <v>5</v>
      </c>
      <c r="EF231" s="27">
        <v>6</v>
      </c>
      <c r="EG231" s="27">
        <v>6</v>
      </c>
      <c r="EH231" s="27">
        <v>6</v>
      </c>
      <c r="EI231" s="27">
        <v>6</v>
      </c>
      <c r="EJ231" s="27">
        <v>6</v>
      </c>
      <c r="EK231" s="27">
        <v>6</v>
      </c>
      <c r="EL231" s="27">
        <v>6</v>
      </c>
      <c r="EM231" s="27">
        <v>1</v>
      </c>
      <c r="EN231" s="27">
        <v>2</v>
      </c>
      <c r="EO231" s="27">
        <v>6</v>
      </c>
      <c r="EP231" s="27">
        <v>6</v>
      </c>
      <c r="EQ231" s="27">
        <v>6</v>
      </c>
      <c r="ER231" s="27">
        <v>6</v>
      </c>
      <c r="ES231" s="27">
        <v>6</v>
      </c>
      <c r="ET231" s="27">
        <v>6</v>
      </c>
      <c r="EU231" s="27">
        <v>6</v>
      </c>
      <c r="EV231" s="27">
        <v>18</v>
      </c>
      <c r="EW231" s="27">
        <v>1</v>
      </c>
      <c r="EY231" s="27">
        <v>1</v>
      </c>
      <c r="FA231" s="27">
        <v>1</v>
      </c>
      <c r="FB231" s="28" t="s">
        <v>817</v>
      </c>
      <c r="FC231" s="27">
        <v>1</v>
      </c>
      <c r="FD231" s="1">
        <v>5</v>
      </c>
      <c r="FE231" s="4"/>
      <c r="FF231" s="4"/>
      <c r="FG231" s="4"/>
      <c r="FH231" s="4"/>
      <c r="FI231" s="4"/>
      <c r="FJ231" s="23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26"/>
      <c r="GF231" s="26"/>
      <c r="GG231" s="4"/>
      <c r="JH231" s="1"/>
      <c r="JV231" s="1"/>
      <c r="KM231" s="4"/>
      <c r="LA231" s="4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</row>
    <row r="232" spans="1:376" x14ac:dyDescent="0.35">
      <c r="A232" s="14">
        <v>43720</v>
      </c>
      <c r="B232" s="16" t="s">
        <v>146</v>
      </c>
      <c r="C232" s="16" t="s">
        <v>393</v>
      </c>
      <c r="D232" s="1">
        <v>231</v>
      </c>
      <c r="E232" s="1">
        <v>5</v>
      </c>
      <c r="F232" s="1">
        <v>5</v>
      </c>
      <c r="H232" s="1">
        <v>58</v>
      </c>
      <c r="I232" s="1">
        <v>3</v>
      </c>
      <c r="K232" s="18">
        <v>0</v>
      </c>
      <c r="L232" s="18">
        <v>1</v>
      </c>
      <c r="M232" s="18">
        <v>1</v>
      </c>
      <c r="N232" s="18">
        <v>1</v>
      </c>
      <c r="O232" s="18">
        <v>1</v>
      </c>
      <c r="P232" s="4">
        <v>0.8</v>
      </c>
      <c r="Q232" s="3">
        <v>57</v>
      </c>
      <c r="R232" s="1">
        <v>58</v>
      </c>
      <c r="S232" s="1">
        <v>48</v>
      </c>
      <c r="T232" s="1">
        <v>73</v>
      </c>
      <c r="U232" s="1">
        <v>79</v>
      </c>
      <c r="V232" s="1">
        <v>82</v>
      </c>
      <c r="W232" s="1">
        <v>92</v>
      </c>
      <c r="X232" s="1">
        <v>101</v>
      </c>
      <c r="Y232" s="1">
        <v>81</v>
      </c>
      <c r="AI232" s="4"/>
      <c r="AJ232" s="4"/>
      <c r="AK232" s="4"/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9">
        <v>0</v>
      </c>
      <c r="AT232" s="19">
        <v>0</v>
      </c>
      <c r="AU232" s="19">
        <v>0</v>
      </c>
      <c r="AV232" s="19">
        <v>0</v>
      </c>
      <c r="AW232" s="19">
        <v>0</v>
      </c>
      <c r="AX232" s="19"/>
      <c r="AY232"/>
      <c r="AZ232"/>
      <c r="BA232"/>
      <c r="BB232"/>
      <c r="BC232"/>
      <c r="BP232" s="4"/>
      <c r="BQ232" s="4"/>
      <c r="BR232" s="4"/>
      <c r="BS232" s="4"/>
      <c r="BT232" s="4"/>
      <c r="BU232" s="4"/>
      <c r="CI232" s="1">
        <v>7</v>
      </c>
      <c r="CJ232" s="1">
        <v>7</v>
      </c>
      <c r="CK232" s="1">
        <v>7</v>
      </c>
      <c r="CL232" s="1">
        <v>7</v>
      </c>
      <c r="CM232" s="1">
        <v>7</v>
      </c>
      <c r="CN232" s="1">
        <v>7</v>
      </c>
      <c r="CO232" s="1">
        <v>6</v>
      </c>
      <c r="CP232" s="1">
        <v>1</v>
      </c>
      <c r="CQ232" s="1">
        <v>7</v>
      </c>
      <c r="CR232" s="1">
        <v>7</v>
      </c>
      <c r="CS232" s="1">
        <v>7</v>
      </c>
      <c r="CT232" s="1">
        <v>7</v>
      </c>
      <c r="CU232" s="1">
        <v>7</v>
      </c>
      <c r="CV232" s="1">
        <v>7</v>
      </c>
      <c r="CW232" s="1">
        <v>6</v>
      </c>
      <c r="CX232" s="1">
        <v>7</v>
      </c>
      <c r="CY232" s="1">
        <v>7</v>
      </c>
      <c r="CZ232" s="1">
        <v>7</v>
      </c>
      <c r="DA232" s="1">
        <v>7</v>
      </c>
      <c r="DB232" s="1">
        <v>7</v>
      </c>
      <c r="DC232" s="1">
        <v>5</v>
      </c>
      <c r="DD232" s="1">
        <v>6</v>
      </c>
      <c r="DE232" s="1">
        <v>7</v>
      </c>
      <c r="DF232" s="1">
        <v>7</v>
      </c>
      <c r="DG232" s="1">
        <v>7</v>
      </c>
      <c r="DH232" s="1">
        <v>7</v>
      </c>
      <c r="DI232" s="1">
        <v>7</v>
      </c>
      <c r="DJ232" s="1">
        <v>6</v>
      </c>
      <c r="DK232" s="1">
        <v>6</v>
      </c>
      <c r="DL232" s="1">
        <v>7</v>
      </c>
      <c r="DM232" s="19">
        <v>7</v>
      </c>
      <c r="DN232" s="19">
        <v>7</v>
      </c>
      <c r="DO232" s="1">
        <v>7</v>
      </c>
      <c r="DP232" s="1">
        <v>3</v>
      </c>
      <c r="DQ232" s="1">
        <v>5</v>
      </c>
      <c r="DR232" s="1">
        <v>4</v>
      </c>
      <c r="DS232" s="1">
        <v>7</v>
      </c>
      <c r="DT232" s="1">
        <v>6</v>
      </c>
      <c r="DU232" s="27">
        <v>7</v>
      </c>
      <c r="DV232" s="27">
        <v>5</v>
      </c>
      <c r="DW232" s="27">
        <v>5</v>
      </c>
      <c r="DX232" s="27">
        <v>7</v>
      </c>
      <c r="DY232" s="27">
        <v>7</v>
      </c>
      <c r="DZ232" s="27">
        <v>5</v>
      </c>
      <c r="EA232" s="27">
        <v>4</v>
      </c>
      <c r="EB232" s="27">
        <v>5</v>
      </c>
      <c r="EC232" s="27">
        <v>7</v>
      </c>
      <c r="ED232" s="27">
        <v>5</v>
      </c>
      <c r="EE232" s="27">
        <v>5</v>
      </c>
      <c r="EF232" s="27">
        <v>3</v>
      </c>
      <c r="EG232" s="27">
        <v>7</v>
      </c>
      <c r="EH232" s="27">
        <v>7</v>
      </c>
      <c r="EI232" s="27">
        <v>7</v>
      </c>
      <c r="EJ232" s="27">
        <v>7</v>
      </c>
      <c r="EK232" s="27">
        <v>7</v>
      </c>
      <c r="EL232" s="27">
        <v>7</v>
      </c>
      <c r="EM232" s="27">
        <v>1</v>
      </c>
      <c r="EN232" s="27">
        <v>1</v>
      </c>
      <c r="EO232" s="27">
        <v>7</v>
      </c>
      <c r="EP232" s="27">
        <v>7</v>
      </c>
      <c r="EQ232" s="27">
        <v>7</v>
      </c>
      <c r="ER232" s="27">
        <v>7</v>
      </c>
      <c r="ES232" s="27">
        <v>7</v>
      </c>
      <c r="ET232" s="27">
        <v>4</v>
      </c>
      <c r="EU232" s="27">
        <v>4</v>
      </c>
      <c r="EV232" s="27">
        <v>18</v>
      </c>
      <c r="EW232" s="27">
        <v>2</v>
      </c>
      <c r="EY232" s="27">
        <v>3</v>
      </c>
      <c r="FA232" s="27">
        <v>2</v>
      </c>
      <c r="FB232" s="28" t="s">
        <v>918</v>
      </c>
      <c r="FC232" s="27">
        <v>1</v>
      </c>
      <c r="FD232" s="1">
        <v>8</v>
      </c>
      <c r="FE232" s="4"/>
      <c r="FF232" s="4"/>
      <c r="FG232" s="4"/>
      <c r="FH232" s="4"/>
      <c r="FI232" s="4"/>
      <c r="FJ232" s="23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26"/>
      <c r="GF232" s="26"/>
      <c r="GG232" s="4"/>
      <c r="JH232" s="1"/>
      <c r="JV232" s="1"/>
      <c r="KM232" s="4"/>
      <c r="LA232" s="4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</row>
    <row r="233" spans="1:376" x14ac:dyDescent="0.35">
      <c r="A233" s="14">
        <v>43720</v>
      </c>
      <c r="B233" s="16" t="s">
        <v>146</v>
      </c>
      <c r="C233" s="16" t="s">
        <v>394</v>
      </c>
      <c r="D233" s="1">
        <v>232</v>
      </c>
      <c r="E233" s="1">
        <v>5</v>
      </c>
      <c r="F233" s="1">
        <v>5</v>
      </c>
      <c r="H233" s="1">
        <v>58</v>
      </c>
      <c r="I233" s="1">
        <v>4</v>
      </c>
      <c r="K233" s="18">
        <v>0</v>
      </c>
      <c r="L233" s="18">
        <v>1</v>
      </c>
      <c r="M233" s="18">
        <v>1</v>
      </c>
      <c r="N233" s="18">
        <v>1</v>
      </c>
      <c r="O233" s="18">
        <v>0</v>
      </c>
      <c r="P233" s="4">
        <v>0.6</v>
      </c>
      <c r="Q233" s="3">
        <v>62</v>
      </c>
      <c r="R233" s="1">
        <v>68</v>
      </c>
      <c r="S233" s="1">
        <v>46</v>
      </c>
      <c r="T233" s="1">
        <v>78</v>
      </c>
      <c r="U233" s="1">
        <v>91</v>
      </c>
      <c r="V233" s="1">
        <v>107</v>
      </c>
      <c r="W233" s="1">
        <v>92</v>
      </c>
      <c r="X233" s="1">
        <v>89</v>
      </c>
      <c r="Y233" s="1">
        <v>98</v>
      </c>
      <c r="AI233" s="4"/>
      <c r="AJ233" s="4"/>
      <c r="AK233" s="4"/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9">
        <v>0</v>
      </c>
      <c r="AT233" s="19">
        <v>0</v>
      </c>
      <c r="AU233" s="19">
        <v>0</v>
      </c>
      <c r="AV233" s="19">
        <v>0</v>
      </c>
      <c r="AW233" s="19">
        <v>0</v>
      </c>
      <c r="AX233" s="19"/>
      <c r="AY233"/>
      <c r="AZ233"/>
      <c r="BA233"/>
      <c r="BB233"/>
      <c r="BC233"/>
      <c r="BP233" s="4"/>
      <c r="BQ233" s="4"/>
      <c r="BR233" s="4"/>
      <c r="BS233" s="4"/>
      <c r="BT233" s="4"/>
      <c r="BU233" s="4"/>
      <c r="CI233" s="1">
        <v>7</v>
      </c>
      <c r="CJ233" s="1">
        <v>6</v>
      </c>
      <c r="CK233" s="1">
        <v>7</v>
      </c>
      <c r="CL233" s="1">
        <v>6</v>
      </c>
      <c r="CM233" s="1">
        <v>6</v>
      </c>
      <c r="CN233" s="1">
        <v>6</v>
      </c>
      <c r="CO233" s="1">
        <v>5</v>
      </c>
      <c r="CP233" s="1">
        <v>1</v>
      </c>
      <c r="CQ233" s="1">
        <v>7</v>
      </c>
      <c r="CR233" s="1">
        <v>7</v>
      </c>
      <c r="CS233" s="1">
        <v>7</v>
      </c>
      <c r="CT233" s="1">
        <v>7</v>
      </c>
      <c r="CU233" s="1">
        <v>6</v>
      </c>
      <c r="CV233" s="1">
        <v>7</v>
      </c>
      <c r="CW233" s="1">
        <v>6</v>
      </c>
      <c r="CX233" s="1">
        <v>7</v>
      </c>
      <c r="CY233" s="1">
        <v>7</v>
      </c>
      <c r="CZ233" s="1">
        <v>7</v>
      </c>
      <c r="DA233" s="1">
        <v>7</v>
      </c>
      <c r="DB233" s="1">
        <v>7</v>
      </c>
      <c r="DC233" s="1">
        <v>5</v>
      </c>
      <c r="DD233" s="1">
        <v>6</v>
      </c>
      <c r="DE233" s="1">
        <v>7</v>
      </c>
      <c r="DF233" s="1">
        <v>6</v>
      </c>
      <c r="DG233" s="1">
        <v>5</v>
      </c>
      <c r="DH233" s="1">
        <v>6</v>
      </c>
      <c r="DI233" s="1">
        <v>7</v>
      </c>
      <c r="DJ233" s="1">
        <v>7</v>
      </c>
      <c r="DK233" s="1">
        <v>7</v>
      </c>
      <c r="DL233" s="1">
        <v>7</v>
      </c>
      <c r="DM233" s="19">
        <v>7</v>
      </c>
      <c r="DN233" s="19">
        <v>5</v>
      </c>
      <c r="DO233" s="1">
        <v>7</v>
      </c>
      <c r="DP233" s="1">
        <v>6</v>
      </c>
      <c r="DQ233" s="1">
        <v>6</v>
      </c>
      <c r="DR233" s="1">
        <v>6</v>
      </c>
      <c r="DS233" s="1">
        <v>7</v>
      </c>
      <c r="DT233" s="1">
        <v>6</v>
      </c>
      <c r="DU233" s="27">
        <v>7</v>
      </c>
      <c r="DV233" s="27">
        <v>7</v>
      </c>
      <c r="DW233" s="27">
        <v>5</v>
      </c>
      <c r="DX233" s="27">
        <v>3</v>
      </c>
      <c r="DY233" s="27">
        <v>4</v>
      </c>
      <c r="DZ233" s="27">
        <v>2</v>
      </c>
      <c r="EA233" s="27">
        <v>2</v>
      </c>
      <c r="EB233" s="27">
        <v>6</v>
      </c>
      <c r="EC233" s="27">
        <v>4</v>
      </c>
      <c r="ED233" s="27">
        <v>3</v>
      </c>
      <c r="EE233" s="27">
        <v>6</v>
      </c>
      <c r="EF233" s="27">
        <v>4</v>
      </c>
      <c r="EG233" s="27">
        <v>5</v>
      </c>
      <c r="EH233" s="27">
        <v>6</v>
      </c>
      <c r="EI233" s="27">
        <v>6</v>
      </c>
      <c r="EJ233" s="27">
        <v>6</v>
      </c>
      <c r="EK233" s="27">
        <v>5</v>
      </c>
      <c r="EL233" s="27">
        <v>6</v>
      </c>
      <c r="EM233" s="27">
        <v>1</v>
      </c>
      <c r="EN233" s="27">
        <v>2</v>
      </c>
      <c r="EO233" s="27">
        <v>6</v>
      </c>
      <c r="EP233" s="27">
        <v>6</v>
      </c>
      <c r="EQ233" s="27">
        <v>6</v>
      </c>
      <c r="ER233" s="27">
        <v>6</v>
      </c>
      <c r="ES233" s="27">
        <v>7</v>
      </c>
      <c r="ET233" s="27">
        <v>4</v>
      </c>
      <c r="EU233" s="27">
        <v>4</v>
      </c>
      <c r="EV233" s="27">
        <v>18</v>
      </c>
      <c r="EW233" s="27">
        <v>1</v>
      </c>
      <c r="EY233" s="27">
        <v>1</v>
      </c>
      <c r="FA233" s="27">
        <v>1</v>
      </c>
      <c r="FB233" s="28" t="s">
        <v>838</v>
      </c>
      <c r="FC233" s="27">
        <v>1</v>
      </c>
      <c r="FD233" s="1">
        <v>4</v>
      </c>
      <c r="FE233" s="4"/>
      <c r="FF233" s="4"/>
      <c r="FG233" s="4"/>
      <c r="FH233" s="4"/>
      <c r="FI233" s="4"/>
      <c r="FJ233" s="23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26"/>
      <c r="GF233" s="26"/>
      <c r="GG233" s="4"/>
      <c r="JH233" s="1"/>
      <c r="JV233" s="1"/>
      <c r="KM233" s="4"/>
      <c r="LA233" s="4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</row>
    <row r="234" spans="1:376" x14ac:dyDescent="0.35">
      <c r="A234" s="14">
        <v>43732</v>
      </c>
      <c r="B234" s="16" t="s">
        <v>147</v>
      </c>
      <c r="C234" s="16" t="s">
        <v>395</v>
      </c>
      <c r="D234" s="1">
        <v>233</v>
      </c>
      <c r="E234" s="1">
        <v>5</v>
      </c>
      <c r="F234" s="1">
        <v>5</v>
      </c>
      <c r="G234" s="1">
        <v>0</v>
      </c>
      <c r="H234" s="1">
        <v>59</v>
      </c>
      <c r="I234" s="1">
        <v>1</v>
      </c>
      <c r="J234" s="1">
        <v>1</v>
      </c>
      <c r="K234" s="18">
        <v>0</v>
      </c>
      <c r="L234" s="18">
        <v>1</v>
      </c>
      <c r="M234" s="18">
        <v>1</v>
      </c>
      <c r="N234" s="18">
        <v>1</v>
      </c>
      <c r="O234" s="18">
        <v>0</v>
      </c>
      <c r="P234" s="4">
        <v>0.6</v>
      </c>
      <c r="Q234" s="3">
        <v>150</v>
      </c>
      <c r="R234" s="1">
        <v>125</v>
      </c>
      <c r="S234" s="1">
        <v>111</v>
      </c>
      <c r="T234" s="1">
        <v>86</v>
      </c>
      <c r="U234" s="1">
        <v>97</v>
      </c>
      <c r="V234" s="1">
        <v>86</v>
      </c>
      <c r="W234" s="1">
        <v>95</v>
      </c>
      <c r="X234" s="1">
        <v>67</v>
      </c>
      <c r="Y234" s="1">
        <v>92</v>
      </c>
      <c r="Z234" s="1">
        <v>305</v>
      </c>
      <c r="AA234" s="1">
        <v>291</v>
      </c>
      <c r="AB234" s="1">
        <v>237</v>
      </c>
      <c r="AC234" s="1">
        <v>308</v>
      </c>
      <c r="AD234" s="1">
        <v>354</v>
      </c>
      <c r="AE234" s="1">
        <v>393</v>
      </c>
      <c r="AF234" s="1">
        <v>418</v>
      </c>
      <c r="AG234" s="1">
        <v>326</v>
      </c>
      <c r="AH234" s="1">
        <v>356</v>
      </c>
      <c r="AI234" s="4">
        <v>277.67</v>
      </c>
      <c r="AJ234" s="4">
        <v>351.67</v>
      </c>
      <c r="AK234" s="4">
        <v>366.67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</v>
      </c>
      <c r="AS234" s="19">
        <v>10</v>
      </c>
      <c r="AT234" s="19">
        <v>0</v>
      </c>
      <c r="AU234" s="19">
        <v>0</v>
      </c>
      <c r="AV234" s="19">
        <v>0</v>
      </c>
      <c r="AW234" s="19">
        <v>0</v>
      </c>
      <c r="AX234" s="19">
        <f t="shared" ref="AX234:BC234" si="116">AL234+AL235+AL236+AL237</f>
        <v>1</v>
      </c>
      <c r="AY234" s="19">
        <f t="shared" si="116"/>
        <v>5</v>
      </c>
      <c r="AZ234" s="19">
        <f t="shared" si="116"/>
        <v>0</v>
      </c>
      <c r="BA234" s="19">
        <f t="shared" si="116"/>
        <v>0</v>
      </c>
      <c r="BB234" s="19">
        <f t="shared" si="116"/>
        <v>0</v>
      </c>
      <c r="BC234" s="19">
        <f t="shared" si="116"/>
        <v>0</v>
      </c>
      <c r="BD234" s="1">
        <f>AX234*3</f>
        <v>3</v>
      </c>
      <c r="BE234" s="1">
        <f t="shared" ref="BE234:BI234" si="117">AY234*3</f>
        <v>15</v>
      </c>
      <c r="BF234" s="1">
        <f t="shared" si="117"/>
        <v>0</v>
      </c>
      <c r="BG234" s="1">
        <f t="shared" si="117"/>
        <v>0</v>
      </c>
      <c r="BH234" s="1">
        <f t="shared" si="117"/>
        <v>0</v>
      </c>
      <c r="BI234" s="1">
        <f t="shared" si="117"/>
        <v>0</v>
      </c>
      <c r="BJ234" s="1">
        <f>AX234+AY234+AZ234</f>
        <v>6</v>
      </c>
      <c r="BK234" s="1">
        <f>BA234+BB234+BC234</f>
        <v>0</v>
      </c>
      <c r="BL234" s="1">
        <f>BJ234*3</f>
        <v>18</v>
      </c>
      <c r="BM234" s="1">
        <f>BK234*3</f>
        <v>0</v>
      </c>
      <c r="BN234" s="1">
        <f>BL234/3</f>
        <v>6</v>
      </c>
      <c r="BO234" s="1">
        <f>BM234/3</f>
        <v>0</v>
      </c>
      <c r="BP234" s="4">
        <v>271.66666666666669</v>
      </c>
      <c r="BQ234" s="4">
        <v>351.66666666666669</v>
      </c>
      <c r="BR234" s="4">
        <v>366.66666666666669</v>
      </c>
      <c r="BS234" s="4">
        <v>351.67</v>
      </c>
      <c r="BT234" s="4">
        <v>366.67</v>
      </c>
      <c r="BU234" s="4">
        <v>3.8</v>
      </c>
      <c r="BV234" s="1">
        <v>2</v>
      </c>
      <c r="BW234" s="1">
        <v>2</v>
      </c>
      <c r="BX234" s="1">
        <v>2</v>
      </c>
      <c r="BY234" s="1">
        <v>2</v>
      </c>
      <c r="BZ234" s="1">
        <v>0</v>
      </c>
      <c r="CA234" s="1">
        <v>0</v>
      </c>
      <c r="CB234" s="1">
        <v>0</v>
      </c>
      <c r="CC234" s="1">
        <v>0</v>
      </c>
      <c r="CD234" s="1">
        <v>1</v>
      </c>
      <c r="CE234" s="1">
        <v>1</v>
      </c>
      <c r="CF234" s="1">
        <v>1</v>
      </c>
      <c r="CG234" s="1">
        <v>1</v>
      </c>
      <c r="CH234" s="1">
        <v>0</v>
      </c>
      <c r="CI234" s="1">
        <v>6</v>
      </c>
      <c r="CJ234" s="1">
        <v>7</v>
      </c>
      <c r="CK234" s="1">
        <v>7</v>
      </c>
      <c r="CL234" s="1">
        <v>4</v>
      </c>
      <c r="CM234" s="1">
        <v>4</v>
      </c>
      <c r="CN234" s="1">
        <v>4</v>
      </c>
      <c r="CO234" s="1">
        <v>6</v>
      </c>
      <c r="CP234" s="1">
        <v>4</v>
      </c>
      <c r="CQ234" s="1">
        <v>5</v>
      </c>
      <c r="CR234" s="1">
        <v>7</v>
      </c>
      <c r="CS234" s="1">
        <v>6</v>
      </c>
      <c r="CT234" s="1">
        <v>4</v>
      </c>
      <c r="CU234" s="1">
        <v>7</v>
      </c>
      <c r="CV234" s="1">
        <v>5</v>
      </c>
      <c r="CW234" s="1">
        <v>5</v>
      </c>
      <c r="CX234" s="1">
        <v>5</v>
      </c>
      <c r="CY234" s="1">
        <v>5</v>
      </c>
      <c r="CZ234" s="1">
        <v>6</v>
      </c>
      <c r="DA234" s="1">
        <v>6</v>
      </c>
      <c r="DB234" s="1">
        <v>6</v>
      </c>
      <c r="DC234" s="1">
        <v>7</v>
      </c>
      <c r="DD234" s="1">
        <v>5</v>
      </c>
      <c r="DE234" s="1">
        <v>4</v>
      </c>
      <c r="DF234" s="1">
        <v>4</v>
      </c>
      <c r="DG234" s="1">
        <v>5</v>
      </c>
      <c r="DH234" s="1">
        <v>4</v>
      </c>
      <c r="DI234" s="1">
        <v>7</v>
      </c>
      <c r="DJ234" s="1">
        <v>3</v>
      </c>
      <c r="DK234" s="1">
        <v>3</v>
      </c>
      <c r="DL234" s="1">
        <v>3</v>
      </c>
      <c r="DM234" s="19">
        <v>3</v>
      </c>
      <c r="DN234" s="19">
        <v>4</v>
      </c>
      <c r="DO234" s="1">
        <v>5</v>
      </c>
      <c r="DP234" s="1">
        <v>7</v>
      </c>
      <c r="DQ234" s="1">
        <v>4</v>
      </c>
      <c r="DR234" s="1">
        <v>5</v>
      </c>
      <c r="DS234" s="1">
        <v>7</v>
      </c>
      <c r="DT234" s="1">
        <v>6</v>
      </c>
      <c r="DU234" s="27">
        <v>7</v>
      </c>
      <c r="DV234" s="27">
        <v>7</v>
      </c>
      <c r="DW234" s="27">
        <v>4</v>
      </c>
      <c r="DX234" s="27">
        <v>4</v>
      </c>
      <c r="DY234" s="27">
        <v>2</v>
      </c>
      <c r="DZ234" s="27">
        <v>2</v>
      </c>
      <c r="EA234" s="27">
        <v>4</v>
      </c>
      <c r="EB234" s="27">
        <v>4</v>
      </c>
      <c r="EC234" s="27">
        <v>7</v>
      </c>
      <c r="ED234" s="27">
        <v>4</v>
      </c>
      <c r="EE234" s="27">
        <v>7</v>
      </c>
      <c r="EF234" s="27">
        <v>4</v>
      </c>
      <c r="EG234" s="27">
        <v>4</v>
      </c>
      <c r="EH234" s="27">
        <v>4</v>
      </c>
      <c r="EI234" s="27">
        <v>6</v>
      </c>
      <c r="EJ234" s="27">
        <v>2</v>
      </c>
      <c r="EK234" s="27">
        <v>4</v>
      </c>
      <c r="EL234" s="27">
        <v>1</v>
      </c>
      <c r="EM234" s="27">
        <v>4</v>
      </c>
      <c r="EN234" s="27">
        <v>7</v>
      </c>
      <c r="EO234" s="27">
        <v>7</v>
      </c>
      <c r="EP234" s="27">
        <v>4</v>
      </c>
      <c r="EQ234" s="27">
        <v>4</v>
      </c>
      <c r="ER234" s="27">
        <v>3</v>
      </c>
      <c r="ES234" s="27">
        <v>3</v>
      </c>
      <c r="ET234" s="27">
        <v>7</v>
      </c>
      <c r="EU234" s="27">
        <v>4</v>
      </c>
      <c r="EV234" s="27">
        <v>24</v>
      </c>
      <c r="EW234" s="27">
        <v>2</v>
      </c>
      <c r="EY234" s="27">
        <v>3</v>
      </c>
      <c r="FA234" s="27">
        <v>3</v>
      </c>
      <c r="FB234" s="28" t="s">
        <v>919</v>
      </c>
      <c r="FC234" s="27">
        <v>1</v>
      </c>
      <c r="FD234" s="1">
        <v>9</v>
      </c>
      <c r="FE234" s="4">
        <v>5.93</v>
      </c>
      <c r="FF234" s="4">
        <v>5.81</v>
      </c>
      <c r="FG234" s="4">
        <v>6.31</v>
      </c>
      <c r="FH234" s="4">
        <v>6</v>
      </c>
      <c r="FI234" s="4">
        <v>6.25</v>
      </c>
      <c r="FJ234" s="23">
        <v>5.5</v>
      </c>
      <c r="FK234" s="4">
        <v>3.54</v>
      </c>
      <c r="FL234" s="4">
        <v>5.63</v>
      </c>
      <c r="FM234" s="4">
        <v>3.75</v>
      </c>
      <c r="FN234" s="4">
        <v>5.25</v>
      </c>
      <c r="FO234" s="4">
        <v>4.75</v>
      </c>
      <c r="FP234" s="4">
        <v>4.83</v>
      </c>
      <c r="FQ234" s="4">
        <v>3.5</v>
      </c>
      <c r="FR234" s="4">
        <v>1.75</v>
      </c>
      <c r="FS234" s="4">
        <v>4.25</v>
      </c>
      <c r="FT234" s="4">
        <v>6.25</v>
      </c>
      <c r="FU234" s="4">
        <v>4</v>
      </c>
      <c r="FV234" s="4">
        <v>5.25</v>
      </c>
      <c r="FW234" s="4">
        <v>3</v>
      </c>
      <c r="FX234" s="4">
        <v>6</v>
      </c>
      <c r="FY234" s="4">
        <v>5.63</v>
      </c>
      <c r="FZ234" s="4">
        <v>4.5</v>
      </c>
      <c r="GA234" s="4">
        <v>3</v>
      </c>
      <c r="GB234" s="4">
        <v>6.42</v>
      </c>
      <c r="GC234" s="4">
        <v>4.75</v>
      </c>
      <c r="GD234" s="4">
        <v>6</v>
      </c>
      <c r="GE234" s="26"/>
      <c r="GF234" s="26"/>
      <c r="GG234" s="4"/>
      <c r="JH234" s="1"/>
      <c r="JV234" s="1"/>
      <c r="KM234" s="4"/>
      <c r="LA234" s="4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</row>
    <row r="235" spans="1:376" x14ac:dyDescent="0.35">
      <c r="A235" s="14">
        <v>43732</v>
      </c>
      <c r="B235" s="16" t="s">
        <v>147</v>
      </c>
      <c r="C235" s="16" t="s">
        <v>396</v>
      </c>
      <c r="D235" s="1">
        <v>234</v>
      </c>
      <c r="E235" s="1">
        <v>5</v>
      </c>
      <c r="F235" s="1">
        <v>5</v>
      </c>
      <c r="H235" s="1">
        <v>59</v>
      </c>
      <c r="I235" s="1">
        <v>2</v>
      </c>
      <c r="K235" s="18">
        <v>1</v>
      </c>
      <c r="L235" s="18">
        <v>1</v>
      </c>
      <c r="M235" s="18">
        <v>1</v>
      </c>
      <c r="N235" s="18">
        <v>1</v>
      </c>
      <c r="O235" s="18">
        <v>1</v>
      </c>
      <c r="P235" s="4">
        <v>1</v>
      </c>
      <c r="Q235" s="3">
        <v>53</v>
      </c>
      <c r="R235" s="1">
        <v>51</v>
      </c>
      <c r="S235" s="1">
        <v>45</v>
      </c>
      <c r="T235" s="1">
        <v>59</v>
      </c>
      <c r="U235" s="1">
        <v>60</v>
      </c>
      <c r="V235" s="1">
        <v>98</v>
      </c>
      <c r="W235" s="1">
        <v>140</v>
      </c>
      <c r="X235" s="1">
        <v>74</v>
      </c>
      <c r="Y235" s="1">
        <v>121</v>
      </c>
      <c r="AI235" s="4"/>
      <c r="AJ235" s="4"/>
      <c r="AK235" s="4"/>
      <c r="AL235" s="1">
        <v>0</v>
      </c>
      <c r="AM235" s="1">
        <v>3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9">
        <v>0</v>
      </c>
      <c r="AT235" s="19">
        <v>0</v>
      </c>
      <c r="AU235" s="19">
        <v>0</v>
      </c>
      <c r="AV235" s="19">
        <v>0</v>
      </c>
      <c r="AW235" s="19">
        <v>0</v>
      </c>
      <c r="AX235" s="19"/>
      <c r="AY235"/>
      <c r="AZ235"/>
      <c r="BA235"/>
      <c r="BB235"/>
      <c r="BC235"/>
      <c r="BP235" s="4"/>
      <c r="BQ235" s="4"/>
      <c r="BR235" s="4"/>
      <c r="BS235" s="4"/>
      <c r="BT235" s="4"/>
      <c r="BU235" s="4"/>
      <c r="CI235" s="1">
        <v>7</v>
      </c>
      <c r="CJ235" s="1">
        <v>7</v>
      </c>
      <c r="CK235" s="1">
        <v>7</v>
      </c>
      <c r="CL235" s="1">
        <v>7</v>
      </c>
      <c r="CM235" s="1">
        <v>7</v>
      </c>
      <c r="CN235" s="1">
        <v>7</v>
      </c>
      <c r="CO235" s="1">
        <v>7</v>
      </c>
      <c r="CP235" s="1">
        <v>3</v>
      </c>
      <c r="CQ235" s="1">
        <v>5</v>
      </c>
      <c r="CR235" s="1">
        <v>6</v>
      </c>
      <c r="CS235" s="1">
        <v>5</v>
      </c>
      <c r="CT235" s="1">
        <v>5</v>
      </c>
      <c r="CU235" s="1">
        <v>3</v>
      </c>
      <c r="CV235" s="1">
        <v>6</v>
      </c>
      <c r="CW235" s="1">
        <v>3</v>
      </c>
      <c r="CX235" s="1">
        <v>3</v>
      </c>
      <c r="CY235" s="1">
        <v>3</v>
      </c>
      <c r="CZ235" s="1">
        <v>5</v>
      </c>
      <c r="DA235" s="1">
        <v>5</v>
      </c>
      <c r="DB235" s="1">
        <v>4</v>
      </c>
      <c r="DC235" s="1">
        <v>7</v>
      </c>
      <c r="DD235" s="1">
        <v>6</v>
      </c>
      <c r="DE235" s="1">
        <v>6</v>
      </c>
      <c r="DF235" s="1">
        <v>1</v>
      </c>
      <c r="DG235" s="1">
        <v>1</v>
      </c>
      <c r="DH235" s="1">
        <v>1</v>
      </c>
      <c r="DI235" s="1">
        <v>1</v>
      </c>
      <c r="DJ235" s="1">
        <v>1</v>
      </c>
      <c r="DK235" s="1">
        <v>1</v>
      </c>
      <c r="DL235" s="1">
        <v>7</v>
      </c>
      <c r="DM235" s="19">
        <v>7</v>
      </c>
      <c r="DN235" s="19">
        <v>2</v>
      </c>
      <c r="DO235" s="1">
        <v>1</v>
      </c>
      <c r="DP235" s="1">
        <v>4</v>
      </c>
      <c r="DQ235" s="1">
        <v>2</v>
      </c>
      <c r="DR235" s="1">
        <v>2</v>
      </c>
      <c r="DS235" s="1">
        <v>3</v>
      </c>
      <c r="DT235" s="1">
        <v>3</v>
      </c>
      <c r="DU235" s="27">
        <v>3</v>
      </c>
      <c r="DV235" s="27">
        <v>2</v>
      </c>
      <c r="DW235" s="27">
        <v>1</v>
      </c>
      <c r="DX235" s="27">
        <v>6</v>
      </c>
      <c r="DY235" s="27">
        <v>2</v>
      </c>
      <c r="DZ235" s="27">
        <v>7</v>
      </c>
      <c r="EA235" s="27">
        <v>1</v>
      </c>
      <c r="EB235" s="27">
        <v>1</v>
      </c>
      <c r="EC235" s="27">
        <v>7</v>
      </c>
      <c r="ED235" s="27">
        <v>2</v>
      </c>
      <c r="EE235" s="27">
        <v>1</v>
      </c>
      <c r="EF235" s="27">
        <v>1</v>
      </c>
      <c r="EG235" s="27">
        <v>7</v>
      </c>
      <c r="EH235" s="27">
        <v>5</v>
      </c>
      <c r="EI235" s="27">
        <v>4</v>
      </c>
      <c r="EJ235" s="27">
        <v>2</v>
      </c>
      <c r="EK235" s="27">
        <v>3</v>
      </c>
      <c r="EL235" s="27">
        <v>3</v>
      </c>
      <c r="EM235" s="27">
        <v>1</v>
      </c>
      <c r="EN235" s="27">
        <v>2</v>
      </c>
      <c r="EO235" s="27">
        <v>7</v>
      </c>
      <c r="EP235" s="27">
        <v>7</v>
      </c>
      <c r="EQ235" s="27">
        <v>7</v>
      </c>
      <c r="ER235" s="27">
        <v>2</v>
      </c>
      <c r="ES235" s="27">
        <v>6</v>
      </c>
      <c r="ET235" s="27">
        <v>7</v>
      </c>
      <c r="EU235" s="27">
        <v>7</v>
      </c>
      <c r="EV235" s="27">
        <v>18</v>
      </c>
      <c r="EW235" s="27">
        <v>2</v>
      </c>
      <c r="EY235" s="27">
        <v>1</v>
      </c>
      <c r="FA235" s="27">
        <v>1</v>
      </c>
      <c r="FB235" s="28" t="s">
        <v>920</v>
      </c>
      <c r="FC235" s="27">
        <v>1</v>
      </c>
      <c r="FD235" s="1">
        <v>2</v>
      </c>
      <c r="FE235" s="4"/>
      <c r="FF235" s="4"/>
      <c r="FG235" s="4"/>
      <c r="FH235" s="4"/>
      <c r="FI235" s="4"/>
      <c r="FJ235" s="23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26"/>
      <c r="GF235" s="26"/>
      <c r="GG235" s="4"/>
      <c r="JH235" s="1"/>
      <c r="JV235" s="1"/>
      <c r="KM235" s="4"/>
      <c r="LA235" s="4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</row>
    <row r="236" spans="1:376" x14ac:dyDescent="0.35">
      <c r="A236" s="14">
        <v>43732</v>
      </c>
      <c r="B236" s="16" t="s">
        <v>147</v>
      </c>
      <c r="C236" s="16" t="s">
        <v>397</v>
      </c>
      <c r="D236" s="1">
        <v>235</v>
      </c>
      <c r="E236" s="1">
        <v>5</v>
      </c>
      <c r="F236" s="1">
        <v>5</v>
      </c>
      <c r="H236" s="1">
        <v>59</v>
      </c>
      <c r="I236" s="1">
        <v>3</v>
      </c>
      <c r="K236" s="18">
        <v>1</v>
      </c>
      <c r="L236" s="18">
        <v>1</v>
      </c>
      <c r="M236" s="18">
        <v>1</v>
      </c>
      <c r="N236" s="18">
        <v>1</v>
      </c>
      <c r="O236" s="18">
        <v>1</v>
      </c>
      <c r="P236" s="4">
        <v>1</v>
      </c>
      <c r="Q236" s="3">
        <v>39</v>
      </c>
      <c r="R236" s="1">
        <v>28</v>
      </c>
      <c r="S236" s="1">
        <v>27</v>
      </c>
      <c r="T236" s="1">
        <v>82</v>
      </c>
      <c r="U236" s="1">
        <v>120</v>
      </c>
      <c r="V236" s="1">
        <v>115</v>
      </c>
      <c r="W236" s="1">
        <v>83</v>
      </c>
      <c r="X236" s="1">
        <v>87</v>
      </c>
      <c r="Y236" s="1">
        <v>81</v>
      </c>
      <c r="AI236" s="4"/>
      <c r="AJ236" s="4"/>
      <c r="AK236" s="4"/>
      <c r="AL236" s="1">
        <v>1</v>
      </c>
      <c r="AM236" s="1">
        <v>2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9">
        <v>0</v>
      </c>
      <c r="AT236" s="19">
        <v>0</v>
      </c>
      <c r="AU236" s="19">
        <v>0</v>
      </c>
      <c r="AV236" s="19">
        <v>0</v>
      </c>
      <c r="AW236" s="19">
        <v>0</v>
      </c>
      <c r="AX236" s="19"/>
      <c r="AY236"/>
      <c r="AZ236"/>
      <c r="BA236"/>
      <c r="BB236"/>
      <c r="BC236"/>
      <c r="BP236" s="4"/>
      <c r="BQ236" s="4"/>
      <c r="BR236" s="4"/>
      <c r="BS236" s="4"/>
      <c r="BT236" s="4"/>
      <c r="BU236" s="4"/>
      <c r="CI236" s="1">
        <v>6</v>
      </c>
      <c r="CJ236" s="1">
        <v>6</v>
      </c>
      <c r="CK236" s="1">
        <v>6</v>
      </c>
      <c r="CL236" s="1">
        <v>7</v>
      </c>
      <c r="CM236" s="1">
        <v>6</v>
      </c>
      <c r="CN236" s="1">
        <v>7</v>
      </c>
      <c r="CO236" s="1">
        <v>5</v>
      </c>
      <c r="CP236" s="1">
        <v>1</v>
      </c>
      <c r="CQ236" s="1">
        <v>5</v>
      </c>
      <c r="CR236" s="1">
        <v>6</v>
      </c>
      <c r="CS236" s="1">
        <v>7</v>
      </c>
      <c r="CT236" s="1">
        <v>7</v>
      </c>
      <c r="CU236" s="1">
        <v>5</v>
      </c>
      <c r="CV236" s="1">
        <v>7</v>
      </c>
      <c r="CW236" s="1">
        <v>5</v>
      </c>
      <c r="CX236" s="1">
        <v>7</v>
      </c>
      <c r="CY236" s="1">
        <v>6</v>
      </c>
      <c r="CZ236" s="1">
        <v>7</v>
      </c>
      <c r="DA236" s="1">
        <v>7</v>
      </c>
      <c r="DB236" s="1">
        <v>7</v>
      </c>
      <c r="DC236" s="1">
        <v>7</v>
      </c>
      <c r="DD236" s="1">
        <v>7</v>
      </c>
      <c r="DE236" s="1">
        <v>7</v>
      </c>
      <c r="DF236" s="1">
        <v>1</v>
      </c>
      <c r="DG236" s="1">
        <v>1</v>
      </c>
      <c r="DH236" s="1">
        <v>1</v>
      </c>
      <c r="DI236" s="1">
        <v>4</v>
      </c>
      <c r="DJ236" s="1">
        <v>4</v>
      </c>
      <c r="DK236" s="1">
        <v>4</v>
      </c>
      <c r="DL236" s="1">
        <v>6</v>
      </c>
      <c r="DM236" s="19">
        <v>7</v>
      </c>
      <c r="DN236" s="19">
        <v>4</v>
      </c>
      <c r="DO236" s="1">
        <v>4</v>
      </c>
      <c r="DP236" s="1">
        <v>7</v>
      </c>
      <c r="DQ236" s="1">
        <v>7</v>
      </c>
      <c r="DR236" s="1">
        <v>4</v>
      </c>
      <c r="DS236" s="1">
        <v>5</v>
      </c>
      <c r="DT236" s="1">
        <v>5</v>
      </c>
      <c r="DU236" s="27">
        <v>7</v>
      </c>
      <c r="DV236" s="27">
        <v>7</v>
      </c>
      <c r="DW236" s="27">
        <v>1</v>
      </c>
      <c r="DX236" s="27">
        <v>4</v>
      </c>
      <c r="DY236" s="27">
        <v>4</v>
      </c>
      <c r="DZ236" s="27">
        <v>7</v>
      </c>
      <c r="EA236" s="27">
        <v>1</v>
      </c>
      <c r="EB236" s="27">
        <v>5</v>
      </c>
      <c r="EC236" s="27">
        <v>4</v>
      </c>
      <c r="ED236" s="27">
        <v>4</v>
      </c>
      <c r="EE236" s="27">
        <v>6</v>
      </c>
      <c r="EF236" s="27">
        <v>1</v>
      </c>
      <c r="EG236" s="27">
        <v>7</v>
      </c>
      <c r="EH236" s="27">
        <v>7</v>
      </c>
      <c r="EI236" s="27">
        <v>7</v>
      </c>
      <c r="EJ236" s="27">
        <v>7</v>
      </c>
      <c r="EK236" s="27">
        <v>7</v>
      </c>
      <c r="EL236" s="27">
        <v>7</v>
      </c>
      <c r="EM236" s="27">
        <v>1</v>
      </c>
      <c r="EN236" s="27">
        <v>1</v>
      </c>
      <c r="EO236" s="27">
        <v>7</v>
      </c>
      <c r="EP236" s="27">
        <v>7</v>
      </c>
      <c r="EQ236" s="27">
        <v>7</v>
      </c>
      <c r="ER236" s="27">
        <v>7</v>
      </c>
      <c r="ES236" s="27">
        <v>7</v>
      </c>
      <c r="ET236" s="27">
        <v>7</v>
      </c>
      <c r="EU236" s="27">
        <v>5</v>
      </c>
      <c r="EV236" s="27">
        <v>18</v>
      </c>
      <c r="EW236" s="27">
        <v>2</v>
      </c>
      <c r="EY236" s="27">
        <v>1</v>
      </c>
      <c r="FA236" s="27">
        <v>1</v>
      </c>
      <c r="FB236" s="28" t="s">
        <v>778</v>
      </c>
      <c r="FC236" s="27">
        <v>1</v>
      </c>
      <c r="FD236" s="1">
        <v>9</v>
      </c>
      <c r="FE236" s="4"/>
      <c r="FF236" s="4"/>
      <c r="FG236" s="4"/>
      <c r="FH236" s="4"/>
      <c r="FI236" s="4"/>
      <c r="FJ236" s="23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26"/>
      <c r="GF236" s="26"/>
      <c r="GG236" s="4"/>
      <c r="JH236" s="1"/>
      <c r="JV236" s="1"/>
      <c r="KM236" s="4"/>
      <c r="LA236" s="4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</row>
    <row r="237" spans="1:376" x14ac:dyDescent="0.35">
      <c r="A237" s="14">
        <v>43732</v>
      </c>
      <c r="B237" s="16" t="s">
        <v>147</v>
      </c>
      <c r="C237" s="16" t="s">
        <v>398</v>
      </c>
      <c r="D237" s="1">
        <v>236</v>
      </c>
      <c r="E237" s="1">
        <v>5</v>
      </c>
      <c r="F237" s="1">
        <v>5</v>
      </c>
      <c r="H237" s="1">
        <v>59</v>
      </c>
      <c r="I237" s="1">
        <v>4</v>
      </c>
      <c r="K237" s="18">
        <v>0</v>
      </c>
      <c r="L237" s="18">
        <v>1</v>
      </c>
      <c r="M237" s="18">
        <v>1</v>
      </c>
      <c r="N237" s="18">
        <v>1</v>
      </c>
      <c r="O237" s="18">
        <v>0</v>
      </c>
      <c r="P237" s="4">
        <v>0.6</v>
      </c>
      <c r="Q237" s="3">
        <v>63</v>
      </c>
      <c r="R237" s="1">
        <v>87</v>
      </c>
      <c r="S237" s="1">
        <v>54</v>
      </c>
      <c r="T237" s="1">
        <v>81</v>
      </c>
      <c r="U237" s="1">
        <v>77</v>
      </c>
      <c r="V237" s="1">
        <v>94</v>
      </c>
      <c r="W237" s="1">
        <v>100</v>
      </c>
      <c r="X237" s="1">
        <v>98</v>
      </c>
      <c r="Y237" s="1">
        <v>62</v>
      </c>
      <c r="AI237" s="4"/>
      <c r="AJ237" s="4"/>
      <c r="AK237" s="4"/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9">
        <v>0</v>
      </c>
      <c r="AT237" s="19">
        <v>0</v>
      </c>
      <c r="AU237" s="19">
        <v>0</v>
      </c>
      <c r="AV237" s="19">
        <v>0</v>
      </c>
      <c r="AW237" s="19">
        <v>0</v>
      </c>
      <c r="AX237" s="19"/>
      <c r="AY237"/>
      <c r="AZ237"/>
      <c r="BA237"/>
      <c r="BB237"/>
      <c r="BC237"/>
      <c r="BP237" s="4"/>
      <c r="BQ237" s="4"/>
      <c r="BR237" s="4"/>
      <c r="BS237" s="4"/>
      <c r="BT237" s="4"/>
      <c r="BU237" s="4"/>
      <c r="CI237" s="1">
        <v>5</v>
      </c>
      <c r="CJ237" s="1">
        <v>6</v>
      </c>
      <c r="CK237" s="1">
        <v>6</v>
      </c>
      <c r="CL237" s="1">
        <v>5</v>
      </c>
      <c r="CM237" s="1">
        <v>4</v>
      </c>
      <c r="CN237" s="1">
        <v>6</v>
      </c>
      <c r="CO237" s="1">
        <v>4</v>
      </c>
      <c r="CP237" s="1">
        <v>2</v>
      </c>
      <c r="CQ237" s="1">
        <v>6</v>
      </c>
      <c r="CR237" s="1">
        <v>7</v>
      </c>
      <c r="CS237" s="1">
        <v>6</v>
      </c>
      <c r="CT237" s="1">
        <v>6</v>
      </c>
      <c r="CU237" s="1">
        <v>6</v>
      </c>
      <c r="CV237" s="1">
        <v>5</v>
      </c>
      <c r="CW237" s="1">
        <v>5</v>
      </c>
      <c r="CX237" s="1">
        <v>5</v>
      </c>
      <c r="CY237" s="1">
        <v>5</v>
      </c>
      <c r="CZ237" s="1">
        <v>7</v>
      </c>
      <c r="DA237" s="1">
        <v>6</v>
      </c>
      <c r="DB237" s="1">
        <v>6</v>
      </c>
      <c r="DC237" s="1">
        <v>7</v>
      </c>
      <c r="DD237" s="1">
        <v>4</v>
      </c>
      <c r="DE237" s="1">
        <v>5</v>
      </c>
      <c r="DF237" s="1">
        <v>6</v>
      </c>
      <c r="DG237" s="1">
        <v>6</v>
      </c>
      <c r="DH237" s="1">
        <v>7</v>
      </c>
      <c r="DI237" s="1">
        <v>6</v>
      </c>
      <c r="DJ237" s="1">
        <v>7</v>
      </c>
      <c r="DK237" s="1">
        <v>6</v>
      </c>
      <c r="DL237" s="1">
        <v>6</v>
      </c>
      <c r="DM237" s="19">
        <v>6</v>
      </c>
      <c r="DN237" s="19">
        <v>5</v>
      </c>
      <c r="DO237" s="1">
        <v>5</v>
      </c>
      <c r="DP237" s="1">
        <v>6</v>
      </c>
      <c r="DQ237" s="1">
        <v>5</v>
      </c>
      <c r="DR237" s="1">
        <v>5</v>
      </c>
      <c r="DS237" s="1">
        <v>6</v>
      </c>
      <c r="DT237" s="1">
        <v>6</v>
      </c>
      <c r="DU237" s="27">
        <v>7</v>
      </c>
      <c r="DV237" s="27">
        <v>7</v>
      </c>
      <c r="DW237" s="27">
        <v>5</v>
      </c>
      <c r="DX237" s="27">
        <v>5</v>
      </c>
      <c r="DY237" s="27">
        <v>1</v>
      </c>
      <c r="DZ237" s="27">
        <v>2</v>
      </c>
      <c r="EA237" s="27">
        <v>1</v>
      </c>
      <c r="EB237" s="27">
        <v>7</v>
      </c>
      <c r="EC237" s="27">
        <v>7</v>
      </c>
      <c r="ED237" s="27">
        <v>6</v>
      </c>
      <c r="EE237" s="27">
        <v>7</v>
      </c>
      <c r="EF237" s="27">
        <v>6</v>
      </c>
      <c r="EG237" s="27">
        <v>6</v>
      </c>
      <c r="EH237" s="27">
        <v>6</v>
      </c>
      <c r="EI237" s="27">
        <v>6</v>
      </c>
      <c r="EJ237" s="27">
        <v>7</v>
      </c>
      <c r="EK237" s="27">
        <v>7</v>
      </c>
      <c r="EL237" s="27">
        <v>4</v>
      </c>
      <c r="EM237" s="27">
        <v>4</v>
      </c>
      <c r="EN237" s="27">
        <v>4</v>
      </c>
      <c r="EO237" s="27">
        <v>7</v>
      </c>
      <c r="EP237" s="27">
        <v>7</v>
      </c>
      <c r="EQ237" s="27">
        <v>6</v>
      </c>
      <c r="ER237" s="27">
        <v>6</v>
      </c>
      <c r="ES237" s="27">
        <v>4</v>
      </c>
      <c r="ET237" s="27">
        <v>6</v>
      </c>
      <c r="EU237" s="27">
        <v>5</v>
      </c>
      <c r="EV237" s="27">
        <v>19</v>
      </c>
      <c r="EW237" s="27">
        <v>2</v>
      </c>
      <c r="EY237" s="27">
        <v>1</v>
      </c>
      <c r="FA237" s="27">
        <v>1</v>
      </c>
      <c r="FB237" s="28" t="s">
        <v>877</v>
      </c>
      <c r="FC237" s="27">
        <v>1</v>
      </c>
      <c r="FD237" s="1">
        <v>6</v>
      </c>
      <c r="FE237" s="4"/>
      <c r="FF237" s="4"/>
      <c r="FG237" s="4"/>
      <c r="FH237" s="4"/>
      <c r="FI237" s="4"/>
      <c r="FJ237" s="23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26"/>
      <c r="GF237" s="26"/>
      <c r="GG237" s="4"/>
      <c r="JH237" s="1"/>
      <c r="JV237" s="1"/>
      <c r="KM237" s="4"/>
      <c r="LA237" s="4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</row>
    <row r="238" spans="1:376" x14ac:dyDescent="0.35">
      <c r="A238" s="14">
        <v>43732</v>
      </c>
      <c r="B238" s="16" t="s">
        <v>148</v>
      </c>
      <c r="C238" s="16" t="s">
        <v>399</v>
      </c>
      <c r="D238" s="1">
        <v>237</v>
      </c>
      <c r="E238" s="1">
        <v>5</v>
      </c>
      <c r="F238" s="1">
        <v>5</v>
      </c>
      <c r="G238" s="1">
        <v>0</v>
      </c>
      <c r="H238" s="1">
        <v>60</v>
      </c>
      <c r="I238" s="1">
        <v>1</v>
      </c>
      <c r="J238" s="1">
        <v>1</v>
      </c>
      <c r="K238" s="18">
        <v>1</v>
      </c>
      <c r="L238" s="18">
        <v>1</v>
      </c>
      <c r="M238" s="18">
        <v>1</v>
      </c>
      <c r="N238" s="18">
        <v>1</v>
      </c>
      <c r="O238" s="18">
        <v>1</v>
      </c>
      <c r="P238" s="4">
        <v>1</v>
      </c>
      <c r="Q238" s="3">
        <v>46</v>
      </c>
      <c r="R238" s="1">
        <v>45</v>
      </c>
      <c r="S238" s="1">
        <v>37</v>
      </c>
      <c r="T238" s="1">
        <v>94</v>
      </c>
      <c r="U238" s="1">
        <v>88</v>
      </c>
      <c r="V238" s="1">
        <v>120</v>
      </c>
      <c r="W238" s="1">
        <v>110</v>
      </c>
      <c r="X238" s="1">
        <v>84</v>
      </c>
      <c r="Y238" s="1">
        <v>76</v>
      </c>
      <c r="Z238" s="1">
        <v>271</v>
      </c>
      <c r="AA238" s="1">
        <v>244</v>
      </c>
      <c r="AB238" s="1">
        <v>200</v>
      </c>
      <c r="AC238" s="1">
        <v>364</v>
      </c>
      <c r="AD238" s="1">
        <v>395</v>
      </c>
      <c r="AE238" s="1">
        <v>441</v>
      </c>
      <c r="AF238" s="1">
        <v>412</v>
      </c>
      <c r="AG238" s="1">
        <v>388</v>
      </c>
      <c r="AH238" s="1">
        <v>391</v>
      </c>
      <c r="AI238" s="4">
        <v>238.33</v>
      </c>
      <c r="AJ238" s="4">
        <v>400</v>
      </c>
      <c r="AK238" s="4">
        <v>397</v>
      </c>
      <c r="AL238" s="1">
        <v>0</v>
      </c>
      <c r="AM238" s="1">
        <v>1</v>
      </c>
      <c r="AN238" s="1">
        <v>3</v>
      </c>
      <c r="AO238" s="1">
        <v>0</v>
      </c>
      <c r="AP238" s="1">
        <v>0</v>
      </c>
      <c r="AQ238" s="1">
        <v>0</v>
      </c>
      <c r="AR238" s="1">
        <v>0</v>
      </c>
      <c r="AS238" s="19">
        <v>0</v>
      </c>
      <c r="AT238" s="19">
        <v>0</v>
      </c>
      <c r="AU238" s="19">
        <v>0</v>
      </c>
      <c r="AV238" s="19">
        <v>0</v>
      </c>
      <c r="AW238" s="19">
        <v>0</v>
      </c>
      <c r="AX238" s="19">
        <f t="shared" ref="AX238:BC238" si="118">AL238+AL239+AL240+AL241</f>
        <v>0</v>
      </c>
      <c r="AY238" s="19">
        <f t="shared" si="118"/>
        <v>1</v>
      </c>
      <c r="AZ238" s="19">
        <f t="shared" si="118"/>
        <v>3</v>
      </c>
      <c r="BA238" s="19">
        <f t="shared" si="118"/>
        <v>0</v>
      </c>
      <c r="BB238" s="19">
        <f t="shared" si="118"/>
        <v>0</v>
      </c>
      <c r="BC238" s="19">
        <f t="shared" si="118"/>
        <v>0</v>
      </c>
      <c r="BD238" s="1">
        <f>AX238*3</f>
        <v>0</v>
      </c>
      <c r="BE238" s="1">
        <f t="shared" ref="BE238:BI238" si="119">AY238*3</f>
        <v>3</v>
      </c>
      <c r="BF238" s="1">
        <f t="shared" si="119"/>
        <v>9</v>
      </c>
      <c r="BG238" s="1">
        <f t="shared" si="119"/>
        <v>0</v>
      </c>
      <c r="BH238" s="1">
        <f t="shared" si="119"/>
        <v>0</v>
      </c>
      <c r="BI238" s="1">
        <f t="shared" si="119"/>
        <v>0</v>
      </c>
      <c r="BJ238" s="1">
        <f>AX238+AY238+AZ238</f>
        <v>4</v>
      </c>
      <c r="BK238" s="1">
        <f>BA238+BB238+BC238</f>
        <v>0</v>
      </c>
      <c r="BL238" s="1">
        <f>BJ238*3</f>
        <v>12</v>
      </c>
      <c r="BM238" s="1">
        <f>BK238*3</f>
        <v>0</v>
      </c>
      <c r="BN238" s="1">
        <f>BL238/3</f>
        <v>4</v>
      </c>
      <c r="BO238" s="1">
        <f>BM238/3</f>
        <v>0</v>
      </c>
      <c r="BP238" s="4">
        <v>234.33333333333334</v>
      </c>
      <c r="BQ238" s="4">
        <v>400</v>
      </c>
      <c r="BR238" s="4">
        <v>397</v>
      </c>
      <c r="BS238" s="4">
        <v>400</v>
      </c>
      <c r="BT238" s="4">
        <v>397</v>
      </c>
      <c r="BU238" s="4">
        <v>4</v>
      </c>
      <c r="BV238" s="1">
        <v>2</v>
      </c>
      <c r="BW238" s="1">
        <v>4</v>
      </c>
      <c r="BX238" s="1">
        <v>4</v>
      </c>
      <c r="BY238" s="1">
        <v>4</v>
      </c>
      <c r="BZ238" s="1">
        <v>1</v>
      </c>
      <c r="CA238" s="1">
        <v>1</v>
      </c>
      <c r="CB238" s="1">
        <v>1</v>
      </c>
      <c r="CC238" s="1">
        <v>1</v>
      </c>
      <c r="CD238" s="1">
        <v>1</v>
      </c>
      <c r="CE238" s="1">
        <v>1</v>
      </c>
      <c r="CF238" s="1">
        <v>1</v>
      </c>
      <c r="CG238" s="1">
        <v>1</v>
      </c>
      <c r="CH238" s="1">
        <v>0</v>
      </c>
      <c r="CI238" s="1">
        <v>3</v>
      </c>
      <c r="CJ238" s="1">
        <v>6</v>
      </c>
      <c r="CK238" s="1">
        <v>7</v>
      </c>
      <c r="CL238" s="1">
        <v>6</v>
      </c>
      <c r="CM238" s="1">
        <v>6</v>
      </c>
      <c r="CN238" s="1">
        <v>6</v>
      </c>
      <c r="CO238" s="1">
        <v>7</v>
      </c>
      <c r="CP238" s="1">
        <v>3</v>
      </c>
      <c r="CQ238" s="1">
        <v>6</v>
      </c>
      <c r="CR238" s="1">
        <v>5</v>
      </c>
      <c r="CS238" s="1">
        <v>6</v>
      </c>
      <c r="CT238" s="1">
        <v>5</v>
      </c>
      <c r="CU238" s="1">
        <v>5</v>
      </c>
      <c r="CV238" s="1">
        <v>6</v>
      </c>
      <c r="CW238" s="1">
        <v>6</v>
      </c>
      <c r="CX238" s="1">
        <v>6</v>
      </c>
      <c r="CY238" s="1">
        <v>5</v>
      </c>
      <c r="CZ238" s="1">
        <v>6</v>
      </c>
      <c r="DA238" s="1">
        <v>6</v>
      </c>
      <c r="DB238" s="1">
        <v>6</v>
      </c>
      <c r="DC238" s="1">
        <v>6</v>
      </c>
      <c r="DD238" s="1">
        <v>7</v>
      </c>
      <c r="DE238" s="1">
        <v>7</v>
      </c>
      <c r="DF238" s="1">
        <v>6</v>
      </c>
      <c r="DG238" s="1">
        <v>7</v>
      </c>
      <c r="DH238" s="1">
        <v>5</v>
      </c>
      <c r="DI238" s="1">
        <v>4</v>
      </c>
      <c r="DJ238" s="1">
        <v>6</v>
      </c>
      <c r="DK238" s="1">
        <v>6</v>
      </c>
      <c r="DL238" s="1">
        <v>6</v>
      </c>
      <c r="DM238" s="19">
        <v>7</v>
      </c>
      <c r="DN238" s="19">
        <v>6</v>
      </c>
      <c r="DO238" s="1">
        <v>6</v>
      </c>
      <c r="DP238" s="1">
        <v>3</v>
      </c>
      <c r="DQ238" s="1">
        <v>3</v>
      </c>
      <c r="DR238" s="1">
        <v>3</v>
      </c>
      <c r="DS238" s="1">
        <v>6</v>
      </c>
      <c r="DT238" s="1">
        <v>6</v>
      </c>
      <c r="DU238" s="27">
        <v>6</v>
      </c>
      <c r="DV238" s="27">
        <v>2</v>
      </c>
      <c r="DW238" s="27">
        <v>3</v>
      </c>
      <c r="DX238" s="27">
        <v>7</v>
      </c>
      <c r="DY238" s="27">
        <v>7</v>
      </c>
      <c r="DZ238" s="27">
        <v>7</v>
      </c>
      <c r="EA238" s="27">
        <v>6</v>
      </c>
      <c r="EB238" s="27">
        <v>1</v>
      </c>
      <c r="EC238" s="27">
        <v>6</v>
      </c>
      <c r="ED238" s="27">
        <v>6</v>
      </c>
      <c r="EE238" s="27">
        <v>1</v>
      </c>
      <c r="EF238" s="27">
        <v>1</v>
      </c>
      <c r="EG238" s="27">
        <v>6</v>
      </c>
      <c r="EH238" s="27">
        <v>7</v>
      </c>
      <c r="EI238" s="27">
        <v>7</v>
      </c>
      <c r="EJ238" s="27">
        <v>7</v>
      </c>
      <c r="EK238" s="27">
        <v>5</v>
      </c>
      <c r="EL238" s="27">
        <v>3</v>
      </c>
      <c r="EM238" s="27">
        <v>2</v>
      </c>
      <c r="EN238" s="27">
        <v>2</v>
      </c>
      <c r="EO238" s="27">
        <v>3</v>
      </c>
      <c r="EP238" s="27">
        <v>3</v>
      </c>
      <c r="EQ238" s="27">
        <v>2</v>
      </c>
      <c r="ER238" s="27">
        <v>7</v>
      </c>
      <c r="ES238" s="27">
        <v>7</v>
      </c>
      <c r="ET238" s="27">
        <v>4</v>
      </c>
      <c r="EU238" s="27">
        <v>6</v>
      </c>
      <c r="EV238" s="27">
        <v>18</v>
      </c>
      <c r="EW238" s="27">
        <v>2</v>
      </c>
      <c r="EY238" s="27">
        <v>1</v>
      </c>
      <c r="FA238" s="27">
        <v>1</v>
      </c>
      <c r="FB238" s="28" t="s">
        <v>809</v>
      </c>
      <c r="FC238" s="27">
        <v>0</v>
      </c>
      <c r="FD238" s="1">
        <v>5</v>
      </c>
      <c r="FE238" s="4">
        <v>6.32</v>
      </c>
      <c r="FF238" s="4">
        <v>5.81</v>
      </c>
      <c r="FG238" s="4">
        <v>7.31</v>
      </c>
      <c r="FH238" s="4">
        <v>6.25</v>
      </c>
      <c r="FI238" s="4">
        <v>6.38</v>
      </c>
      <c r="FJ238" s="23">
        <v>6.5</v>
      </c>
      <c r="FK238" s="4">
        <v>4.54</v>
      </c>
      <c r="FL238" s="4">
        <v>6.5</v>
      </c>
      <c r="FM238" s="4">
        <v>4.88</v>
      </c>
      <c r="FN238" s="4">
        <v>5.25</v>
      </c>
      <c r="FO238" s="4">
        <v>5.83</v>
      </c>
      <c r="FP238" s="4">
        <v>5.25</v>
      </c>
      <c r="FQ238" s="4">
        <v>3.88</v>
      </c>
      <c r="FR238" s="4">
        <v>3</v>
      </c>
      <c r="FS238" s="4">
        <v>5</v>
      </c>
      <c r="FT238" s="4">
        <v>5.5</v>
      </c>
      <c r="FU238" s="4">
        <v>5.75</v>
      </c>
      <c r="FV238" s="4">
        <v>5.25</v>
      </c>
      <c r="FW238" s="4">
        <v>3</v>
      </c>
      <c r="FX238" s="4">
        <v>4.25</v>
      </c>
      <c r="FY238" s="4">
        <v>5.75</v>
      </c>
      <c r="FZ238" s="4">
        <v>4.58</v>
      </c>
      <c r="GA238" s="4">
        <v>2.13</v>
      </c>
      <c r="GB238" s="4">
        <v>5.5</v>
      </c>
      <c r="GC238" s="4">
        <v>6.25</v>
      </c>
      <c r="GD238" s="4">
        <v>6</v>
      </c>
      <c r="GE238" s="26"/>
      <c r="GF238" s="26"/>
      <c r="GG238" s="4"/>
      <c r="JH238" s="1"/>
      <c r="JV238" s="1"/>
      <c r="KM238" s="4"/>
      <c r="LA238" s="4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</row>
    <row r="239" spans="1:376" x14ac:dyDescent="0.35">
      <c r="A239" s="14">
        <v>43732</v>
      </c>
      <c r="B239" s="16" t="s">
        <v>148</v>
      </c>
      <c r="C239" s="16" t="s">
        <v>400</v>
      </c>
      <c r="D239" s="1">
        <v>238</v>
      </c>
      <c r="E239" s="1">
        <v>5</v>
      </c>
      <c r="F239" s="1">
        <v>5</v>
      </c>
      <c r="H239" s="1">
        <v>60</v>
      </c>
      <c r="I239" s="1">
        <v>2</v>
      </c>
      <c r="K239" s="18">
        <v>1</v>
      </c>
      <c r="L239" s="18">
        <v>1</v>
      </c>
      <c r="M239" s="18">
        <v>1</v>
      </c>
      <c r="N239" s="18">
        <v>1</v>
      </c>
      <c r="O239" s="18">
        <v>0</v>
      </c>
      <c r="P239" s="4">
        <v>0.8</v>
      </c>
      <c r="Q239" s="3">
        <v>46</v>
      </c>
      <c r="R239" s="1">
        <v>59</v>
      </c>
      <c r="S239" s="1">
        <v>62</v>
      </c>
      <c r="T239" s="1">
        <v>105</v>
      </c>
      <c r="U239" s="1">
        <v>91</v>
      </c>
      <c r="V239" s="1">
        <v>98</v>
      </c>
      <c r="W239" s="1">
        <v>107</v>
      </c>
      <c r="X239" s="1">
        <v>72</v>
      </c>
      <c r="Y239" s="1">
        <v>74</v>
      </c>
      <c r="AI239" s="4"/>
      <c r="AJ239" s="4"/>
      <c r="AK239" s="4"/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9">
        <v>0</v>
      </c>
      <c r="AT239" s="19">
        <v>0</v>
      </c>
      <c r="AU239" s="19">
        <v>0</v>
      </c>
      <c r="AV239" s="19">
        <v>0</v>
      </c>
      <c r="AW239" s="19">
        <v>0</v>
      </c>
      <c r="AX239" s="19"/>
      <c r="AY239"/>
      <c r="AZ239"/>
      <c r="BA239"/>
      <c r="BB239"/>
      <c r="BC239"/>
      <c r="BP239" s="4"/>
      <c r="BQ239" s="4"/>
      <c r="BR239" s="4"/>
      <c r="BS239" s="4"/>
      <c r="BT239" s="4"/>
      <c r="BU239" s="4"/>
      <c r="CI239" s="1">
        <v>6</v>
      </c>
      <c r="CJ239" s="1">
        <v>6</v>
      </c>
      <c r="CK239" s="1">
        <v>7</v>
      </c>
      <c r="CL239" s="1">
        <v>6</v>
      </c>
      <c r="CM239" s="1">
        <v>6</v>
      </c>
      <c r="CN239" s="1">
        <v>6</v>
      </c>
      <c r="CO239" s="1">
        <v>6</v>
      </c>
      <c r="CP239" s="1">
        <v>2</v>
      </c>
      <c r="CQ239" s="1">
        <v>6</v>
      </c>
      <c r="CR239" s="1">
        <v>6</v>
      </c>
      <c r="CS239" s="1">
        <v>6</v>
      </c>
      <c r="CT239" s="1">
        <v>6</v>
      </c>
      <c r="CU239" s="1">
        <v>6</v>
      </c>
      <c r="CV239" s="1">
        <v>6</v>
      </c>
      <c r="CW239" s="1">
        <v>6</v>
      </c>
      <c r="CX239" s="1">
        <v>6</v>
      </c>
      <c r="CY239" s="1">
        <v>6</v>
      </c>
      <c r="CZ239" s="1">
        <v>6</v>
      </c>
      <c r="DA239" s="1">
        <v>6</v>
      </c>
      <c r="DB239" s="1">
        <v>7</v>
      </c>
      <c r="DC239" s="1">
        <v>7</v>
      </c>
      <c r="DD239" s="1">
        <v>6</v>
      </c>
      <c r="DE239" s="1">
        <v>7</v>
      </c>
      <c r="DF239" s="1">
        <v>2</v>
      </c>
      <c r="DG239" s="1">
        <v>2</v>
      </c>
      <c r="DH239" s="1">
        <v>3</v>
      </c>
      <c r="DI239" s="1">
        <v>2</v>
      </c>
      <c r="DJ239" s="1">
        <v>1</v>
      </c>
      <c r="DK239" s="1">
        <v>1</v>
      </c>
      <c r="DL239" s="1">
        <v>6</v>
      </c>
      <c r="DM239" s="19">
        <v>7</v>
      </c>
      <c r="DN239" s="19">
        <v>3</v>
      </c>
      <c r="DO239" s="1">
        <v>3</v>
      </c>
      <c r="DP239" s="1">
        <v>5</v>
      </c>
      <c r="DQ239" s="1">
        <v>6</v>
      </c>
      <c r="DR239" s="1">
        <v>6</v>
      </c>
      <c r="DS239" s="1">
        <v>6</v>
      </c>
      <c r="DT239" s="1">
        <v>6</v>
      </c>
      <c r="DU239" s="27">
        <v>6</v>
      </c>
      <c r="DV239" s="27">
        <v>7</v>
      </c>
      <c r="DW239" s="27">
        <v>2</v>
      </c>
      <c r="DX239" s="27">
        <v>4</v>
      </c>
      <c r="DY239" s="27">
        <v>2</v>
      </c>
      <c r="DZ239" s="27">
        <v>2</v>
      </c>
      <c r="EA239" s="27">
        <v>2</v>
      </c>
      <c r="EB239" s="27">
        <v>6</v>
      </c>
      <c r="EC239" s="27">
        <v>7</v>
      </c>
      <c r="ED239" s="27">
        <v>7</v>
      </c>
      <c r="EE239" s="27">
        <v>7</v>
      </c>
      <c r="EF239" s="27">
        <v>3</v>
      </c>
      <c r="EG239" s="27">
        <v>6</v>
      </c>
      <c r="EH239" s="27">
        <v>7</v>
      </c>
      <c r="EI239" s="27">
        <v>7</v>
      </c>
      <c r="EJ239" s="27">
        <v>7</v>
      </c>
      <c r="EK239" s="27">
        <v>7</v>
      </c>
      <c r="EL239" s="27">
        <v>7</v>
      </c>
      <c r="EM239" s="27">
        <v>1</v>
      </c>
      <c r="EN239" s="27">
        <v>1</v>
      </c>
      <c r="EO239" s="27">
        <v>7</v>
      </c>
      <c r="EP239" s="27">
        <v>7</v>
      </c>
      <c r="EQ239" s="27">
        <v>7</v>
      </c>
      <c r="ER239" s="27">
        <v>7</v>
      </c>
      <c r="ES239" s="27">
        <v>7</v>
      </c>
      <c r="ET239" s="27">
        <v>6</v>
      </c>
      <c r="EU239" s="27">
        <v>6</v>
      </c>
      <c r="EV239" s="27">
        <v>18</v>
      </c>
      <c r="EW239" s="27">
        <v>2</v>
      </c>
      <c r="EY239" s="27">
        <v>2</v>
      </c>
      <c r="FA239" s="27">
        <v>1</v>
      </c>
      <c r="FB239" s="28" t="s">
        <v>921</v>
      </c>
      <c r="FC239" s="27">
        <v>0</v>
      </c>
      <c r="FD239" s="1">
        <v>6</v>
      </c>
      <c r="FE239" s="4"/>
      <c r="FF239" s="4"/>
      <c r="FG239" s="4"/>
      <c r="FH239" s="4"/>
      <c r="FI239" s="4"/>
      <c r="FJ239" s="23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26"/>
      <c r="GF239" s="26"/>
      <c r="GG239" s="4"/>
      <c r="JH239" s="1"/>
      <c r="JV239" s="1"/>
      <c r="KM239" s="4"/>
      <c r="LA239" s="4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</row>
    <row r="240" spans="1:376" x14ac:dyDescent="0.35">
      <c r="A240" s="14">
        <v>43732</v>
      </c>
      <c r="B240" s="16" t="s">
        <v>148</v>
      </c>
      <c r="C240" s="16" t="s">
        <v>401</v>
      </c>
      <c r="D240" s="1">
        <v>239</v>
      </c>
      <c r="E240" s="1">
        <v>5</v>
      </c>
      <c r="F240" s="1">
        <v>5</v>
      </c>
      <c r="H240" s="1">
        <v>60</v>
      </c>
      <c r="I240" s="1">
        <v>3</v>
      </c>
      <c r="K240" s="18">
        <v>0</v>
      </c>
      <c r="L240" s="18">
        <v>1</v>
      </c>
      <c r="M240" s="18">
        <v>1</v>
      </c>
      <c r="N240" s="18">
        <v>1</v>
      </c>
      <c r="O240" s="18">
        <v>1</v>
      </c>
      <c r="P240" s="4">
        <v>0.8</v>
      </c>
      <c r="Q240" s="3">
        <v>109</v>
      </c>
      <c r="R240" s="1">
        <v>86</v>
      </c>
      <c r="S240" s="1">
        <v>51</v>
      </c>
      <c r="T240" s="1">
        <v>83</v>
      </c>
      <c r="U240" s="1">
        <v>105</v>
      </c>
      <c r="V240" s="1">
        <v>113</v>
      </c>
      <c r="W240" s="1">
        <v>105</v>
      </c>
      <c r="X240" s="1">
        <v>131</v>
      </c>
      <c r="Y240" s="1">
        <v>135</v>
      </c>
      <c r="AI240" s="4"/>
      <c r="AJ240" s="4"/>
      <c r="AK240" s="4"/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9">
        <v>2</v>
      </c>
      <c r="AT240" s="19">
        <v>6</v>
      </c>
      <c r="AU240" s="19">
        <v>0</v>
      </c>
      <c r="AV240" s="19">
        <v>0</v>
      </c>
      <c r="AW240" s="19">
        <v>0</v>
      </c>
      <c r="AX240" s="19"/>
      <c r="AY240"/>
      <c r="AZ240"/>
      <c r="BA240"/>
      <c r="BB240"/>
      <c r="BC240"/>
      <c r="BP240" s="4"/>
      <c r="BQ240" s="4"/>
      <c r="BR240" s="4"/>
      <c r="BS240" s="4"/>
      <c r="BT240" s="4"/>
      <c r="BU240" s="4"/>
      <c r="CI240" s="1">
        <v>7</v>
      </c>
      <c r="CJ240" s="1">
        <v>7</v>
      </c>
      <c r="CK240" s="1">
        <v>7</v>
      </c>
      <c r="CL240" s="1">
        <v>7</v>
      </c>
      <c r="CM240" s="1">
        <v>7</v>
      </c>
      <c r="CN240" s="1">
        <v>7</v>
      </c>
      <c r="CO240" s="1">
        <v>7</v>
      </c>
      <c r="CP240" s="1">
        <v>4</v>
      </c>
      <c r="CQ240" s="1">
        <v>6</v>
      </c>
      <c r="CR240" s="1">
        <v>6</v>
      </c>
      <c r="CS240" s="1">
        <v>6</v>
      </c>
      <c r="CT240" s="1">
        <v>4</v>
      </c>
      <c r="CU240" s="1">
        <v>6</v>
      </c>
      <c r="CV240" s="1">
        <v>6</v>
      </c>
      <c r="CW240" s="1">
        <v>6</v>
      </c>
      <c r="CX240" s="1">
        <v>6</v>
      </c>
      <c r="CY240" s="1">
        <v>5</v>
      </c>
      <c r="CZ240" s="1">
        <v>6</v>
      </c>
      <c r="DA240" s="1">
        <v>6</v>
      </c>
      <c r="DB240" s="1">
        <v>6</v>
      </c>
      <c r="DC240" s="1">
        <v>6</v>
      </c>
      <c r="DD240" s="1">
        <v>6</v>
      </c>
      <c r="DE240" s="1">
        <v>6</v>
      </c>
      <c r="DF240" s="1">
        <v>4</v>
      </c>
      <c r="DG240" s="1">
        <v>6</v>
      </c>
      <c r="DH240" s="1">
        <v>4</v>
      </c>
      <c r="DI240" s="1">
        <v>5</v>
      </c>
      <c r="DJ240" s="1">
        <v>4</v>
      </c>
      <c r="DK240" s="1">
        <v>5</v>
      </c>
      <c r="DL240" s="1">
        <v>6</v>
      </c>
      <c r="DM240" s="19">
        <v>6</v>
      </c>
      <c r="DN240" s="19">
        <v>5</v>
      </c>
      <c r="DO240" s="1">
        <v>6</v>
      </c>
      <c r="DP240" s="1">
        <v>5</v>
      </c>
      <c r="DQ240" s="1">
        <v>6</v>
      </c>
      <c r="DR240" s="1">
        <v>6</v>
      </c>
      <c r="DS240" s="1">
        <v>6</v>
      </c>
      <c r="DT240" s="1">
        <v>6</v>
      </c>
      <c r="DU240" s="27">
        <v>7</v>
      </c>
      <c r="DV240" s="27">
        <v>7</v>
      </c>
      <c r="DW240" s="27">
        <v>4</v>
      </c>
      <c r="DX240" s="27">
        <v>4</v>
      </c>
      <c r="DY240" s="27">
        <v>4</v>
      </c>
      <c r="DZ240" s="27">
        <v>4</v>
      </c>
      <c r="EA240" s="27">
        <v>2</v>
      </c>
      <c r="EB240" s="27">
        <v>7</v>
      </c>
      <c r="EC240" s="27">
        <v>7</v>
      </c>
      <c r="ED240" s="27">
        <v>4</v>
      </c>
      <c r="EE240" s="27">
        <v>6</v>
      </c>
      <c r="EF240" s="27">
        <v>4</v>
      </c>
      <c r="EG240" s="27">
        <v>4</v>
      </c>
      <c r="EH240" s="27">
        <v>4</v>
      </c>
      <c r="EI240" s="27">
        <v>4</v>
      </c>
      <c r="EJ240" s="27">
        <v>4</v>
      </c>
      <c r="EK240" s="27">
        <v>4</v>
      </c>
      <c r="EL240" s="27">
        <v>4</v>
      </c>
      <c r="EM240" s="27">
        <v>2</v>
      </c>
      <c r="EN240" s="27">
        <v>3</v>
      </c>
      <c r="EO240" s="27">
        <v>7</v>
      </c>
      <c r="EP240" s="27">
        <v>7</v>
      </c>
      <c r="EQ240" s="27">
        <v>4</v>
      </c>
      <c r="ER240" s="27">
        <v>5</v>
      </c>
      <c r="ES240" s="27">
        <v>6</v>
      </c>
      <c r="ET240" s="27">
        <v>7</v>
      </c>
      <c r="EU240" s="27">
        <v>7</v>
      </c>
      <c r="EV240" s="27">
        <v>18</v>
      </c>
      <c r="EW240" s="27">
        <v>2</v>
      </c>
      <c r="EY240" s="27">
        <v>1</v>
      </c>
      <c r="FA240" s="27">
        <v>1</v>
      </c>
      <c r="FB240" s="28" t="s">
        <v>922</v>
      </c>
      <c r="FC240" s="27">
        <v>1</v>
      </c>
      <c r="FD240" s="1">
        <v>9</v>
      </c>
      <c r="FE240" s="4"/>
      <c r="FF240" s="4"/>
      <c r="FG240" s="4"/>
      <c r="FH240" s="4"/>
      <c r="FI240" s="4"/>
      <c r="FJ240" s="23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26"/>
      <c r="GF240" s="26"/>
      <c r="GG240" s="4"/>
      <c r="JH240" s="1"/>
      <c r="JV240" s="1"/>
      <c r="KM240" s="4"/>
      <c r="LA240" s="4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</row>
    <row r="241" spans="1:376" x14ac:dyDescent="0.35">
      <c r="A241" s="14">
        <v>43732</v>
      </c>
      <c r="B241" s="16" t="s">
        <v>148</v>
      </c>
      <c r="C241" s="16" t="s">
        <v>402</v>
      </c>
      <c r="D241" s="1">
        <v>240</v>
      </c>
      <c r="E241" s="1">
        <v>5</v>
      </c>
      <c r="F241" s="1">
        <v>5</v>
      </c>
      <c r="H241" s="1">
        <v>60</v>
      </c>
      <c r="I241" s="1">
        <v>4</v>
      </c>
      <c r="K241" s="18">
        <v>1</v>
      </c>
      <c r="L241" s="18">
        <v>0</v>
      </c>
      <c r="M241" s="18">
        <v>1</v>
      </c>
      <c r="N241" s="18">
        <v>1</v>
      </c>
      <c r="O241" s="18">
        <v>0</v>
      </c>
      <c r="P241" s="4">
        <v>0.6</v>
      </c>
      <c r="Q241" s="3">
        <v>70</v>
      </c>
      <c r="R241" s="1">
        <v>54</v>
      </c>
      <c r="S241" s="1">
        <v>50</v>
      </c>
      <c r="T241" s="1">
        <v>82</v>
      </c>
      <c r="U241" s="1">
        <v>111</v>
      </c>
      <c r="V241" s="1">
        <v>110</v>
      </c>
      <c r="W241" s="1">
        <v>90</v>
      </c>
      <c r="X241" s="1">
        <v>101</v>
      </c>
      <c r="Y241" s="1">
        <v>106</v>
      </c>
      <c r="AI241" s="4"/>
      <c r="AJ241" s="4"/>
      <c r="AK241" s="4"/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9">
        <v>0</v>
      </c>
      <c r="AT241" s="19">
        <v>0</v>
      </c>
      <c r="AU241" s="19">
        <v>0</v>
      </c>
      <c r="AV241" s="19">
        <v>0</v>
      </c>
      <c r="AW241" s="19">
        <v>0</v>
      </c>
      <c r="AX241" s="19"/>
      <c r="AY241"/>
      <c r="AZ241"/>
      <c r="BA241"/>
      <c r="BB241"/>
      <c r="BC241"/>
      <c r="BP241" s="4"/>
      <c r="BQ241" s="4"/>
      <c r="BR241" s="4"/>
      <c r="BS241" s="4"/>
      <c r="BT241" s="4"/>
      <c r="BU241" s="4"/>
      <c r="CI241" s="1">
        <v>6</v>
      </c>
      <c r="CJ241" s="1">
        <v>7</v>
      </c>
      <c r="CK241" s="1">
        <v>7</v>
      </c>
      <c r="CL241" s="1">
        <v>7</v>
      </c>
      <c r="CM241" s="1">
        <v>5</v>
      </c>
      <c r="CN241" s="1">
        <v>6</v>
      </c>
      <c r="CO241" s="1">
        <v>6</v>
      </c>
      <c r="CP241" s="1">
        <v>2</v>
      </c>
      <c r="CQ241" s="1">
        <v>6</v>
      </c>
      <c r="CR241" s="1">
        <v>7</v>
      </c>
      <c r="CS241" s="1">
        <v>6</v>
      </c>
      <c r="CT241" s="1">
        <v>6</v>
      </c>
      <c r="CU241" s="1">
        <v>6</v>
      </c>
      <c r="CV241" s="1">
        <v>6</v>
      </c>
      <c r="CW241" s="1">
        <v>6</v>
      </c>
      <c r="CX241" s="1">
        <v>6</v>
      </c>
      <c r="CY241" s="1">
        <v>6</v>
      </c>
      <c r="CZ241" s="1">
        <v>7</v>
      </c>
      <c r="DA241" s="1">
        <v>6</v>
      </c>
      <c r="DB241" s="1">
        <v>7</v>
      </c>
      <c r="DC241" s="1">
        <v>7</v>
      </c>
      <c r="DD241" s="1">
        <v>6</v>
      </c>
      <c r="DE241" s="1">
        <v>6</v>
      </c>
      <c r="DF241" s="1">
        <v>6</v>
      </c>
      <c r="DG241" s="1">
        <v>6</v>
      </c>
      <c r="DH241" s="1">
        <v>6</v>
      </c>
      <c r="DI241" s="1">
        <v>6</v>
      </c>
      <c r="DJ241" s="1">
        <v>6</v>
      </c>
      <c r="DK241" s="1">
        <v>6</v>
      </c>
      <c r="DL241" s="1">
        <v>7</v>
      </c>
      <c r="DM241" s="19">
        <v>7</v>
      </c>
      <c r="DN241" s="19">
        <v>5</v>
      </c>
      <c r="DO241" s="1">
        <v>5</v>
      </c>
      <c r="DP241" s="1">
        <v>7</v>
      </c>
      <c r="DQ241" s="1">
        <v>7</v>
      </c>
      <c r="DR241" s="1">
        <v>6</v>
      </c>
      <c r="DS241" s="1">
        <v>7</v>
      </c>
      <c r="DT241" s="1">
        <v>6</v>
      </c>
      <c r="DU241" s="27">
        <v>7</v>
      </c>
      <c r="DV241" s="27">
        <v>7</v>
      </c>
      <c r="DW241" s="27">
        <v>5</v>
      </c>
      <c r="DX241" s="27">
        <v>2</v>
      </c>
      <c r="DY241" s="27">
        <v>1</v>
      </c>
      <c r="DZ241" s="27">
        <v>2</v>
      </c>
      <c r="EA241" s="27">
        <v>2</v>
      </c>
      <c r="EB241" s="27">
        <v>6</v>
      </c>
      <c r="EC241" s="27">
        <v>2</v>
      </c>
      <c r="ED241" s="27">
        <v>6</v>
      </c>
      <c r="EE241" s="27">
        <v>7</v>
      </c>
      <c r="EF241" s="27">
        <v>4</v>
      </c>
      <c r="EG241" s="27">
        <v>1</v>
      </c>
      <c r="EH241" s="27">
        <v>5</v>
      </c>
      <c r="EI241" s="27">
        <v>5</v>
      </c>
      <c r="EJ241" s="27">
        <v>2</v>
      </c>
      <c r="EK241" s="27">
        <v>1</v>
      </c>
      <c r="EL241" s="27">
        <v>4</v>
      </c>
      <c r="EM241" s="27">
        <v>3</v>
      </c>
      <c r="EN241" s="27">
        <v>3</v>
      </c>
      <c r="EO241" s="27">
        <v>6</v>
      </c>
      <c r="EP241" s="27">
        <v>7</v>
      </c>
      <c r="EQ241" s="27">
        <v>6</v>
      </c>
      <c r="ER241" s="27">
        <v>5</v>
      </c>
      <c r="ES241" s="27">
        <v>6</v>
      </c>
      <c r="ET241" s="27">
        <v>6</v>
      </c>
      <c r="EU241" s="27">
        <v>6</v>
      </c>
      <c r="EV241" s="27">
        <v>19</v>
      </c>
      <c r="EW241" s="27">
        <v>2</v>
      </c>
      <c r="EY241" s="27">
        <v>1</v>
      </c>
      <c r="FA241" s="27">
        <v>1</v>
      </c>
      <c r="FB241" s="28" t="s">
        <v>923</v>
      </c>
      <c r="FC241" s="27">
        <v>0</v>
      </c>
      <c r="FD241" s="1">
        <v>7</v>
      </c>
      <c r="FE241" s="4"/>
      <c r="FF241" s="4"/>
      <c r="FG241" s="4"/>
      <c r="FH241" s="4"/>
      <c r="FI241" s="4"/>
      <c r="FJ241" s="23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26"/>
      <c r="GF241" s="26"/>
      <c r="GG241" s="4"/>
      <c r="JH241" s="1"/>
      <c r="JV241" s="1"/>
      <c r="KM241" s="4"/>
      <c r="LA241" s="4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</row>
    <row r="242" spans="1:376" x14ac:dyDescent="0.35">
      <c r="A242" s="14">
        <v>43494</v>
      </c>
      <c r="B242" s="16" t="s">
        <v>149</v>
      </c>
      <c r="C242" s="16" t="s">
        <v>403</v>
      </c>
      <c r="D242" s="1">
        <v>241</v>
      </c>
      <c r="E242" s="1">
        <v>6</v>
      </c>
      <c r="F242" s="1">
        <v>6</v>
      </c>
      <c r="G242" s="1">
        <v>1</v>
      </c>
      <c r="H242" s="1">
        <v>61</v>
      </c>
      <c r="I242" s="1">
        <v>1</v>
      </c>
      <c r="J242" s="1">
        <v>1</v>
      </c>
      <c r="K242" s="18">
        <v>1</v>
      </c>
      <c r="L242" s="18">
        <v>1</v>
      </c>
      <c r="M242" s="18">
        <v>1</v>
      </c>
      <c r="N242" s="18">
        <v>1</v>
      </c>
      <c r="O242" s="18">
        <v>1</v>
      </c>
      <c r="P242" s="4">
        <v>1</v>
      </c>
      <c r="Q242" s="3">
        <v>41</v>
      </c>
      <c r="R242" s="1">
        <v>46</v>
      </c>
      <c r="S242" s="1">
        <v>48</v>
      </c>
      <c r="T242" s="1">
        <v>97</v>
      </c>
      <c r="U242" s="1">
        <v>96</v>
      </c>
      <c r="V242" s="1">
        <v>95</v>
      </c>
      <c r="W242" s="1">
        <v>101</v>
      </c>
      <c r="X242" s="1">
        <v>106</v>
      </c>
      <c r="Y242" s="1">
        <v>107</v>
      </c>
      <c r="Z242" s="1">
        <v>225</v>
      </c>
      <c r="AA242" s="1">
        <v>207</v>
      </c>
      <c r="AB242" s="1">
        <v>202</v>
      </c>
      <c r="AC242" s="1">
        <v>419</v>
      </c>
      <c r="AD242" s="1">
        <v>422</v>
      </c>
      <c r="AE242" s="1">
        <v>446</v>
      </c>
      <c r="AF242" s="1">
        <v>417</v>
      </c>
      <c r="AG242" s="1">
        <v>436</v>
      </c>
      <c r="AH242" s="1">
        <v>452</v>
      </c>
      <c r="AI242" s="4">
        <v>211.33</v>
      </c>
      <c r="AJ242" s="4">
        <v>429</v>
      </c>
      <c r="AK242" s="4">
        <v>435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9">
        <v>0</v>
      </c>
      <c r="AT242" s="19">
        <v>0</v>
      </c>
      <c r="AU242" s="19">
        <v>0</v>
      </c>
      <c r="AV242" s="19">
        <v>0</v>
      </c>
      <c r="AW242" s="19">
        <v>0</v>
      </c>
      <c r="AX242" s="19">
        <f t="shared" ref="AX242:BC242" si="120">AL242+AL243+AL244+AL245</f>
        <v>0</v>
      </c>
      <c r="AY242" s="19">
        <f t="shared" si="120"/>
        <v>0</v>
      </c>
      <c r="AZ242" s="19">
        <f t="shared" si="120"/>
        <v>0</v>
      </c>
      <c r="BA242" s="19">
        <f t="shared" si="120"/>
        <v>0</v>
      </c>
      <c r="BB242" s="19">
        <f t="shared" si="120"/>
        <v>0</v>
      </c>
      <c r="BC242" s="19">
        <f t="shared" si="120"/>
        <v>0</v>
      </c>
      <c r="BD242" s="1">
        <f>AX242*3</f>
        <v>0</v>
      </c>
      <c r="BE242" s="1">
        <f t="shared" ref="BE242:BI242" si="121">AY242*3</f>
        <v>0</v>
      </c>
      <c r="BF242" s="1">
        <f t="shared" si="121"/>
        <v>0</v>
      </c>
      <c r="BG242" s="1">
        <f t="shared" si="121"/>
        <v>0</v>
      </c>
      <c r="BH242" s="1">
        <f t="shared" si="121"/>
        <v>0</v>
      </c>
      <c r="BI242" s="1">
        <f t="shared" si="121"/>
        <v>0</v>
      </c>
      <c r="BJ242" s="1">
        <f>AX242+AY242+AZ242</f>
        <v>0</v>
      </c>
      <c r="BK242" s="1">
        <f>BA242+BB242+BC242</f>
        <v>0</v>
      </c>
      <c r="BL242" s="1">
        <f>BJ242*3</f>
        <v>0</v>
      </c>
      <c r="BM242" s="1">
        <f>BK242*3</f>
        <v>0</v>
      </c>
      <c r="BN242" s="1">
        <f>BL242/3</f>
        <v>0</v>
      </c>
      <c r="BO242" s="1">
        <f>BM242/3</f>
        <v>0</v>
      </c>
      <c r="BP242" s="4">
        <v>211.33333333333334</v>
      </c>
      <c r="BQ242" s="4">
        <v>429</v>
      </c>
      <c r="BR242" s="4">
        <v>435</v>
      </c>
      <c r="BS242" s="4">
        <v>429</v>
      </c>
      <c r="BT242" s="4">
        <v>435</v>
      </c>
      <c r="BU242" s="4">
        <v>4</v>
      </c>
      <c r="BV242" s="1">
        <v>3</v>
      </c>
      <c r="BW242" s="1">
        <v>3</v>
      </c>
      <c r="BX242" s="1">
        <v>4</v>
      </c>
      <c r="BY242" s="1">
        <v>4</v>
      </c>
      <c r="BZ242" s="1">
        <v>0</v>
      </c>
      <c r="CA242" s="1">
        <v>0</v>
      </c>
      <c r="CB242" s="1">
        <v>0</v>
      </c>
      <c r="CC242" s="1">
        <v>0</v>
      </c>
      <c r="CD242" s="1">
        <v>1</v>
      </c>
      <c r="CE242" s="1">
        <v>1</v>
      </c>
      <c r="CF242" s="1">
        <v>1</v>
      </c>
      <c r="CG242" s="1">
        <v>1</v>
      </c>
      <c r="CH242" s="1">
        <v>0</v>
      </c>
      <c r="CI242" s="1">
        <v>7</v>
      </c>
      <c r="CJ242" s="1">
        <v>7</v>
      </c>
      <c r="CK242" s="1">
        <v>7</v>
      </c>
      <c r="CL242" s="1">
        <v>7</v>
      </c>
      <c r="CM242" s="1">
        <v>7</v>
      </c>
      <c r="CN242" s="1">
        <v>7</v>
      </c>
      <c r="CO242" s="1">
        <v>7</v>
      </c>
      <c r="CP242" s="1">
        <v>1</v>
      </c>
      <c r="CQ242" s="1">
        <v>7</v>
      </c>
      <c r="CR242" s="1">
        <v>7</v>
      </c>
      <c r="CS242" s="1">
        <v>7</v>
      </c>
      <c r="CT242" s="1">
        <v>7</v>
      </c>
      <c r="CU242" s="1">
        <v>7</v>
      </c>
      <c r="CV242" s="1">
        <v>7</v>
      </c>
      <c r="CW242" s="1">
        <v>7</v>
      </c>
      <c r="CX242" s="1">
        <v>7</v>
      </c>
      <c r="CY242" s="1">
        <v>7</v>
      </c>
      <c r="CZ242" s="1">
        <v>7</v>
      </c>
      <c r="DA242" s="1">
        <v>7</v>
      </c>
      <c r="DB242" s="1">
        <v>7</v>
      </c>
      <c r="DC242" s="1">
        <v>7</v>
      </c>
      <c r="DD242" s="1">
        <v>7</v>
      </c>
      <c r="DE242" s="1">
        <v>7</v>
      </c>
      <c r="DF242" s="1">
        <v>1</v>
      </c>
      <c r="DG242" s="1">
        <v>1</v>
      </c>
      <c r="DH242" s="1">
        <v>1</v>
      </c>
      <c r="DI242" s="1">
        <v>7</v>
      </c>
      <c r="DJ242" s="1">
        <v>1</v>
      </c>
      <c r="DK242" s="1">
        <v>1</v>
      </c>
      <c r="DL242" s="1">
        <v>7</v>
      </c>
      <c r="DM242" s="19">
        <v>7</v>
      </c>
      <c r="DN242" s="19">
        <v>4</v>
      </c>
      <c r="DO242" s="1">
        <v>1</v>
      </c>
      <c r="DP242" s="1">
        <v>1</v>
      </c>
      <c r="DQ242" s="1">
        <v>7</v>
      </c>
      <c r="DR242" s="1">
        <v>7</v>
      </c>
      <c r="DS242" s="1">
        <v>7</v>
      </c>
      <c r="DT242" s="1">
        <v>7</v>
      </c>
      <c r="DU242" s="27">
        <v>7</v>
      </c>
      <c r="DV242" s="27">
        <v>7</v>
      </c>
      <c r="DW242" s="27">
        <v>4</v>
      </c>
      <c r="DX242" s="27">
        <v>4</v>
      </c>
      <c r="DY242" s="27">
        <v>4</v>
      </c>
      <c r="DZ242" s="27">
        <v>4</v>
      </c>
      <c r="EA242" s="27">
        <v>1</v>
      </c>
      <c r="EB242" s="27">
        <v>4</v>
      </c>
      <c r="EC242" s="27">
        <v>7</v>
      </c>
      <c r="ED242" s="27">
        <v>4</v>
      </c>
      <c r="EE242" s="27">
        <v>4</v>
      </c>
      <c r="EF242" s="27">
        <v>4</v>
      </c>
      <c r="EG242" s="27">
        <v>7</v>
      </c>
      <c r="EH242" s="27">
        <v>7</v>
      </c>
      <c r="EI242" s="27">
        <v>7</v>
      </c>
      <c r="EJ242" s="27">
        <v>7</v>
      </c>
      <c r="EK242" s="27">
        <v>7</v>
      </c>
      <c r="EL242" s="27">
        <v>7</v>
      </c>
      <c r="EM242" s="27">
        <v>1</v>
      </c>
      <c r="EN242" s="27">
        <v>1</v>
      </c>
      <c r="EO242" s="27">
        <v>7</v>
      </c>
      <c r="EP242" s="27">
        <v>7</v>
      </c>
      <c r="EQ242" s="27">
        <v>7</v>
      </c>
      <c r="ER242" s="27">
        <v>7</v>
      </c>
      <c r="ES242" s="27">
        <v>7</v>
      </c>
      <c r="ET242" s="27">
        <v>4</v>
      </c>
      <c r="EU242" s="27">
        <v>4</v>
      </c>
      <c r="EV242" s="27">
        <v>19</v>
      </c>
      <c r="EW242" s="27">
        <v>2</v>
      </c>
      <c r="EY242" s="27">
        <v>1</v>
      </c>
      <c r="FA242" s="27">
        <v>1</v>
      </c>
      <c r="FB242" s="28" t="s">
        <v>924</v>
      </c>
      <c r="FC242" s="27">
        <v>0</v>
      </c>
      <c r="FD242" s="1">
        <v>4</v>
      </c>
      <c r="FE242" s="4">
        <v>6.32</v>
      </c>
      <c r="FF242" s="4">
        <v>6.75</v>
      </c>
      <c r="FG242" s="4">
        <v>8.19</v>
      </c>
      <c r="FH242" s="4">
        <v>7</v>
      </c>
      <c r="FI242" s="4">
        <v>6.88</v>
      </c>
      <c r="FJ242" s="23">
        <v>6.75</v>
      </c>
      <c r="FK242" s="4">
        <v>3.79</v>
      </c>
      <c r="FL242" s="4">
        <v>6.88</v>
      </c>
      <c r="FM242" s="4">
        <v>3.75</v>
      </c>
      <c r="FN242" s="4">
        <v>4.63</v>
      </c>
      <c r="FO242" s="4">
        <v>6.33</v>
      </c>
      <c r="FP242" s="4">
        <v>5.58</v>
      </c>
      <c r="FQ242" s="4">
        <v>3.5</v>
      </c>
      <c r="FR242" s="4">
        <v>1</v>
      </c>
      <c r="FS242" s="4">
        <v>6</v>
      </c>
      <c r="FT242" s="4">
        <v>6</v>
      </c>
      <c r="FU242" s="4">
        <v>4.75</v>
      </c>
      <c r="FV242" s="4">
        <v>6.25</v>
      </c>
      <c r="FW242" s="4">
        <v>4.25</v>
      </c>
      <c r="FX242" s="4">
        <v>5.75</v>
      </c>
      <c r="FY242" s="4">
        <v>7</v>
      </c>
      <c r="FZ242" s="4">
        <v>7</v>
      </c>
      <c r="GA242" s="4">
        <v>1.1299999999999999</v>
      </c>
      <c r="GB242" s="4">
        <v>6.67</v>
      </c>
      <c r="GC242" s="4">
        <v>6.88</v>
      </c>
      <c r="GD242" s="4">
        <v>4.38</v>
      </c>
      <c r="GE242" s="26"/>
      <c r="GF242" s="26"/>
      <c r="GG242" s="4"/>
      <c r="JH242" s="1"/>
      <c r="JV242" s="1"/>
      <c r="KM242" s="4"/>
      <c r="LA242" s="4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</row>
    <row r="243" spans="1:376" x14ac:dyDescent="0.35">
      <c r="A243" s="14">
        <v>43494</v>
      </c>
      <c r="B243" s="16" t="s">
        <v>149</v>
      </c>
      <c r="C243" s="16" t="s">
        <v>404</v>
      </c>
      <c r="D243" s="1">
        <v>242</v>
      </c>
      <c r="E243" s="1">
        <v>6</v>
      </c>
      <c r="F243" s="1">
        <v>6</v>
      </c>
      <c r="H243" s="1">
        <v>61</v>
      </c>
      <c r="I243" s="1">
        <v>2</v>
      </c>
      <c r="K243" s="18">
        <v>0</v>
      </c>
      <c r="L243" s="18">
        <v>1</v>
      </c>
      <c r="M243" s="18">
        <v>0</v>
      </c>
      <c r="N243" s="18">
        <v>1</v>
      </c>
      <c r="O243" s="18">
        <v>0</v>
      </c>
      <c r="P243" s="4">
        <v>0.4</v>
      </c>
      <c r="Q243" s="3">
        <v>58</v>
      </c>
      <c r="R243" s="1">
        <v>47</v>
      </c>
      <c r="S243" s="1">
        <v>42</v>
      </c>
      <c r="T243" s="1">
        <v>100</v>
      </c>
      <c r="U243" s="1">
        <v>97</v>
      </c>
      <c r="V243" s="1">
        <v>122</v>
      </c>
      <c r="W243" s="1">
        <v>112</v>
      </c>
      <c r="X243" s="1">
        <v>112</v>
      </c>
      <c r="Y243" s="1">
        <v>109</v>
      </c>
      <c r="AI243" s="4"/>
      <c r="AJ243" s="4"/>
      <c r="AK243" s="4"/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9">
        <v>0</v>
      </c>
      <c r="AT243" s="19">
        <v>0</v>
      </c>
      <c r="AU243" s="19">
        <v>0</v>
      </c>
      <c r="AV243" s="19">
        <v>0</v>
      </c>
      <c r="AW243" s="19">
        <v>0</v>
      </c>
      <c r="AX243" s="19"/>
      <c r="AY243"/>
      <c r="AZ243"/>
      <c r="BA243"/>
      <c r="BB243"/>
      <c r="BC243"/>
      <c r="BP243" s="4"/>
      <c r="BQ243" s="4"/>
      <c r="BR243" s="4"/>
      <c r="BS243" s="4"/>
      <c r="BT243" s="4"/>
      <c r="BU243" s="4"/>
      <c r="CI243" s="1">
        <v>7</v>
      </c>
      <c r="CJ243" s="1">
        <v>7</v>
      </c>
      <c r="CK243" s="1">
        <v>7</v>
      </c>
      <c r="CL243" s="1">
        <v>6</v>
      </c>
      <c r="CM243" s="1">
        <v>6</v>
      </c>
      <c r="CN243" s="1">
        <v>7</v>
      </c>
      <c r="CO243" s="1">
        <v>6</v>
      </c>
      <c r="CP243" s="1">
        <v>1</v>
      </c>
      <c r="CQ243" s="1">
        <v>6</v>
      </c>
      <c r="CR243" s="1">
        <v>7</v>
      </c>
      <c r="CS243" s="1">
        <v>7</v>
      </c>
      <c r="CT243" s="1">
        <v>7</v>
      </c>
      <c r="CU243" s="1">
        <v>7</v>
      </c>
      <c r="CV243" s="1">
        <v>7</v>
      </c>
      <c r="CW243" s="1">
        <v>4</v>
      </c>
      <c r="CX243" s="1">
        <v>5</v>
      </c>
      <c r="CY243" s="1">
        <v>7</v>
      </c>
      <c r="CZ243" s="1">
        <v>7</v>
      </c>
      <c r="DA243" s="1">
        <v>7</v>
      </c>
      <c r="DB243" s="1">
        <v>7</v>
      </c>
      <c r="DC243" s="1">
        <v>7</v>
      </c>
      <c r="DD243" s="1">
        <v>7</v>
      </c>
      <c r="DE243" s="1">
        <v>7</v>
      </c>
      <c r="DF243" s="1">
        <v>7</v>
      </c>
      <c r="DG243" s="1">
        <v>2</v>
      </c>
      <c r="DH243" s="1">
        <v>6</v>
      </c>
      <c r="DI243" s="1">
        <v>6</v>
      </c>
      <c r="DJ243" s="1">
        <v>7</v>
      </c>
      <c r="DK243" s="1">
        <v>6</v>
      </c>
      <c r="DL243" s="1">
        <v>7</v>
      </c>
      <c r="DM243" s="19">
        <v>7</v>
      </c>
      <c r="DN243" s="19">
        <v>4</v>
      </c>
      <c r="DO243" s="1">
        <v>1</v>
      </c>
      <c r="DP243" s="1">
        <v>5</v>
      </c>
      <c r="DQ243" s="1">
        <v>6</v>
      </c>
      <c r="DR243" s="1">
        <v>6</v>
      </c>
      <c r="DS243" s="1">
        <v>6</v>
      </c>
      <c r="DT243" s="1">
        <v>5</v>
      </c>
      <c r="DU243" s="27">
        <v>7</v>
      </c>
      <c r="DV243" s="27">
        <v>7</v>
      </c>
      <c r="DW243" s="27">
        <v>4</v>
      </c>
      <c r="DX243" s="27">
        <v>4</v>
      </c>
      <c r="DY243" s="27">
        <v>2</v>
      </c>
      <c r="DZ243" s="27">
        <v>4</v>
      </c>
      <c r="EA243" s="27">
        <v>1</v>
      </c>
      <c r="EB243" s="27">
        <v>7</v>
      </c>
      <c r="EC243" s="27">
        <v>7</v>
      </c>
      <c r="ED243" s="27">
        <v>4</v>
      </c>
      <c r="EE243" s="27">
        <v>7</v>
      </c>
      <c r="EF243" s="27">
        <v>6</v>
      </c>
      <c r="EG243" s="27">
        <v>4</v>
      </c>
      <c r="EH243" s="27">
        <v>7</v>
      </c>
      <c r="EI243" s="27">
        <v>7</v>
      </c>
      <c r="EJ243" s="27">
        <v>7</v>
      </c>
      <c r="EK243" s="27">
        <v>7</v>
      </c>
      <c r="EL243" s="27">
        <v>7</v>
      </c>
      <c r="EM243" s="27">
        <v>1</v>
      </c>
      <c r="EN243" s="27">
        <v>2</v>
      </c>
      <c r="EO243" s="27">
        <v>6</v>
      </c>
      <c r="EP243" s="27">
        <v>6</v>
      </c>
      <c r="EQ243" s="27">
        <v>6</v>
      </c>
      <c r="ER243" s="27">
        <v>6</v>
      </c>
      <c r="ES243" s="27">
        <v>7</v>
      </c>
      <c r="ET243" s="27">
        <v>4</v>
      </c>
      <c r="EU243" s="27">
        <v>4</v>
      </c>
      <c r="EV243" s="27">
        <v>19</v>
      </c>
      <c r="EW243" s="27">
        <v>2</v>
      </c>
      <c r="EY243" s="27">
        <v>2</v>
      </c>
      <c r="FA243" s="27">
        <v>1</v>
      </c>
      <c r="FB243" s="28" t="s">
        <v>925</v>
      </c>
      <c r="FC243" s="27">
        <v>1</v>
      </c>
      <c r="FD243" s="1">
        <v>2</v>
      </c>
      <c r="FE243" s="4"/>
      <c r="FF243" s="4"/>
      <c r="FG243" s="4"/>
      <c r="FH243" s="4"/>
      <c r="FI243" s="4"/>
      <c r="FJ243" s="23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26"/>
      <c r="GF243" s="26"/>
      <c r="GG243" s="4"/>
      <c r="JH243" s="1"/>
      <c r="JV243" s="1"/>
      <c r="KM243" s="4"/>
      <c r="LA243" s="4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</row>
    <row r="244" spans="1:376" x14ac:dyDescent="0.35">
      <c r="A244" s="14">
        <v>43494</v>
      </c>
      <c r="B244" s="16" t="s">
        <v>149</v>
      </c>
      <c r="C244" s="16" t="s">
        <v>405</v>
      </c>
      <c r="D244" s="1">
        <v>243</v>
      </c>
      <c r="E244" s="1">
        <v>6</v>
      </c>
      <c r="F244" s="1">
        <v>6</v>
      </c>
      <c r="H244" s="1">
        <v>61</v>
      </c>
      <c r="I244" s="1">
        <v>3</v>
      </c>
      <c r="K244" s="18">
        <v>0</v>
      </c>
      <c r="L244" s="18">
        <v>1</v>
      </c>
      <c r="M244" s="18">
        <v>0</v>
      </c>
      <c r="N244" s="18">
        <v>1</v>
      </c>
      <c r="O244" s="18">
        <v>0</v>
      </c>
      <c r="P244" s="4">
        <v>0.4</v>
      </c>
      <c r="Q244" s="3">
        <v>68</v>
      </c>
      <c r="R244" s="1">
        <v>60</v>
      </c>
      <c r="S244" s="1">
        <v>55</v>
      </c>
      <c r="T244" s="1">
        <v>113</v>
      </c>
      <c r="U244" s="1">
        <v>115</v>
      </c>
      <c r="V244" s="1">
        <v>118</v>
      </c>
      <c r="W244" s="1">
        <v>109</v>
      </c>
      <c r="X244" s="1">
        <v>120</v>
      </c>
      <c r="Y244" s="1">
        <v>128</v>
      </c>
      <c r="AI244" s="4"/>
      <c r="AJ244" s="4"/>
      <c r="AK244" s="4"/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9">
        <v>0</v>
      </c>
      <c r="AT244" s="19">
        <v>0</v>
      </c>
      <c r="AU244" s="19">
        <v>0</v>
      </c>
      <c r="AV244" s="19">
        <v>0</v>
      </c>
      <c r="AW244" s="19">
        <v>0</v>
      </c>
      <c r="AX244" s="19"/>
      <c r="AY244"/>
      <c r="AZ244"/>
      <c r="BA244"/>
      <c r="BB244"/>
      <c r="BC244"/>
      <c r="BP244" s="4"/>
      <c r="BQ244" s="4"/>
      <c r="BR244" s="4"/>
      <c r="BS244" s="4"/>
      <c r="BT244" s="4"/>
      <c r="BU244" s="4"/>
      <c r="CI244" s="1">
        <v>7</v>
      </c>
      <c r="CJ244" s="1">
        <v>7</v>
      </c>
      <c r="CK244" s="1">
        <v>7</v>
      </c>
      <c r="CL244" s="1">
        <v>7</v>
      </c>
      <c r="CM244" s="1">
        <v>5</v>
      </c>
      <c r="CN244" s="1">
        <v>7</v>
      </c>
      <c r="CO244" s="1">
        <v>3</v>
      </c>
      <c r="CP244" s="1">
        <v>1</v>
      </c>
      <c r="CQ244" s="1">
        <v>7</v>
      </c>
      <c r="CR244" s="1">
        <v>7</v>
      </c>
      <c r="CS244" s="1">
        <v>7</v>
      </c>
      <c r="CT244" s="1">
        <v>7</v>
      </c>
      <c r="CU244" s="1">
        <v>7</v>
      </c>
      <c r="CV244" s="1">
        <v>7</v>
      </c>
      <c r="CW244" s="1">
        <v>7</v>
      </c>
      <c r="CX244" s="1">
        <v>7</v>
      </c>
      <c r="CY244" s="1">
        <v>7</v>
      </c>
      <c r="CZ244" s="1">
        <v>7</v>
      </c>
      <c r="DA244" s="1">
        <v>7</v>
      </c>
      <c r="DB244" s="1">
        <v>7</v>
      </c>
      <c r="DC244" s="1">
        <v>6</v>
      </c>
      <c r="DD244" s="1">
        <v>7</v>
      </c>
      <c r="DE244" s="1">
        <v>6</v>
      </c>
      <c r="DF244" s="1">
        <v>5</v>
      </c>
      <c r="DG244" s="1">
        <v>2</v>
      </c>
      <c r="DH244" s="1">
        <v>2</v>
      </c>
      <c r="DI244" s="1">
        <v>5</v>
      </c>
      <c r="DJ244" s="1">
        <v>2</v>
      </c>
      <c r="DK244" s="1">
        <v>1</v>
      </c>
      <c r="DL244" s="1">
        <v>7</v>
      </c>
      <c r="DM244" s="19">
        <v>7</v>
      </c>
      <c r="DN244" s="19">
        <v>5</v>
      </c>
      <c r="DO244" s="1">
        <v>1</v>
      </c>
      <c r="DP244" s="1">
        <v>2</v>
      </c>
      <c r="DQ244" s="1">
        <v>4</v>
      </c>
      <c r="DR244" s="1">
        <v>5</v>
      </c>
      <c r="DS244" s="1">
        <v>7</v>
      </c>
      <c r="DT244" s="1">
        <v>6</v>
      </c>
      <c r="DU244" s="27">
        <v>7</v>
      </c>
      <c r="DV244" s="27">
        <v>6</v>
      </c>
      <c r="DW244" s="27">
        <v>1</v>
      </c>
      <c r="DX244" s="27">
        <v>4</v>
      </c>
      <c r="DY244" s="27">
        <v>2</v>
      </c>
      <c r="DZ244" s="27">
        <v>1</v>
      </c>
      <c r="EA244" s="27">
        <v>1</v>
      </c>
      <c r="EB244" s="27">
        <v>6</v>
      </c>
      <c r="EC244" s="27">
        <v>4</v>
      </c>
      <c r="ED244" s="27">
        <v>5</v>
      </c>
      <c r="EE244" s="27">
        <v>7</v>
      </c>
      <c r="EF244" s="27">
        <v>1</v>
      </c>
      <c r="EG244" s="27">
        <v>5</v>
      </c>
      <c r="EH244" s="27">
        <v>7</v>
      </c>
      <c r="EI244" s="27">
        <v>7</v>
      </c>
      <c r="EJ244" s="27">
        <v>7</v>
      </c>
      <c r="EK244" s="27">
        <v>7</v>
      </c>
      <c r="EL244" s="27">
        <v>7</v>
      </c>
      <c r="EM244" s="27">
        <v>1</v>
      </c>
      <c r="EN244" s="27">
        <v>1</v>
      </c>
      <c r="EO244" s="27">
        <v>7</v>
      </c>
      <c r="EP244" s="27">
        <v>7</v>
      </c>
      <c r="EQ244" s="27">
        <v>7</v>
      </c>
      <c r="ER244" s="27">
        <v>7</v>
      </c>
      <c r="ES244" s="27">
        <v>7</v>
      </c>
      <c r="ET244" s="27">
        <v>5</v>
      </c>
      <c r="EU244" s="27">
        <v>4</v>
      </c>
      <c r="EV244" s="27">
        <v>18</v>
      </c>
      <c r="EW244" s="27">
        <v>2</v>
      </c>
      <c r="EY244" s="27">
        <v>1</v>
      </c>
      <c r="FA244" s="27">
        <v>1</v>
      </c>
      <c r="FB244" s="28" t="s">
        <v>910</v>
      </c>
      <c r="FC244" s="27">
        <v>1</v>
      </c>
      <c r="FD244" s="1">
        <v>7</v>
      </c>
      <c r="FE244" s="4"/>
      <c r="FF244" s="4"/>
      <c r="FG244" s="4"/>
      <c r="FH244" s="4"/>
      <c r="FI244" s="4"/>
      <c r="FJ244" s="23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26"/>
      <c r="GF244" s="26"/>
      <c r="GG244" s="4"/>
      <c r="JH244" s="1"/>
      <c r="JV244" s="1"/>
      <c r="KM244" s="4"/>
      <c r="LA244" s="4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</row>
    <row r="245" spans="1:376" x14ac:dyDescent="0.35">
      <c r="A245" s="14">
        <v>43494</v>
      </c>
      <c r="B245" s="16" t="s">
        <v>149</v>
      </c>
      <c r="C245" s="17" t="s">
        <v>406</v>
      </c>
      <c r="D245" s="1">
        <v>244</v>
      </c>
      <c r="E245" s="1">
        <v>6</v>
      </c>
      <c r="F245" s="1">
        <v>6</v>
      </c>
      <c r="H245" s="1">
        <v>61</v>
      </c>
      <c r="I245" s="1">
        <v>4</v>
      </c>
      <c r="K245" s="18">
        <v>0</v>
      </c>
      <c r="L245" s="18">
        <v>0</v>
      </c>
      <c r="M245" s="18">
        <v>1</v>
      </c>
      <c r="N245" s="18">
        <v>1</v>
      </c>
      <c r="O245" s="18">
        <v>1</v>
      </c>
      <c r="P245" s="4">
        <v>0.6</v>
      </c>
      <c r="Q245" s="3">
        <v>58</v>
      </c>
      <c r="R245" s="1">
        <v>54</v>
      </c>
      <c r="S245" s="1">
        <v>57</v>
      </c>
      <c r="T245" s="1">
        <v>109</v>
      </c>
      <c r="U245" s="1">
        <v>114</v>
      </c>
      <c r="V245" s="1">
        <v>111</v>
      </c>
      <c r="W245" s="1">
        <v>95</v>
      </c>
      <c r="X245" s="1">
        <v>98</v>
      </c>
      <c r="Y245" s="1">
        <v>108</v>
      </c>
      <c r="AI245" s="4"/>
      <c r="AJ245" s="4"/>
      <c r="AK245" s="4"/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9">
        <v>0</v>
      </c>
      <c r="AT245" s="19">
        <v>0</v>
      </c>
      <c r="AU245" s="19">
        <v>0</v>
      </c>
      <c r="AV245" s="19">
        <v>0</v>
      </c>
      <c r="AW245" s="19">
        <v>0</v>
      </c>
      <c r="AX245" s="19"/>
      <c r="AY245"/>
      <c r="AZ245"/>
      <c r="BA245"/>
      <c r="BB245"/>
      <c r="BC245"/>
      <c r="BP245" s="4"/>
      <c r="BQ245" s="4"/>
      <c r="BR245" s="4"/>
      <c r="BS245" s="4"/>
      <c r="BT245" s="4"/>
      <c r="BU245" s="4"/>
      <c r="CI245" s="1">
        <v>7</v>
      </c>
      <c r="CJ245" s="1">
        <v>7</v>
      </c>
      <c r="CK245" s="1">
        <v>7</v>
      </c>
      <c r="CL245" s="1">
        <v>5</v>
      </c>
      <c r="CM245" s="1">
        <v>4</v>
      </c>
      <c r="CN245" s="1">
        <v>3</v>
      </c>
      <c r="CO245" s="1">
        <v>6</v>
      </c>
      <c r="CP245" s="1">
        <v>4</v>
      </c>
      <c r="CQ245" s="1">
        <v>7</v>
      </c>
      <c r="CR245" s="1">
        <v>7</v>
      </c>
      <c r="CS245" s="1">
        <v>7</v>
      </c>
      <c r="CT245" s="1">
        <v>4</v>
      </c>
      <c r="CU245" s="1">
        <v>6</v>
      </c>
      <c r="CV245" s="1">
        <v>7</v>
      </c>
      <c r="CW245" s="1">
        <v>7</v>
      </c>
      <c r="CX245" s="1">
        <v>6</v>
      </c>
      <c r="CY245" s="1">
        <v>5</v>
      </c>
      <c r="CZ245" s="1">
        <v>7</v>
      </c>
      <c r="DA245" s="1">
        <v>7</v>
      </c>
      <c r="DB245" s="1">
        <v>7</v>
      </c>
      <c r="DC245" s="1">
        <v>7</v>
      </c>
      <c r="DD245" s="1">
        <v>7</v>
      </c>
      <c r="DE245" s="1">
        <v>7</v>
      </c>
      <c r="DF245" s="1">
        <v>5</v>
      </c>
      <c r="DG245" s="1">
        <v>5</v>
      </c>
      <c r="DH245" s="1">
        <v>5</v>
      </c>
      <c r="DI245" s="1">
        <v>3</v>
      </c>
      <c r="DJ245" s="1">
        <v>4</v>
      </c>
      <c r="DK245" s="1">
        <v>6</v>
      </c>
      <c r="DL245" s="1">
        <v>7</v>
      </c>
      <c r="DM245" s="19">
        <v>6</v>
      </c>
      <c r="DN245" s="19">
        <v>7</v>
      </c>
      <c r="DO245" s="1">
        <v>7</v>
      </c>
      <c r="DP245" s="1">
        <v>6</v>
      </c>
      <c r="DQ245" s="1">
        <v>6</v>
      </c>
      <c r="DR245" s="1">
        <v>6</v>
      </c>
      <c r="DS245" s="1">
        <v>7</v>
      </c>
      <c r="DT245" s="1">
        <v>7</v>
      </c>
      <c r="DU245" s="27">
        <v>7</v>
      </c>
      <c r="DV245" s="27">
        <v>7</v>
      </c>
      <c r="DW245" s="27">
        <v>3</v>
      </c>
      <c r="DX245" s="27">
        <v>7</v>
      </c>
      <c r="DY245" s="27">
        <v>1</v>
      </c>
      <c r="DZ245" s="27">
        <v>3</v>
      </c>
      <c r="EA245" s="27">
        <v>1</v>
      </c>
      <c r="EB245" s="27">
        <v>7</v>
      </c>
      <c r="EC245" s="27">
        <v>6</v>
      </c>
      <c r="ED245" s="27">
        <v>6</v>
      </c>
      <c r="EE245" s="27">
        <v>7</v>
      </c>
      <c r="EF245" s="27">
        <v>6</v>
      </c>
      <c r="EG245" s="27">
        <v>7</v>
      </c>
      <c r="EH245" s="27">
        <v>7</v>
      </c>
      <c r="EI245" s="27">
        <v>7</v>
      </c>
      <c r="EJ245" s="27">
        <v>7</v>
      </c>
      <c r="EK245" s="27">
        <v>7</v>
      </c>
      <c r="EL245" s="27">
        <v>7</v>
      </c>
      <c r="EM245" s="27">
        <v>1</v>
      </c>
      <c r="EN245" s="27">
        <v>1</v>
      </c>
      <c r="EO245" s="27">
        <v>7</v>
      </c>
      <c r="EP245" s="27">
        <v>7</v>
      </c>
      <c r="EQ245" s="27">
        <v>6</v>
      </c>
      <c r="ER245" s="27">
        <v>7</v>
      </c>
      <c r="ES245" s="27">
        <v>7</v>
      </c>
      <c r="ET245" s="27">
        <v>5</v>
      </c>
      <c r="EU245" s="27">
        <v>5</v>
      </c>
      <c r="EV245" s="27">
        <v>19</v>
      </c>
      <c r="EW245" s="27">
        <v>2</v>
      </c>
      <c r="EY245" s="27">
        <v>1</v>
      </c>
      <c r="FA245" s="27">
        <v>1</v>
      </c>
      <c r="FB245" s="28" t="s">
        <v>926</v>
      </c>
      <c r="FC245" s="27">
        <v>1</v>
      </c>
      <c r="FD245" s="1">
        <v>6</v>
      </c>
      <c r="FE245" s="4"/>
      <c r="FF245" s="4"/>
      <c r="FG245" s="4"/>
      <c r="FH245" s="4"/>
      <c r="FI245" s="4"/>
      <c r="FJ245" s="23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26"/>
      <c r="GF245" s="26"/>
      <c r="GG245" s="4"/>
      <c r="JH245" s="1"/>
      <c r="JV245" s="1"/>
      <c r="KM245" s="4"/>
      <c r="LA245" s="4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</row>
    <row r="246" spans="1:376" x14ac:dyDescent="0.35">
      <c r="A246" s="14">
        <v>43494</v>
      </c>
      <c r="B246" s="16" t="s">
        <v>150</v>
      </c>
      <c r="C246" s="16" t="s">
        <v>407</v>
      </c>
      <c r="D246" s="1">
        <v>245</v>
      </c>
      <c r="E246" s="1">
        <v>6</v>
      </c>
      <c r="F246" s="1">
        <v>6</v>
      </c>
      <c r="G246" s="1">
        <v>1</v>
      </c>
      <c r="H246" s="1">
        <v>62</v>
      </c>
      <c r="I246" s="1">
        <v>1</v>
      </c>
      <c r="J246" s="1">
        <v>1</v>
      </c>
      <c r="K246" s="18">
        <v>1</v>
      </c>
      <c r="L246" s="18">
        <v>1</v>
      </c>
      <c r="M246" s="18">
        <v>1</v>
      </c>
      <c r="N246" s="18">
        <v>1</v>
      </c>
      <c r="O246" s="18">
        <v>0</v>
      </c>
      <c r="P246" s="4">
        <v>0.8</v>
      </c>
      <c r="Q246" s="3">
        <v>60</v>
      </c>
      <c r="R246" s="1">
        <v>80</v>
      </c>
      <c r="S246" s="1">
        <v>56</v>
      </c>
      <c r="T246" s="1">
        <v>126</v>
      </c>
      <c r="U246" s="1">
        <v>101</v>
      </c>
      <c r="V246" s="1">
        <v>95</v>
      </c>
      <c r="W246" s="1">
        <v>121</v>
      </c>
      <c r="X246" s="1">
        <v>110</v>
      </c>
      <c r="Y246" s="1">
        <v>98</v>
      </c>
      <c r="Z246" s="1">
        <v>199</v>
      </c>
      <c r="AA246" s="1">
        <v>179</v>
      </c>
      <c r="AB246" s="1">
        <v>91</v>
      </c>
      <c r="AC246" s="1">
        <v>416</v>
      </c>
      <c r="AD246" s="1">
        <v>396</v>
      </c>
      <c r="AE246" s="1">
        <v>400</v>
      </c>
      <c r="AF246" s="1">
        <v>369</v>
      </c>
      <c r="AG246" s="1">
        <v>341</v>
      </c>
      <c r="AH246" s="1">
        <v>348</v>
      </c>
      <c r="AI246" s="4">
        <v>156.33000000000001</v>
      </c>
      <c r="AJ246" s="4">
        <v>404</v>
      </c>
      <c r="AK246" s="4">
        <v>352.67</v>
      </c>
      <c r="AL246" s="1">
        <v>1</v>
      </c>
      <c r="AM246" s="1">
        <v>0</v>
      </c>
      <c r="AN246" s="1">
        <v>20</v>
      </c>
      <c r="AO246" s="1">
        <v>0</v>
      </c>
      <c r="AP246" s="1">
        <v>0</v>
      </c>
      <c r="AQ246" s="1">
        <v>0</v>
      </c>
      <c r="AR246" s="1">
        <v>4</v>
      </c>
      <c r="AS246" s="19">
        <v>0</v>
      </c>
      <c r="AT246" s="19">
        <v>0</v>
      </c>
      <c r="AU246" s="19">
        <v>0</v>
      </c>
      <c r="AV246" s="19">
        <v>0</v>
      </c>
      <c r="AW246" s="19">
        <v>0</v>
      </c>
      <c r="AX246" s="19">
        <f t="shared" ref="AX246:BC246" si="122">AL246+AL247+AL248+AL249</f>
        <v>8</v>
      </c>
      <c r="AY246" s="19">
        <f t="shared" si="122"/>
        <v>12</v>
      </c>
      <c r="AZ246" s="19">
        <f t="shared" si="122"/>
        <v>39</v>
      </c>
      <c r="BA246" s="19">
        <f t="shared" si="122"/>
        <v>0</v>
      </c>
      <c r="BB246" s="19">
        <f t="shared" si="122"/>
        <v>0</v>
      </c>
      <c r="BC246" s="19">
        <f t="shared" si="122"/>
        <v>0</v>
      </c>
      <c r="BD246" s="1">
        <f>AX246*3</f>
        <v>24</v>
      </c>
      <c r="BE246" s="1">
        <f t="shared" ref="BE246:BI246" si="123">AY246*3</f>
        <v>36</v>
      </c>
      <c r="BF246" s="1">
        <f t="shared" si="123"/>
        <v>117</v>
      </c>
      <c r="BG246" s="1">
        <f t="shared" si="123"/>
        <v>0</v>
      </c>
      <c r="BH246" s="1">
        <f t="shared" si="123"/>
        <v>0</v>
      </c>
      <c r="BI246" s="1">
        <f t="shared" si="123"/>
        <v>0</v>
      </c>
      <c r="BJ246" s="1">
        <f>AX246+AY246+AZ246</f>
        <v>59</v>
      </c>
      <c r="BK246" s="1">
        <f>BA246+BB246+BC246</f>
        <v>0</v>
      </c>
      <c r="BL246" s="1">
        <f>BJ246*3</f>
        <v>177</v>
      </c>
      <c r="BM246" s="1">
        <f>BK246*3</f>
        <v>0</v>
      </c>
      <c r="BN246" s="1">
        <f>BL246/3</f>
        <v>59</v>
      </c>
      <c r="BO246" s="1">
        <f>BM246/3</f>
        <v>0</v>
      </c>
      <c r="BP246" s="4">
        <v>97.333333333333343</v>
      </c>
      <c r="BQ246" s="4">
        <v>404</v>
      </c>
      <c r="BR246" s="4">
        <v>352.66666666666669</v>
      </c>
      <c r="BS246" s="4">
        <v>404</v>
      </c>
      <c r="BT246" s="4">
        <v>352.67</v>
      </c>
      <c r="BU246" s="4">
        <v>3.8</v>
      </c>
      <c r="BV246" s="1">
        <v>4</v>
      </c>
      <c r="BW246" s="1">
        <v>4</v>
      </c>
      <c r="BX246" s="1">
        <v>4</v>
      </c>
      <c r="BY246" s="1">
        <v>4</v>
      </c>
      <c r="BZ246" s="1">
        <v>3</v>
      </c>
      <c r="CA246" s="1">
        <v>3</v>
      </c>
      <c r="CB246" s="1">
        <v>3</v>
      </c>
      <c r="CC246" s="1">
        <v>3</v>
      </c>
      <c r="CD246" s="1">
        <v>3</v>
      </c>
      <c r="CE246" s="1">
        <v>3</v>
      </c>
      <c r="CF246" s="1">
        <v>3</v>
      </c>
      <c r="CG246" s="1">
        <v>3</v>
      </c>
      <c r="CH246" s="1">
        <v>1</v>
      </c>
      <c r="CI246" s="1">
        <v>6</v>
      </c>
      <c r="CJ246" s="1">
        <v>6</v>
      </c>
      <c r="CK246" s="1">
        <v>6</v>
      </c>
      <c r="CL246" s="1">
        <v>6</v>
      </c>
      <c r="CM246" s="1">
        <v>5</v>
      </c>
      <c r="CN246" s="1">
        <v>6</v>
      </c>
      <c r="CO246" s="1">
        <v>4</v>
      </c>
      <c r="CP246" s="1">
        <v>2</v>
      </c>
      <c r="CQ246" s="1">
        <v>6</v>
      </c>
      <c r="CR246" s="1">
        <v>6</v>
      </c>
      <c r="CS246" s="1">
        <v>6</v>
      </c>
      <c r="CT246" s="1">
        <v>6</v>
      </c>
      <c r="CU246" s="1">
        <v>4</v>
      </c>
      <c r="CV246" s="1">
        <v>6</v>
      </c>
      <c r="CW246" s="1">
        <v>6</v>
      </c>
      <c r="CX246" s="1">
        <v>6</v>
      </c>
      <c r="CY246" s="1">
        <v>4</v>
      </c>
      <c r="CZ246" s="1">
        <v>1</v>
      </c>
      <c r="DA246" s="1">
        <v>1</v>
      </c>
      <c r="DB246" s="1">
        <v>1</v>
      </c>
      <c r="DC246" s="1">
        <v>5</v>
      </c>
      <c r="DD246" s="1">
        <v>2</v>
      </c>
      <c r="DE246" s="1">
        <v>6</v>
      </c>
      <c r="DF246" s="1">
        <v>1</v>
      </c>
      <c r="DG246" s="1">
        <v>1</v>
      </c>
      <c r="DH246" s="1">
        <v>5</v>
      </c>
      <c r="DI246" s="1">
        <v>1</v>
      </c>
      <c r="DJ246" s="1">
        <v>2</v>
      </c>
      <c r="DK246" s="1">
        <v>1</v>
      </c>
      <c r="DL246" s="1">
        <v>4</v>
      </c>
      <c r="DM246" s="19">
        <v>6</v>
      </c>
      <c r="DN246" s="19">
        <v>7</v>
      </c>
      <c r="DO246" s="1">
        <v>7</v>
      </c>
      <c r="DP246" s="1">
        <v>1</v>
      </c>
      <c r="DQ246" s="1">
        <v>1</v>
      </c>
      <c r="DR246" s="1">
        <v>5</v>
      </c>
      <c r="DS246" s="1">
        <v>6</v>
      </c>
      <c r="DT246" s="1">
        <v>6</v>
      </c>
      <c r="DU246" s="27">
        <v>4</v>
      </c>
      <c r="DV246" s="27">
        <v>2</v>
      </c>
      <c r="DW246" s="27">
        <v>1</v>
      </c>
      <c r="DX246" s="27">
        <v>2</v>
      </c>
      <c r="DY246" s="27">
        <v>6</v>
      </c>
      <c r="DZ246" s="27">
        <v>6</v>
      </c>
      <c r="EA246" s="27">
        <v>7</v>
      </c>
      <c r="EB246" s="27">
        <v>2</v>
      </c>
      <c r="EC246" s="27">
        <v>1</v>
      </c>
      <c r="ED246" s="27">
        <v>1</v>
      </c>
      <c r="EE246" s="27">
        <v>1</v>
      </c>
      <c r="EF246" s="27">
        <v>1</v>
      </c>
      <c r="EG246" s="27">
        <v>2</v>
      </c>
      <c r="EH246" s="27">
        <v>6</v>
      </c>
      <c r="EI246" s="27">
        <v>6</v>
      </c>
      <c r="EJ246" s="27">
        <v>6</v>
      </c>
      <c r="EK246" s="27">
        <v>7</v>
      </c>
      <c r="EL246" s="27">
        <v>7</v>
      </c>
      <c r="EM246" s="27">
        <v>2</v>
      </c>
      <c r="EN246" s="27">
        <v>2</v>
      </c>
      <c r="EO246" s="27">
        <v>6</v>
      </c>
      <c r="EP246" s="27">
        <v>6</v>
      </c>
      <c r="EQ246" s="27">
        <v>6</v>
      </c>
      <c r="ER246" s="27">
        <v>6</v>
      </c>
      <c r="ES246" s="27">
        <v>6</v>
      </c>
      <c r="ET246" s="27">
        <v>4</v>
      </c>
      <c r="EU246" s="27">
        <v>4</v>
      </c>
      <c r="EV246" s="27">
        <v>18</v>
      </c>
      <c r="EW246" s="27">
        <v>1</v>
      </c>
      <c r="EY246" s="27">
        <v>1</v>
      </c>
      <c r="FA246" s="27">
        <v>1</v>
      </c>
      <c r="FB246" s="28" t="s">
        <v>927</v>
      </c>
      <c r="FC246" s="27">
        <v>0</v>
      </c>
      <c r="FD246" s="1">
        <v>5</v>
      </c>
      <c r="FE246" s="4">
        <v>5.86</v>
      </c>
      <c r="FF246" s="4">
        <v>6.5</v>
      </c>
      <c r="FG246" s="4">
        <v>7.5</v>
      </c>
      <c r="FH246" s="4">
        <v>5.42</v>
      </c>
      <c r="FI246" s="4">
        <v>5.75</v>
      </c>
      <c r="FJ246" s="23">
        <v>6.25</v>
      </c>
      <c r="FK246" s="4">
        <v>4.79</v>
      </c>
      <c r="FL246" s="4">
        <v>6.38</v>
      </c>
      <c r="FM246" s="4">
        <v>6.13</v>
      </c>
      <c r="FN246" s="4">
        <v>5.25</v>
      </c>
      <c r="FO246" s="4">
        <v>6.08</v>
      </c>
      <c r="FP246" s="4">
        <v>4.08</v>
      </c>
      <c r="FQ246" s="4">
        <v>5.13</v>
      </c>
      <c r="FR246" s="4">
        <v>4</v>
      </c>
      <c r="FS246" s="4">
        <v>3.5</v>
      </c>
      <c r="FT246" s="4">
        <v>4.75</v>
      </c>
      <c r="FU246" s="4">
        <v>2.25</v>
      </c>
      <c r="FV246" s="4">
        <v>3.25</v>
      </c>
      <c r="FW246" s="4">
        <v>2.75</v>
      </c>
      <c r="FX246" s="4">
        <v>4.5</v>
      </c>
      <c r="FY246" s="4">
        <v>6.75</v>
      </c>
      <c r="FZ246" s="4">
        <v>6.58</v>
      </c>
      <c r="GA246" s="4">
        <v>1.5</v>
      </c>
      <c r="GB246" s="4">
        <v>6.33</v>
      </c>
      <c r="GC246" s="4">
        <v>6.75</v>
      </c>
      <c r="GD246" s="4">
        <v>4.75</v>
      </c>
      <c r="GE246" s="26"/>
      <c r="GF246" s="26"/>
      <c r="GG246" s="4"/>
      <c r="JH246" s="1"/>
      <c r="JV246" s="1"/>
      <c r="KM246" s="4"/>
      <c r="LA246" s="4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</row>
    <row r="247" spans="1:376" x14ac:dyDescent="0.35">
      <c r="A247" s="14">
        <v>43494</v>
      </c>
      <c r="B247" s="16" t="s">
        <v>150</v>
      </c>
      <c r="C247" s="16" t="s">
        <v>408</v>
      </c>
      <c r="D247" s="1">
        <v>246</v>
      </c>
      <c r="E247" s="1">
        <v>6</v>
      </c>
      <c r="F247" s="1">
        <v>6</v>
      </c>
      <c r="H247" s="1">
        <v>62</v>
      </c>
      <c r="I247" s="1">
        <v>2</v>
      </c>
      <c r="K247" s="18">
        <v>1</v>
      </c>
      <c r="L247" s="18">
        <v>1</v>
      </c>
      <c r="M247" s="18">
        <v>1</v>
      </c>
      <c r="N247" s="18">
        <v>1</v>
      </c>
      <c r="O247" s="18">
        <v>1</v>
      </c>
      <c r="P247" s="4">
        <v>1</v>
      </c>
      <c r="Q247" s="3">
        <v>16</v>
      </c>
      <c r="R247" s="1">
        <v>10</v>
      </c>
      <c r="S247" s="1">
        <v>3</v>
      </c>
      <c r="T247" s="1">
        <v>102</v>
      </c>
      <c r="U247" s="1">
        <v>96</v>
      </c>
      <c r="V247" s="1">
        <v>95</v>
      </c>
      <c r="W247" s="1">
        <v>89</v>
      </c>
      <c r="X247" s="1">
        <v>70</v>
      </c>
      <c r="Y247" s="1">
        <v>84</v>
      </c>
      <c r="AI247" s="4"/>
      <c r="AJ247" s="4"/>
      <c r="AK247" s="4"/>
      <c r="AL247" s="1">
        <v>6</v>
      </c>
      <c r="AM247" s="1">
        <v>12</v>
      </c>
      <c r="AN247" s="1">
        <v>19</v>
      </c>
      <c r="AO247" s="1">
        <v>0</v>
      </c>
      <c r="AP247" s="1">
        <v>0</v>
      </c>
      <c r="AQ247" s="1">
        <v>0</v>
      </c>
      <c r="AR247" s="1">
        <v>0</v>
      </c>
      <c r="AS247" s="19">
        <v>0</v>
      </c>
      <c r="AT247" s="19">
        <v>0</v>
      </c>
      <c r="AU247" s="19">
        <v>0</v>
      </c>
      <c r="AV247" s="19">
        <v>0</v>
      </c>
      <c r="AW247" s="19">
        <v>0</v>
      </c>
      <c r="AX247" s="19"/>
      <c r="AY247"/>
      <c r="AZ247"/>
      <c r="BA247"/>
      <c r="BB247"/>
      <c r="BC247"/>
      <c r="BP247" s="4"/>
      <c r="BQ247" s="4"/>
      <c r="BR247" s="4"/>
      <c r="BS247" s="4"/>
      <c r="BT247" s="4"/>
      <c r="BU247" s="4"/>
      <c r="CI247" s="1">
        <v>6</v>
      </c>
      <c r="CJ247" s="1">
        <v>7</v>
      </c>
      <c r="CK247" s="1">
        <v>7</v>
      </c>
      <c r="CL247" s="1">
        <v>6</v>
      </c>
      <c r="CM247" s="1">
        <v>6</v>
      </c>
      <c r="CN247" s="1">
        <v>6</v>
      </c>
      <c r="CO247" s="1">
        <v>6</v>
      </c>
      <c r="CP247" s="1">
        <v>2</v>
      </c>
      <c r="CQ247" s="1">
        <v>6</v>
      </c>
      <c r="CR247" s="1">
        <v>6</v>
      </c>
      <c r="CS247" s="1">
        <v>7</v>
      </c>
      <c r="CT247" s="1">
        <v>6</v>
      </c>
      <c r="CU247" s="1">
        <v>6</v>
      </c>
      <c r="CV247" s="1">
        <v>6</v>
      </c>
      <c r="CW247" s="1">
        <v>5</v>
      </c>
      <c r="CX247" s="1">
        <v>6</v>
      </c>
      <c r="CY247" s="1">
        <v>4</v>
      </c>
      <c r="CZ247" s="1">
        <v>7</v>
      </c>
      <c r="DA247" s="1">
        <v>6</v>
      </c>
      <c r="DB247" s="1">
        <v>7</v>
      </c>
      <c r="DC247" s="1">
        <v>6</v>
      </c>
      <c r="DD247" s="1">
        <v>6</v>
      </c>
      <c r="DE247" s="1">
        <v>6</v>
      </c>
      <c r="DF247" s="1">
        <v>4</v>
      </c>
      <c r="DG247" s="1">
        <v>4</v>
      </c>
      <c r="DH247" s="1">
        <v>7</v>
      </c>
      <c r="DI247" s="1">
        <v>6</v>
      </c>
      <c r="DJ247" s="1">
        <v>4</v>
      </c>
      <c r="DK247" s="1">
        <v>6</v>
      </c>
      <c r="DL247" s="1">
        <v>6</v>
      </c>
      <c r="DM247" s="19">
        <v>7</v>
      </c>
      <c r="DN247" s="19">
        <v>6</v>
      </c>
      <c r="DO247" s="1">
        <v>6</v>
      </c>
      <c r="DP247" s="1">
        <v>7</v>
      </c>
      <c r="DQ247" s="1">
        <v>7</v>
      </c>
      <c r="DR247" s="1">
        <v>7</v>
      </c>
      <c r="DS247" s="1">
        <v>6</v>
      </c>
      <c r="DT247" s="1">
        <v>5</v>
      </c>
      <c r="DU247" s="27">
        <v>2</v>
      </c>
      <c r="DV247" s="27">
        <v>2</v>
      </c>
      <c r="DW247" s="27">
        <v>2</v>
      </c>
      <c r="DX247" s="27">
        <v>6</v>
      </c>
      <c r="DY247" s="27">
        <v>7</v>
      </c>
      <c r="DZ247" s="27">
        <v>6</v>
      </c>
      <c r="EA247" s="27">
        <v>7</v>
      </c>
      <c r="EB247" s="27">
        <v>3</v>
      </c>
      <c r="EC247" s="27">
        <v>7</v>
      </c>
      <c r="ED247" s="27">
        <v>3</v>
      </c>
      <c r="EE247" s="27">
        <v>2</v>
      </c>
      <c r="EF247" s="27">
        <v>1</v>
      </c>
      <c r="EG247" s="27">
        <v>2</v>
      </c>
      <c r="EH247" s="27">
        <v>7</v>
      </c>
      <c r="EI247" s="27">
        <v>7</v>
      </c>
      <c r="EJ247" s="27">
        <v>6</v>
      </c>
      <c r="EK247" s="27">
        <v>6</v>
      </c>
      <c r="EL247" s="27">
        <v>6</v>
      </c>
      <c r="EM247" s="27">
        <v>2</v>
      </c>
      <c r="EN247" s="27">
        <v>2</v>
      </c>
      <c r="EO247" s="27">
        <v>6</v>
      </c>
      <c r="EP247" s="27">
        <v>6</v>
      </c>
      <c r="EQ247" s="27">
        <v>6</v>
      </c>
      <c r="ER247" s="27">
        <v>7</v>
      </c>
      <c r="ES247" s="27">
        <v>7</v>
      </c>
      <c r="ET247" s="27">
        <v>4</v>
      </c>
      <c r="EU247" s="27">
        <v>4</v>
      </c>
      <c r="EV247" s="27">
        <v>19</v>
      </c>
      <c r="EW247" s="27">
        <v>1</v>
      </c>
      <c r="EY247" s="27">
        <v>1</v>
      </c>
      <c r="FA247" s="27">
        <v>1</v>
      </c>
      <c r="FB247" s="28" t="s">
        <v>928</v>
      </c>
      <c r="FC247" s="27">
        <v>0</v>
      </c>
      <c r="FD247" s="1">
        <v>4</v>
      </c>
      <c r="FE247" s="4"/>
      <c r="FF247" s="4"/>
      <c r="FG247" s="4"/>
      <c r="FH247" s="4"/>
      <c r="FI247" s="4"/>
      <c r="FJ247" s="23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26"/>
      <c r="GF247" s="26"/>
      <c r="GG247" s="4"/>
      <c r="JH247" s="1"/>
      <c r="JV247" s="1"/>
      <c r="KM247" s="4"/>
      <c r="LA247" s="4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</row>
    <row r="248" spans="1:376" x14ac:dyDescent="0.35">
      <c r="A248" s="14">
        <v>43494</v>
      </c>
      <c r="B248" s="16" t="s">
        <v>150</v>
      </c>
      <c r="C248" s="16" t="s">
        <v>409</v>
      </c>
      <c r="D248" s="1">
        <v>247</v>
      </c>
      <c r="E248" s="1">
        <v>6</v>
      </c>
      <c r="F248" s="1">
        <v>6</v>
      </c>
      <c r="H248" s="1">
        <v>62</v>
      </c>
      <c r="I248" s="1">
        <v>3</v>
      </c>
      <c r="K248" s="18">
        <v>0</v>
      </c>
      <c r="L248" s="18">
        <v>1</v>
      </c>
      <c r="M248" s="18">
        <v>0</v>
      </c>
      <c r="N248" s="18">
        <v>1</v>
      </c>
      <c r="O248" s="18">
        <v>1</v>
      </c>
      <c r="P248" s="4">
        <v>0.6</v>
      </c>
      <c r="Q248" s="3">
        <v>98</v>
      </c>
      <c r="R248" s="1">
        <v>58</v>
      </c>
      <c r="S248" s="1">
        <v>17</v>
      </c>
      <c r="T248" s="1">
        <v>98</v>
      </c>
      <c r="U248" s="1">
        <v>102</v>
      </c>
      <c r="V248" s="1">
        <v>124</v>
      </c>
      <c r="W248" s="1">
        <v>81</v>
      </c>
      <c r="X248" s="1">
        <v>87</v>
      </c>
      <c r="Y248" s="1">
        <v>88</v>
      </c>
      <c r="AI248" s="4"/>
      <c r="AJ248" s="4"/>
      <c r="AK248" s="4"/>
      <c r="AL248" s="1">
        <v>1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12</v>
      </c>
      <c r="AS248" s="19">
        <v>24</v>
      </c>
      <c r="AT248" s="19">
        <v>52</v>
      </c>
      <c r="AU248" s="19">
        <v>0</v>
      </c>
      <c r="AV248" s="19">
        <v>0</v>
      </c>
      <c r="AW248" s="19">
        <v>0</v>
      </c>
      <c r="AX248" s="19"/>
      <c r="AY248"/>
      <c r="AZ248"/>
      <c r="BA248"/>
      <c r="BB248"/>
      <c r="BC248"/>
      <c r="BP248" s="4"/>
      <c r="BQ248" s="4"/>
      <c r="BR248" s="4"/>
      <c r="BS248" s="4"/>
      <c r="BT248" s="4"/>
      <c r="BU248" s="4"/>
      <c r="CI248" s="1">
        <v>7</v>
      </c>
      <c r="CJ248" s="1">
        <v>7</v>
      </c>
      <c r="CK248" s="1">
        <v>7</v>
      </c>
      <c r="CL248" s="1">
        <v>6</v>
      </c>
      <c r="CM248" s="1">
        <v>4</v>
      </c>
      <c r="CN248" s="1">
        <v>6</v>
      </c>
      <c r="CO248" s="1">
        <v>6</v>
      </c>
      <c r="CP248" s="1">
        <v>2</v>
      </c>
      <c r="CQ248" s="1">
        <v>7</v>
      </c>
      <c r="CR248" s="1">
        <v>7</v>
      </c>
      <c r="CS248" s="1">
        <v>7</v>
      </c>
      <c r="CT248" s="1">
        <v>6</v>
      </c>
      <c r="CU248" s="1">
        <v>7</v>
      </c>
      <c r="CV248" s="1">
        <v>7</v>
      </c>
      <c r="CW248" s="1">
        <v>4</v>
      </c>
      <c r="CX248" s="1">
        <v>7</v>
      </c>
      <c r="CY248" s="1">
        <v>7</v>
      </c>
      <c r="CZ248" s="1">
        <v>7</v>
      </c>
      <c r="DA248" s="1">
        <v>7</v>
      </c>
      <c r="DB248" s="1">
        <v>7</v>
      </c>
      <c r="DC248" s="1">
        <v>7</v>
      </c>
      <c r="DD248" s="1">
        <v>6</v>
      </c>
      <c r="DE248" s="1">
        <v>7</v>
      </c>
      <c r="DF248" s="1">
        <v>6</v>
      </c>
      <c r="DG248" s="1">
        <v>6</v>
      </c>
      <c r="DH248" s="1">
        <v>6</v>
      </c>
      <c r="DI248" s="1">
        <v>7</v>
      </c>
      <c r="DJ248" s="1">
        <v>6</v>
      </c>
      <c r="DK248" s="1">
        <v>6</v>
      </c>
      <c r="DL248" s="1">
        <v>7</v>
      </c>
      <c r="DM248" s="19">
        <v>7</v>
      </c>
      <c r="DN248" s="19">
        <v>7</v>
      </c>
      <c r="DO248" s="1">
        <v>2</v>
      </c>
      <c r="DP248" s="1">
        <v>6</v>
      </c>
      <c r="DQ248" s="1">
        <v>6</v>
      </c>
      <c r="DR248" s="1">
        <v>6</v>
      </c>
      <c r="DS248" s="1">
        <v>7</v>
      </c>
      <c r="DT248" s="1">
        <v>7</v>
      </c>
      <c r="DU248" s="27">
        <v>7</v>
      </c>
      <c r="DV248" s="27">
        <v>7</v>
      </c>
      <c r="DW248" s="27">
        <v>2</v>
      </c>
      <c r="DX248" s="27">
        <v>6</v>
      </c>
      <c r="DY248" s="27">
        <v>1</v>
      </c>
      <c r="DZ248" s="27">
        <v>4</v>
      </c>
      <c r="EA248" s="27">
        <v>1</v>
      </c>
      <c r="EB248" s="27">
        <v>2</v>
      </c>
      <c r="EC248" s="27">
        <v>4</v>
      </c>
      <c r="ED248" s="27">
        <v>4</v>
      </c>
      <c r="EE248" s="27">
        <v>4</v>
      </c>
      <c r="EF248" s="27">
        <v>4</v>
      </c>
      <c r="EG248" s="27">
        <v>7</v>
      </c>
      <c r="EH248" s="27">
        <v>7</v>
      </c>
      <c r="EI248" s="27">
        <v>7</v>
      </c>
      <c r="EJ248" s="27">
        <v>7</v>
      </c>
      <c r="EK248" s="27">
        <v>6</v>
      </c>
      <c r="EL248" s="27">
        <v>7</v>
      </c>
      <c r="EM248" s="27">
        <v>1</v>
      </c>
      <c r="EN248" s="27">
        <v>1</v>
      </c>
      <c r="EO248" s="27">
        <v>7</v>
      </c>
      <c r="EP248" s="27">
        <v>7</v>
      </c>
      <c r="EQ248" s="27">
        <v>7</v>
      </c>
      <c r="ER248" s="27">
        <v>7</v>
      </c>
      <c r="ES248" s="27">
        <v>7</v>
      </c>
      <c r="ET248" s="27">
        <v>7</v>
      </c>
      <c r="EU248" s="27">
        <v>7</v>
      </c>
      <c r="EV248" s="27">
        <v>19</v>
      </c>
      <c r="EW248" s="27">
        <v>1</v>
      </c>
      <c r="EY248" s="27">
        <v>1</v>
      </c>
      <c r="FA248" s="27">
        <v>1</v>
      </c>
      <c r="FB248" s="28" t="s">
        <v>852</v>
      </c>
      <c r="FC248" s="27">
        <v>1</v>
      </c>
      <c r="FD248" s="1">
        <v>8</v>
      </c>
      <c r="FE248" s="4"/>
      <c r="FF248" s="4"/>
      <c r="FG248" s="4"/>
      <c r="FH248" s="4"/>
      <c r="FI248" s="4"/>
      <c r="FJ248" s="23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26"/>
      <c r="GF248" s="26"/>
      <c r="GG248" s="4"/>
      <c r="JH248" s="1"/>
      <c r="JV248" s="1"/>
      <c r="KM248" s="4"/>
      <c r="LA248" s="4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</row>
    <row r="249" spans="1:376" x14ac:dyDescent="0.35">
      <c r="A249" s="14">
        <v>43494</v>
      </c>
      <c r="B249" s="16" t="s">
        <v>150</v>
      </c>
      <c r="C249" s="16" t="s">
        <v>410</v>
      </c>
      <c r="D249" s="1">
        <v>248</v>
      </c>
      <c r="E249" s="1">
        <v>6</v>
      </c>
      <c r="F249" s="1">
        <v>6</v>
      </c>
      <c r="H249" s="1">
        <v>62</v>
      </c>
      <c r="I249" s="1">
        <v>4</v>
      </c>
      <c r="K249" s="18">
        <v>0</v>
      </c>
      <c r="L249" s="18">
        <v>1</v>
      </c>
      <c r="M249" s="18">
        <v>1</v>
      </c>
      <c r="N249" s="18">
        <v>1</v>
      </c>
      <c r="O249" s="18">
        <v>1</v>
      </c>
      <c r="P249" s="4">
        <v>0.8</v>
      </c>
      <c r="Q249" s="3">
        <v>25</v>
      </c>
      <c r="R249" s="1">
        <v>31</v>
      </c>
      <c r="S249" s="1">
        <v>15</v>
      </c>
      <c r="T249" s="1">
        <v>90</v>
      </c>
      <c r="U249" s="1">
        <v>97</v>
      </c>
      <c r="V249" s="1">
        <v>86</v>
      </c>
      <c r="W249" s="1">
        <v>78</v>
      </c>
      <c r="X249" s="1">
        <v>74</v>
      </c>
      <c r="Y249" s="1">
        <v>78</v>
      </c>
      <c r="AI249" s="4"/>
      <c r="AJ249" s="4"/>
      <c r="AK249" s="4"/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9">
        <v>0</v>
      </c>
      <c r="AT249" s="19">
        <v>26</v>
      </c>
      <c r="AU249" s="19">
        <v>0</v>
      </c>
      <c r="AV249" s="19">
        <v>0</v>
      </c>
      <c r="AW249" s="19">
        <v>0</v>
      </c>
      <c r="AX249" s="19"/>
      <c r="AY249"/>
      <c r="AZ249"/>
      <c r="BA249"/>
      <c r="BB249"/>
      <c r="BC249"/>
      <c r="BP249" s="4"/>
      <c r="BQ249" s="4"/>
      <c r="BR249" s="4"/>
      <c r="BS249" s="4"/>
      <c r="BT249" s="4"/>
      <c r="BU249" s="4"/>
      <c r="CI249" s="1">
        <v>7</v>
      </c>
      <c r="CJ249" s="1">
        <v>7</v>
      </c>
      <c r="CK249" s="1">
        <v>7</v>
      </c>
      <c r="CL249" s="1">
        <v>7</v>
      </c>
      <c r="CM249" s="1">
        <v>6</v>
      </c>
      <c r="CN249" s="1">
        <v>2</v>
      </c>
      <c r="CO249" s="1">
        <v>2</v>
      </c>
      <c r="CP249" s="1">
        <v>1</v>
      </c>
      <c r="CQ249" s="1">
        <v>7</v>
      </c>
      <c r="CR249" s="1">
        <v>7</v>
      </c>
      <c r="CS249" s="1">
        <v>7</v>
      </c>
      <c r="CT249" s="1">
        <v>7</v>
      </c>
      <c r="CU249" s="1">
        <v>7</v>
      </c>
      <c r="CV249" s="1">
        <v>7</v>
      </c>
      <c r="CW249" s="1">
        <v>7</v>
      </c>
      <c r="CX249" s="1">
        <v>7</v>
      </c>
      <c r="CY249" s="1">
        <v>7</v>
      </c>
      <c r="CZ249" s="1">
        <v>7</v>
      </c>
      <c r="DA249" s="1">
        <v>7</v>
      </c>
      <c r="DB249" s="1">
        <v>7</v>
      </c>
      <c r="DC249" s="1">
        <v>7</v>
      </c>
      <c r="DD249" s="1">
        <v>7</v>
      </c>
      <c r="DE249" s="1">
        <v>6</v>
      </c>
      <c r="DF249" s="1">
        <v>6</v>
      </c>
      <c r="DG249" s="1">
        <v>5</v>
      </c>
      <c r="DH249" s="1">
        <v>7</v>
      </c>
      <c r="DI249" s="1">
        <v>6</v>
      </c>
      <c r="DJ249" s="1">
        <v>6</v>
      </c>
      <c r="DK249" s="1">
        <v>6</v>
      </c>
      <c r="DL249" s="1">
        <v>7</v>
      </c>
      <c r="DM249" s="19">
        <v>7</v>
      </c>
      <c r="DN249" s="19">
        <v>7</v>
      </c>
      <c r="DO249" s="1">
        <v>7</v>
      </c>
      <c r="DP249" s="1">
        <v>7</v>
      </c>
      <c r="DQ249" s="1">
        <v>7</v>
      </c>
      <c r="DR249" s="1">
        <v>6</v>
      </c>
      <c r="DS249" s="1">
        <v>6</v>
      </c>
      <c r="DT249" s="1">
        <v>6</v>
      </c>
      <c r="DU249" s="27">
        <v>7</v>
      </c>
      <c r="DV249" s="27">
        <v>7</v>
      </c>
      <c r="DW249" s="27">
        <v>6</v>
      </c>
      <c r="DX249" s="27">
        <v>7</v>
      </c>
      <c r="DY249" s="27">
        <v>6</v>
      </c>
      <c r="DZ249" s="27">
        <v>6</v>
      </c>
      <c r="EA249" s="27">
        <v>1</v>
      </c>
      <c r="EB249" s="27">
        <v>7</v>
      </c>
      <c r="EC249" s="27">
        <v>7</v>
      </c>
      <c r="ED249" s="27">
        <v>1</v>
      </c>
      <c r="EE249" s="27">
        <v>6</v>
      </c>
      <c r="EF249" s="27">
        <v>5</v>
      </c>
      <c r="EG249" s="27">
        <v>7</v>
      </c>
      <c r="EH249" s="27">
        <v>7</v>
      </c>
      <c r="EI249" s="27">
        <v>7</v>
      </c>
      <c r="EJ249" s="27">
        <v>7</v>
      </c>
      <c r="EK249" s="27">
        <v>7</v>
      </c>
      <c r="EL249" s="27">
        <v>7</v>
      </c>
      <c r="EM249" s="27">
        <v>1</v>
      </c>
      <c r="EN249" s="27">
        <v>1</v>
      </c>
      <c r="EO249" s="27">
        <v>7</v>
      </c>
      <c r="EP249" s="27">
        <v>7</v>
      </c>
      <c r="EQ249" s="27">
        <v>5</v>
      </c>
      <c r="ER249" s="27">
        <v>7</v>
      </c>
      <c r="ES249" s="27">
        <v>7</v>
      </c>
      <c r="ET249" s="27">
        <v>4</v>
      </c>
      <c r="EU249" s="27">
        <v>4</v>
      </c>
      <c r="EV249" s="27">
        <v>18</v>
      </c>
      <c r="EW249" s="27">
        <v>2</v>
      </c>
      <c r="EY249" s="27">
        <v>1</v>
      </c>
      <c r="FA249" s="27">
        <v>1</v>
      </c>
      <c r="FB249" s="28" t="s">
        <v>929</v>
      </c>
      <c r="FC249" s="27">
        <v>0</v>
      </c>
      <c r="FD249" s="1">
        <v>2</v>
      </c>
      <c r="FE249" s="4"/>
      <c r="FF249" s="4"/>
      <c r="FG249" s="4"/>
      <c r="FH249" s="4"/>
      <c r="FI249" s="4"/>
      <c r="FJ249" s="23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26"/>
      <c r="GF249" s="26"/>
      <c r="GG249" s="4"/>
      <c r="JH249" s="1"/>
      <c r="JV249" s="1"/>
      <c r="KM249" s="4"/>
      <c r="LA249" s="4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</row>
    <row r="250" spans="1:376" x14ac:dyDescent="0.35">
      <c r="A250" s="14">
        <v>43497</v>
      </c>
      <c r="B250" s="16" t="s">
        <v>151</v>
      </c>
      <c r="C250" s="16" t="s">
        <v>411</v>
      </c>
      <c r="D250" s="1">
        <v>249</v>
      </c>
      <c r="E250" s="1">
        <v>6</v>
      </c>
      <c r="F250" s="1">
        <v>6</v>
      </c>
      <c r="G250" s="1">
        <v>1</v>
      </c>
      <c r="H250" s="1">
        <v>63</v>
      </c>
      <c r="I250" s="1">
        <v>1</v>
      </c>
      <c r="J250" s="1">
        <v>1</v>
      </c>
      <c r="K250" s="18">
        <v>1</v>
      </c>
      <c r="L250" s="18">
        <v>1</v>
      </c>
      <c r="M250" s="18">
        <v>1</v>
      </c>
      <c r="N250" s="18">
        <v>1</v>
      </c>
      <c r="O250" s="18">
        <v>1</v>
      </c>
      <c r="P250" s="4">
        <v>1</v>
      </c>
      <c r="Q250" s="3">
        <v>49</v>
      </c>
      <c r="R250" s="1">
        <v>63</v>
      </c>
      <c r="S250" s="1">
        <v>86</v>
      </c>
      <c r="T250" s="1">
        <v>134</v>
      </c>
      <c r="U250" s="1">
        <v>158</v>
      </c>
      <c r="V250" s="1">
        <v>105</v>
      </c>
      <c r="W250" s="1">
        <v>100</v>
      </c>
      <c r="X250" s="1">
        <v>94</v>
      </c>
      <c r="Y250" s="1">
        <v>95</v>
      </c>
      <c r="Z250" s="1">
        <v>235</v>
      </c>
      <c r="AA250" s="1">
        <v>234</v>
      </c>
      <c r="AB250" s="1">
        <v>313</v>
      </c>
      <c r="AC250" s="1">
        <v>448</v>
      </c>
      <c r="AD250" s="1">
        <v>437</v>
      </c>
      <c r="AE250" s="1">
        <v>450</v>
      </c>
      <c r="AF250" s="1">
        <v>445</v>
      </c>
      <c r="AG250" s="1">
        <v>439</v>
      </c>
      <c r="AH250" s="1">
        <v>499</v>
      </c>
      <c r="AI250" s="4">
        <v>260.67</v>
      </c>
      <c r="AJ250" s="4">
        <v>445</v>
      </c>
      <c r="AK250" s="4">
        <v>461</v>
      </c>
      <c r="AL250" s="1">
        <v>0</v>
      </c>
      <c r="AM250" s="1">
        <v>1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9">
        <v>2</v>
      </c>
      <c r="AT250" s="19">
        <v>0</v>
      </c>
      <c r="AU250" s="19">
        <v>0</v>
      </c>
      <c r="AV250" s="19">
        <v>0</v>
      </c>
      <c r="AW250" s="19">
        <v>0</v>
      </c>
      <c r="AX250" s="19">
        <f t="shared" ref="AX250:BC250" si="124">AL250+AL251+AL252+AL253</f>
        <v>0</v>
      </c>
      <c r="AY250" s="19">
        <f t="shared" si="124"/>
        <v>2</v>
      </c>
      <c r="AZ250" s="19">
        <f t="shared" si="124"/>
        <v>0</v>
      </c>
      <c r="BA250" s="19">
        <f t="shared" si="124"/>
        <v>0</v>
      </c>
      <c r="BB250" s="19">
        <f t="shared" si="124"/>
        <v>0</v>
      </c>
      <c r="BC250" s="19">
        <f t="shared" si="124"/>
        <v>0</v>
      </c>
      <c r="BD250" s="1">
        <f>AX250*3</f>
        <v>0</v>
      </c>
      <c r="BE250" s="1">
        <f t="shared" ref="BE250:BI250" si="125">AY250*3</f>
        <v>6</v>
      </c>
      <c r="BF250" s="1">
        <f t="shared" si="125"/>
        <v>0</v>
      </c>
      <c r="BG250" s="1">
        <f t="shared" si="125"/>
        <v>0</v>
      </c>
      <c r="BH250" s="1">
        <f t="shared" si="125"/>
        <v>0</v>
      </c>
      <c r="BI250" s="1">
        <f t="shared" si="125"/>
        <v>0</v>
      </c>
      <c r="BJ250" s="1">
        <f>AX250+AY250+AZ250</f>
        <v>2</v>
      </c>
      <c r="BK250" s="1">
        <f>BA250+BB250+BC250</f>
        <v>0</v>
      </c>
      <c r="BL250" s="1">
        <f>BJ250*3</f>
        <v>6</v>
      </c>
      <c r="BM250" s="1">
        <f>BK250*3</f>
        <v>0</v>
      </c>
      <c r="BN250" s="1">
        <f>BL250/3</f>
        <v>2</v>
      </c>
      <c r="BO250" s="1">
        <f>BM250/3</f>
        <v>0</v>
      </c>
      <c r="BP250" s="4">
        <v>258.66666666666669</v>
      </c>
      <c r="BQ250" s="4">
        <v>445</v>
      </c>
      <c r="BR250" s="4">
        <v>461</v>
      </c>
      <c r="BS250" s="4">
        <v>445</v>
      </c>
      <c r="BT250" s="4">
        <v>461</v>
      </c>
      <c r="BU250" s="4">
        <v>3.57</v>
      </c>
      <c r="BV250" s="1">
        <v>4</v>
      </c>
      <c r="BW250" s="1">
        <v>4</v>
      </c>
      <c r="BX250" s="1">
        <v>4</v>
      </c>
      <c r="BY250" s="1">
        <v>4</v>
      </c>
      <c r="BZ250" s="1">
        <v>0</v>
      </c>
      <c r="CA250" s="1">
        <v>0</v>
      </c>
      <c r="CB250" s="1">
        <v>3</v>
      </c>
      <c r="CC250" s="1">
        <v>3</v>
      </c>
      <c r="CD250" s="1">
        <v>1</v>
      </c>
      <c r="CE250" s="1">
        <v>1</v>
      </c>
      <c r="CF250" s="1">
        <v>3</v>
      </c>
      <c r="CG250" s="1">
        <v>3</v>
      </c>
      <c r="CH250" s="1">
        <v>1</v>
      </c>
      <c r="CI250" s="1">
        <v>6</v>
      </c>
      <c r="CJ250" s="1">
        <v>6</v>
      </c>
      <c r="CK250" s="1">
        <v>5</v>
      </c>
      <c r="CL250" s="1">
        <v>5</v>
      </c>
      <c r="CM250" s="1">
        <v>3</v>
      </c>
      <c r="CN250" s="1">
        <v>2</v>
      </c>
      <c r="CO250" s="1">
        <v>2</v>
      </c>
      <c r="CP250" s="1">
        <v>3</v>
      </c>
      <c r="CQ250" s="1">
        <v>6</v>
      </c>
      <c r="CR250" s="1">
        <v>6</v>
      </c>
      <c r="CS250" s="1">
        <v>5</v>
      </c>
      <c r="CT250" s="1">
        <v>5</v>
      </c>
      <c r="CU250" s="1">
        <v>3</v>
      </c>
      <c r="CV250" s="1">
        <v>5</v>
      </c>
      <c r="CW250" s="1">
        <v>1</v>
      </c>
      <c r="CX250" s="1">
        <v>2</v>
      </c>
      <c r="CY250" s="1">
        <v>2</v>
      </c>
      <c r="CZ250" s="1">
        <v>5</v>
      </c>
      <c r="DA250" s="1">
        <v>5</v>
      </c>
      <c r="DB250" s="1">
        <v>5</v>
      </c>
      <c r="DC250" s="1">
        <v>5</v>
      </c>
      <c r="DD250" s="1">
        <v>5</v>
      </c>
      <c r="DE250" s="1">
        <v>6</v>
      </c>
      <c r="DF250" s="1">
        <v>7</v>
      </c>
      <c r="DG250" s="1">
        <v>7</v>
      </c>
      <c r="DH250" s="1">
        <v>7</v>
      </c>
      <c r="DI250" s="1">
        <v>7</v>
      </c>
      <c r="DJ250" s="1">
        <v>7</v>
      </c>
      <c r="DK250" s="1">
        <v>7</v>
      </c>
      <c r="DL250" s="1">
        <v>5</v>
      </c>
      <c r="DM250" s="19">
        <v>5</v>
      </c>
      <c r="DN250" s="19">
        <v>7</v>
      </c>
      <c r="DO250" s="1">
        <v>7</v>
      </c>
      <c r="DP250" s="1">
        <v>6</v>
      </c>
      <c r="DQ250" s="1">
        <v>6</v>
      </c>
      <c r="DR250" s="1">
        <v>2</v>
      </c>
      <c r="DS250" s="1">
        <v>4</v>
      </c>
      <c r="DT250" s="1">
        <v>5</v>
      </c>
      <c r="DU250" s="27">
        <v>6</v>
      </c>
      <c r="DV250" s="27">
        <v>7</v>
      </c>
      <c r="DW250" s="27">
        <v>7</v>
      </c>
      <c r="DX250" s="27">
        <v>6</v>
      </c>
      <c r="DY250" s="27">
        <v>5</v>
      </c>
      <c r="DZ250" s="27">
        <v>5</v>
      </c>
      <c r="EA250" s="27">
        <v>7</v>
      </c>
      <c r="EB250" s="27">
        <v>7</v>
      </c>
      <c r="EC250" s="27">
        <v>5</v>
      </c>
      <c r="ED250" s="27">
        <v>3</v>
      </c>
      <c r="EE250" s="27">
        <v>6</v>
      </c>
      <c r="EF250" s="27">
        <v>6</v>
      </c>
      <c r="EG250" s="27">
        <v>5</v>
      </c>
      <c r="EH250" s="27">
        <v>6</v>
      </c>
      <c r="EI250" s="27">
        <v>6</v>
      </c>
      <c r="EJ250" s="27">
        <v>6</v>
      </c>
      <c r="EK250" s="27">
        <v>5</v>
      </c>
      <c r="EL250" s="27">
        <v>6</v>
      </c>
      <c r="EM250" s="27">
        <v>2</v>
      </c>
      <c r="EN250" s="27">
        <v>2</v>
      </c>
      <c r="EO250" s="27">
        <v>4</v>
      </c>
      <c r="EP250" s="27">
        <v>4</v>
      </c>
      <c r="EQ250" s="27">
        <v>4</v>
      </c>
      <c r="ER250" s="27">
        <v>6</v>
      </c>
      <c r="ES250" s="27">
        <v>6</v>
      </c>
      <c r="ET250" s="27">
        <v>4</v>
      </c>
      <c r="EU250" s="27">
        <v>4</v>
      </c>
      <c r="EV250" s="27">
        <v>18</v>
      </c>
      <c r="EW250" s="27">
        <v>2</v>
      </c>
      <c r="EY250" s="27">
        <v>1</v>
      </c>
      <c r="FA250" s="27">
        <v>1</v>
      </c>
      <c r="FB250" s="28" t="s">
        <v>930</v>
      </c>
      <c r="FC250" s="27">
        <v>0</v>
      </c>
      <c r="FD250" s="1">
        <v>9</v>
      </c>
      <c r="FE250" s="4">
        <v>5.54</v>
      </c>
      <c r="FF250" s="4">
        <v>5.13</v>
      </c>
      <c r="FG250" s="4">
        <v>6.31</v>
      </c>
      <c r="FH250" s="4">
        <v>5.92</v>
      </c>
      <c r="FI250" s="4">
        <v>6.25</v>
      </c>
      <c r="FJ250" s="23">
        <v>6.5</v>
      </c>
      <c r="FK250" s="4">
        <v>5.96</v>
      </c>
      <c r="FL250" s="4">
        <v>5.75</v>
      </c>
      <c r="FM250" s="4">
        <v>6</v>
      </c>
      <c r="FN250" s="4">
        <v>6.13</v>
      </c>
      <c r="FO250" s="4">
        <v>5.08</v>
      </c>
      <c r="FP250" s="4">
        <v>4.83</v>
      </c>
      <c r="FQ250" s="4">
        <v>5.88</v>
      </c>
      <c r="FR250" s="4">
        <v>4.25</v>
      </c>
      <c r="FS250" s="4">
        <v>5</v>
      </c>
      <c r="FT250" s="4">
        <v>6.25</v>
      </c>
      <c r="FU250" s="4">
        <v>3.25</v>
      </c>
      <c r="FV250" s="4">
        <v>4.25</v>
      </c>
      <c r="FW250" s="4">
        <v>4.75</v>
      </c>
      <c r="FX250" s="4">
        <v>5.5</v>
      </c>
      <c r="FY250" s="4">
        <v>5.75</v>
      </c>
      <c r="FZ250" s="4">
        <v>5.67</v>
      </c>
      <c r="GA250" s="4">
        <v>2.38</v>
      </c>
      <c r="GB250" s="4">
        <v>6</v>
      </c>
      <c r="GC250" s="4">
        <v>5.75</v>
      </c>
      <c r="GD250" s="4">
        <v>5.38</v>
      </c>
      <c r="GE250" s="26"/>
      <c r="GF250" s="26"/>
      <c r="GG250" s="4"/>
      <c r="JH250" s="1"/>
      <c r="JV250" s="1"/>
      <c r="KM250" s="4"/>
      <c r="LA250" s="4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</row>
    <row r="251" spans="1:376" x14ac:dyDescent="0.35">
      <c r="A251" s="14">
        <v>43497</v>
      </c>
      <c r="B251" s="16" t="s">
        <v>151</v>
      </c>
      <c r="C251" s="16" t="s">
        <v>412</v>
      </c>
      <c r="D251" s="1">
        <v>250</v>
      </c>
      <c r="E251" s="1">
        <v>6</v>
      </c>
      <c r="F251" s="1">
        <v>6</v>
      </c>
      <c r="H251" s="1">
        <v>63</v>
      </c>
      <c r="I251" s="1">
        <v>2</v>
      </c>
      <c r="K251" s="18">
        <v>1</v>
      </c>
      <c r="L251" s="18">
        <v>1</v>
      </c>
      <c r="M251" s="18">
        <v>1</v>
      </c>
      <c r="N251" s="18">
        <v>1</v>
      </c>
      <c r="O251" s="18">
        <v>0</v>
      </c>
      <c r="P251" s="4">
        <v>0.8</v>
      </c>
      <c r="Q251" s="3">
        <v>29</v>
      </c>
      <c r="R251" s="1">
        <v>34</v>
      </c>
      <c r="S251" s="1">
        <v>53</v>
      </c>
      <c r="T251" s="1">
        <v>61</v>
      </c>
      <c r="U251" s="1">
        <v>78</v>
      </c>
      <c r="V251" s="1">
        <v>88</v>
      </c>
      <c r="W251" s="1">
        <v>115</v>
      </c>
      <c r="X251" s="1">
        <v>104</v>
      </c>
      <c r="Y251" s="1">
        <v>114</v>
      </c>
      <c r="AI251" s="4"/>
      <c r="AJ251" s="4"/>
      <c r="AK251" s="4"/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9">
        <v>0</v>
      </c>
      <c r="AT251" s="19">
        <v>0</v>
      </c>
      <c r="AU251" s="19">
        <v>0</v>
      </c>
      <c r="AV251" s="19">
        <v>0</v>
      </c>
      <c r="AW251" s="19">
        <v>0</v>
      </c>
      <c r="AX251" s="19"/>
      <c r="AY251"/>
      <c r="AZ251"/>
      <c r="BA251"/>
      <c r="BB251"/>
      <c r="BC251"/>
      <c r="BP251" s="4"/>
      <c r="BQ251" s="4"/>
      <c r="BR251" s="4"/>
      <c r="BS251" s="4"/>
      <c r="BT251" s="4"/>
      <c r="BU251" s="4"/>
      <c r="CI251" s="1">
        <v>7</v>
      </c>
      <c r="CJ251" s="1">
        <v>5</v>
      </c>
      <c r="CK251" s="1">
        <v>5</v>
      </c>
      <c r="CL251" s="1">
        <v>5</v>
      </c>
      <c r="CM251" s="1">
        <v>5</v>
      </c>
      <c r="CN251" s="1">
        <v>4</v>
      </c>
      <c r="CO251" s="1">
        <v>5</v>
      </c>
      <c r="CP251" s="1">
        <v>3</v>
      </c>
      <c r="CQ251" s="1">
        <v>6</v>
      </c>
      <c r="CR251" s="1">
        <v>5</v>
      </c>
      <c r="CS251" s="1">
        <v>6</v>
      </c>
      <c r="CT251" s="1">
        <v>5</v>
      </c>
      <c r="CU251" s="1">
        <v>6</v>
      </c>
      <c r="CV251" s="1">
        <v>7</v>
      </c>
      <c r="CW251" s="1">
        <v>6</v>
      </c>
      <c r="CX251" s="1">
        <v>6</v>
      </c>
      <c r="CY251" s="1">
        <v>7</v>
      </c>
      <c r="CZ251" s="1">
        <v>6</v>
      </c>
      <c r="DA251" s="1">
        <v>6</v>
      </c>
      <c r="DB251" s="1">
        <v>6</v>
      </c>
      <c r="DC251" s="1">
        <v>7</v>
      </c>
      <c r="DD251" s="1">
        <v>7</v>
      </c>
      <c r="DE251" s="1">
        <v>6</v>
      </c>
      <c r="DF251" s="1">
        <v>5</v>
      </c>
      <c r="DG251" s="1">
        <v>6</v>
      </c>
      <c r="DH251" s="1">
        <v>6</v>
      </c>
      <c r="DI251" s="1">
        <v>4</v>
      </c>
      <c r="DJ251" s="1">
        <v>5</v>
      </c>
      <c r="DK251" s="1">
        <v>5</v>
      </c>
      <c r="DL251" s="1">
        <v>5</v>
      </c>
      <c r="DM251" s="19">
        <v>5</v>
      </c>
      <c r="DN251" s="19">
        <v>5</v>
      </c>
      <c r="DO251" s="1">
        <v>4</v>
      </c>
      <c r="DP251" s="1">
        <v>6</v>
      </c>
      <c r="DQ251" s="1">
        <v>7</v>
      </c>
      <c r="DR251" s="1">
        <v>4</v>
      </c>
      <c r="DS251" s="1">
        <v>7</v>
      </c>
      <c r="DT251" s="1">
        <v>6</v>
      </c>
      <c r="DU251" s="27">
        <v>3</v>
      </c>
      <c r="DV251" s="27">
        <v>4</v>
      </c>
      <c r="DW251" s="27">
        <v>3</v>
      </c>
      <c r="DX251" s="27">
        <v>6</v>
      </c>
      <c r="DY251" s="27">
        <v>6</v>
      </c>
      <c r="DZ251" s="27">
        <v>5</v>
      </c>
      <c r="EA251" s="27">
        <v>3</v>
      </c>
      <c r="EB251" s="27">
        <v>6</v>
      </c>
      <c r="EC251" s="27">
        <v>6</v>
      </c>
      <c r="ED251" s="27">
        <v>4</v>
      </c>
      <c r="EE251" s="27">
        <v>4</v>
      </c>
      <c r="EF251" s="27">
        <v>4</v>
      </c>
      <c r="EG251" s="27">
        <v>5</v>
      </c>
      <c r="EH251" s="27">
        <v>6</v>
      </c>
      <c r="EI251" s="27">
        <v>6</v>
      </c>
      <c r="EJ251" s="27">
        <v>6</v>
      </c>
      <c r="EK251" s="27">
        <v>6</v>
      </c>
      <c r="EL251" s="27">
        <v>6</v>
      </c>
      <c r="EM251" s="27">
        <v>1</v>
      </c>
      <c r="EN251" s="27">
        <v>2</v>
      </c>
      <c r="EO251" s="27">
        <v>7</v>
      </c>
      <c r="EP251" s="27">
        <v>7</v>
      </c>
      <c r="EQ251" s="27">
        <v>7</v>
      </c>
      <c r="ER251" s="27">
        <v>6</v>
      </c>
      <c r="ES251" s="27">
        <v>6</v>
      </c>
      <c r="ET251" s="27">
        <v>6</v>
      </c>
      <c r="EU251" s="27">
        <v>6</v>
      </c>
      <c r="EV251" s="27">
        <v>19</v>
      </c>
      <c r="EW251" s="27">
        <v>2</v>
      </c>
      <c r="EY251" s="27">
        <v>3</v>
      </c>
      <c r="FA251" s="27">
        <v>2</v>
      </c>
      <c r="FB251" s="28" t="s">
        <v>931</v>
      </c>
      <c r="FC251" s="27">
        <v>0</v>
      </c>
      <c r="FD251" s="1">
        <v>4</v>
      </c>
      <c r="FE251" s="4"/>
      <c r="FF251" s="4"/>
      <c r="FG251" s="4"/>
      <c r="FH251" s="4"/>
      <c r="FI251" s="4"/>
      <c r="FJ251" s="23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26"/>
      <c r="GF251" s="26"/>
      <c r="GG251" s="4"/>
      <c r="JH251" s="1"/>
      <c r="JV251" s="1"/>
      <c r="KM251" s="4"/>
      <c r="LA251" s="4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</row>
    <row r="252" spans="1:376" x14ac:dyDescent="0.35">
      <c r="A252" s="14">
        <v>43497</v>
      </c>
      <c r="B252" s="16" t="s">
        <v>151</v>
      </c>
      <c r="C252" s="16" t="s">
        <v>413</v>
      </c>
      <c r="D252" s="1">
        <v>251</v>
      </c>
      <c r="E252" s="1">
        <v>6</v>
      </c>
      <c r="F252" s="1">
        <v>6</v>
      </c>
      <c r="H252" s="1">
        <v>63</v>
      </c>
      <c r="I252" s="1">
        <v>3</v>
      </c>
      <c r="K252" s="18">
        <v>1</v>
      </c>
      <c r="L252" s="18">
        <v>1</v>
      </c>
      <c r="M252" s="18">
        <v>1</v>
      </c>
      <c r="N252" s="18">
        <v>1</v>
      </c>
      <c r="O252" s="18">
        <v>1</v>
      </c>
      <c r="P252" s="4">
        <v>1</v>
      </c>
      <c r="Q252" s="3">
        <v>128</v>
      </c>
      <c r="R252" s="1">
        <v>71</v>
      </c>
      <c r="S252" s="1">
        <v>86</v>
      </c>
      <c r="T252" s="1">
        <v>159</v>
      </c>
      <c r="U252" s="1">
        <v>121</v>
      </c>
      <c r="V252" s="1">
        <v>137</v>
      </c>
      <c r="W252" s="1">
        <v>139</v>
      </c>
      <c r="X252" s="1">
        <v>143</v>
      </c>
      <c r="Y252" s="1">
        <v>165</v>
      </c>
      <c r="AI252" s="4"/>
      <c r="AJ252" s="4"/>
      <c r="AK252" s="4"/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9">
        <v>0</v>
      </c>
      <c r="AT252" s="19">
        <v>0</v>
      </c>
      <c r="AU252" s="19">
        <v>0</v>
      </c>
      <c r="AV252" s="19">
        <v>0</v>
      </c>
      <c r="AW252" s="19">
        <v>0</v>
      </c>
      <c r="AX252" s="19"/>
      <c r="AY252"/>
      <c r="AZ252"/>
      <c r="BA252"/>
      <c r="BB252"/>
      <c r="BC252"/>
      <c r="BP252" s="4"/>
      <c r="BQ252" s="4"/>
      <c r="BR252" s="4"/>
      <c r="BS252" s="4"/>
      <c r="BT252" s="4"/>
      <c r="BU252" s="4"/>
      <c r="CI252" s="1">
        <v>7</v>
      </c>
      <c r="CJ252" s="1">
        <v>6</v>
      </c>
      <c r="CK252" s="1">
        <v>6</v>
      </c>
      <c r="CL252" s="1">
        <v>7</v>
      </c>
      <c r="CM252" s="1">
        <v>7</v>
      </c>
      <c r="CN252" s="1">
        <v>7</v>
      </c>
      <c r="CO252" s="1">
        <v>7</v>
      </c>
      <c r="CP252" s="1">
        <v>5</v>
      </c>
      <c r="CQ252" s="1">
        <v>6</v>
      </c>
      <c r="CR252" s="1">
        <v>7</v>
      </c>
      <c r="CS252" s="1">
        <v>6</v>
      </c>
      <c r="CT252" s="1">
        <v>3</v>
      </c>
      <c r="CU252" s="1">
        <v>6</v>
      </c>
      <c r="CV252" s="1">
        <v>6</v>
      </c>
      <c r="CW252" s="1">
        <v>6</v>
      </c>
      <c r="CX252" s="1">
        <v>7</v>
      </c>
      <c r="CY252" s="1">
        <v>5</v>
      </c>
      <c r="CZ252" s="1">
        <v>5</v>
      </c>
      <c r="DA252" s="1">
        <v>6</v>
      </c>
      <c r="DB252" s="1">
        <v>6</v>
      </c>
      <c r="DC252" s="1">
        <v>7</v>
      </c>
      <c r="DD252" s="1">
        <v>6</v>
      </c>
      <c r="DE252" s="1">
        <v>7</v>
      </c>
      <c r="DF252" s="1">
        <v>5</v>
      </c>
      <c r="DG252" s="1">
        <v>6</v>
      </c>
      <c r="DH252" s="1">
        <v>7</v>
      </c>
      <c r="DI252" s="1">
        <v>6</v>
      </c>
      <c r="DJ252" s="1">
        <v>6</v>
      </c>
      <c r="DK252" s="1">
        <v>4</v>
      </c>
      <c r="DL252" s="1">
        <v>5</v>
      </c>
      <c r="DM252" s="19">
        <v>7</v>
      </c>
      <c r="DN252" s="19">
        <v>7</v>
      </c>
      <c r="DO252" s="1">
        <v>6</v>
      </c>
      <c r="DP252" s="1">
        <v>5</v>
      </c>
      <c r="DQ252" s="1">
        <v>5</v>
      </c>
      <c r="DR252" s="1">
        <v>5</v>
      </c>
      <c r="DS252" s="1">
        <v>5</v>
      </c>
      <c r="DT252" s="1">
        <v>5</v>
      </c>
      <c r="DU252" s="27">
        <v>7</v>
      </c>
      <c r="DV252" s="27">
        <v>7</v>
      </c>
      <c r="DW252" s="27">
        <v>4</v>
      </c>
      <c r="DX252" s="27">
        <v>4</v>
      </c>
      <c r="DY252" s="27">
        <v>6</v>
      </c>
      <c r="DZ252" s="27">
        <v>7</v>
      </c>
      <c r="EA252" s="27">
        <v>5</v>
      </c>
      <c r="EB252" s="27">
        <v>5</v>
      </c>
      <c r="EC252" s="27">
        <v>7</v>
      </c>
      <c r="ED252" s="27">
        <v>4</v>
      </c>
      <c r="EE252" s="27">
        <v>5</v>
      </c>
      <c r="EF252" s="27">
        <v>7</v>
      </c>
      <c r="EG252" s="27">
        <v>6</v>
      </c>
      <c r="EH252" s="27">
        <v>4</v>
      </c>
      <c r="EI252" s="27">
        <v>4</v>
      </c>
      <c r="EJ252" s="27">
        <v>4</v>
      </c>
      <c r="EK252" s="27">
        <v>4</v>
      </c>
      <c r="EL252" s="27">
        <v>4</v>
      </c>
      <c r="EM252" s="27">
        <v>4</v>
      </c>
      <c r="EN252" s="27">
        <v>4</v>
      </c>
      <c r="EO252" s="27">
        <v>6</v>
      </c>
      <c r="EP252" s="27">
        <v>6</v>
      </c>
      <c r="EQ252" s="27">
        <v>7</v>
      </c>
      <c r="ER252" s="27">
        <v>4</v>
      </c>
      <c r="ES252" s="27">
        <v>4</v>
      </c>
      <c r="ET252" s="27">
        <v>4</v>
      </c>
      <c r="EU252" s="27">
        <v>5</v>
      </c>
      <c r="EV252" s="27">
        <v>18</v>
      </c>
      <c r="EW252" s="27">
        <v>1</v>
      </c>
      <c r="EY252" s="27">
        <v>4</v>
      </c>
      <c r="FA252" s="27">
        <v>1</v>
      </c>
      <c r="FB252" s="28" t="s">
        <v>932</v>
      </c>
      <c r="FC252" s="27">
        <v>0</v>
      </c>
      <c r="FD252" s="1">
        <v>2</v>
      </c>
      <c r="FE252" s="4"/>
      <c r="FF252" s="4"/>
      <c r="FG252" s="4"/>
      <c r="FH252" s="4"/>
      <c r="FI252" s="4"/>
      <c r="FJ252" s="23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26"/>
      <c r="GF252" s="26"/>
      <c r="GG252" s="4"/>
      <c r="JH252" s="1"/>
      <c r="JV252" s="1"/>
      <c r="KM252" s="4"/>
      <c r="LA252" s="4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</row>
    <row r="253" spans="1:376" x14ac:dyDescent="0.35">
      <c r="A253" s="14">
        <v>43497</v>
      </c>
      <c r="B253" s="16" t="s">
        <v>151</v>
      </c>
      <c r="C253" s="16" t="s">
        <v>414</v>
      </c>
      <c r="D253" s="1">
        <v>252</v>
      </c>
      <c r="E253" s="1">
        <v>6</v>
      </c>
      <c r="F253" s="1">
        <v>6</v>
      </c>
      <c r="H253" s="1">
        <v>63</v>
      </c>
      <c r="I253" s="1">
        <v>4</v>
      </c>
      <c r="K253" s="18">
        <v>1</v>
      </c>
      <c r="L253" s="18">
        <v>1</v>
      </c>
      <c r="M253" s="18">
        <v>1</v>
      </c>
      <c r="N253" s="18">
        <v>1</v>
      </c>
      <c r="O253" s="18">
        <v>1</v>
      </c>
      <c r="P253" s="4">
        <v>1</v>
      </c>
      <c r="Q253" s="3">
        <v>29</v>
      </c>
      <c r="R253" s="1">
        <v>66</v>
      </c>
      <c r="S253" s="1">
        <v>88</v>
      </c>
      <c r="T253" s="1">
        <v>94</v>
      </c>
      <c r="U253" s="1">
        <v>80</v>
      </c>
      <c r="V253" s="1">
        <v>120</v>
      </c>
      <c r="W253" s="1">
        <v>91</v>
      </c>
      <c r="X253" s="1">
        <v>98</v>
      </c>
      <c r="Y253" s="1">
        <v>125</v>
      </c>
      <c r="AI253" s="4"/>
      <c r="AJ253" s="4"/>
      <c r="AK253" s="4"/>
      <c r="AL253" s="1">
        <v>0</v>
      </c>
      <c r="AM253" s="1">
        <v>1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9">
        <v>2</v>
      </c>
      <c r="AT253" s="19">
        <v>0</v>
      </c>
      <c r="AU253" s="19">
        <v>0</v>
      </c>
      <c r="AV253" s="19">
        <v>0</v>
      </c>
      <c r="AW253" s="19">
        <v>0</v>
      </c>
      <c r="AX253" s="19"/>
      <c r="AY253"/>
      <c r="AZ253"/>
      <c r="BA253"/>
      <c r="BB253"/>
      <c r="BC253"/>
      <c r="BP253" s="4"/>
      <c r="BQ253" s="4"/>
      <c r="BR253" s="4"/>
      <c r="BS253" s="4"/>
      <c r="BT253" s="4"/>
      <c r="BU253" s="4"/>
      <c r="CI253" s="1">
        <v>6</v>
      </c>
      <c r="CJ253" s="1">
        <v>6</v>
      </c>
      <c r="CK253" s="1">
        <v>7</v>
      </c>
      <c r="CL253" s="1">
        <v>6</v>
      </c>
      <c r="CM253" s="1">
        <v>6</v>
      </c>
      <c r="CN253" s="1">
        <v>6</v>
      </c>
      <c r="CO253" s="1">
        <v>6</v>
      </c>
      <c r="CP253" s="1">
        <v>6</v>
      </c>
      <c r="CQ253" s="1">
        <v>6</v>
      </c>
      <c r="CR253" s="1">
        <v>6</v>
      </c>
      <c r="CS253" s="1">
        <v>2</v>
      </c>
      <c r="CT253" s="1">
        <v>2</v>
      </c>
      <c r="CU253" s="1">
        <v>2</v>
      </c>
      <c r="CV253" s="1">
        <v>6</v>
      </c>
      <c r="CW253" s="1">
        <v>6</v>
      </c>
      <c r="CX253" s="1">
        <v>6</v>
      </c>
      <c r="CY253" s="1">
        <v>6</v>
      </c>
      <c r="CZ253" s="1">
        <v>7</v>
      </c>
      <c r="DA253" s="1">
        <v>7</v>
      </c>
      <c r="DB253" s="1">
        <v>7</v>
      </c>
      <c r="DC253" s="1">
        <v>6</v>
      </c>
      <c r="DD253" s="1">
        <v>7</v>
      </c>
      <c r="DE253" s="1">
        <v>7</v>
      </c>
      <c r="DF253" s="1">
        <v>6</v>
      </c>
      <c r="DG253" s="1">
        <v>3</v>
      </c>
      <c r="DH253" s="1">
        <v>7</v>
      </c>
      <c r="DI253" s="1">
        <v>7</v>
      </c>
      <c r="DJ253" s="1">
        <v>6</v>
      </c>
      <c r="DK253" s="1">
        <v>7</v>
      </c>
      <c r="DL253" s="1">
        <v>7</v>
      </c>
      <c r="DM253" s="19">
        <v>7</v>
      </c>
      <c r="DN253" s="19">
        <v>6</v>
      </c>
      <c r="DO253" s="1">
        <v>6</v>
      </c>
      <c r="DP253" s="1">
        <v>7</v>
      </c>
      <c r="DQ253" s="1">
        <v>7</v>
      </c>
      <c r="DR253" s="1">
        <v>6</v>
      </c>
      <c r="DS253" s="1">
        <v>6</v>
      </c>
      <c r="DT253" s="1">
        <v>6</v>
      </c>
      <c r="DU253" s="27">
        <v>2</v>
      </c>
      <c r="DV253" s="27">
        <v>2</v>
      </c>
      <c r="DW253" s="27">
        <v>6</v>
      </c>
      <c r="DX253" s="27">
        <v>7</v>
      </c>
      <c r="DY253" s="27">
        <v>7</v>
      </c>
      <c r="DZ253" s="27">
        <v>6</v>
      </c>
      <c r="EA253" s="27">
        <v>2</v>
      </c>
      <c r="EB253" s="27">
        <v>2</v>
      </c>
      <c r="EC253" s="27">
        <v>7</v>
      </c>
      <c r="ED253" s="27">
        <v>2</v>
      </c>
      <c r="EE253" s="27">
        <v>2</v>
      </c>
      <c r="EF253" s="27">
        <v>2</v>
      </c>
      <c r="EG253" s="27">
        <v>6</v>
      </c>
      <c r="EH253" s="27">
        <v>7</v>
      </c>
      <c r="EI253" s="27">
        <v>7</v>
      </c>
      <c r="EJ253" s="27">
        <v>7</v>
      </c>
      <c r="EK253" s="27">
        <v>7</v>
      </c>
      <c r="EL253" s="27">
        <v>7</v>
      </c>
      <c r="EM253" s="27">
        <v>2</v>
      </c>
      <c r="EN253" s="27">
        <v>2</v>
      </c>
      <c r="EO253" s="27">
        <v>7</v>
      </c>
      <c r="EP253" s="27">
        <v>7</v>
      </c>
      <c r="EQ253" s="27">
        <v>6</v>
      </c>
      <c r="ER253" s="27">
        <v>7</v>
      </c>
      <c r="ES253" s="27">
        <v>7</v>
      </c>
      <c r="ET253" s="27">
        <v>7</v>
      </c>
      <c r="EU253" s="27">
        <v>7</v>
      </c>
      <c r="EV253" s="27">
        <v>18</v>
      </c>
      <c r="EW253" s="27">
        <v>1</v>
      </c>
      <c r="EY253" s="27">
        <v>2</v>
      </c>
      <c r="FA253" s="27">
        <v>1</v>
      </c>
      <c r="FB253" s="28" t="s">
        <v>817</v>
      </c>
      <c r="FC253" s="27">
        <v>1</v>
      </c>
      <c r="FD253" s="1">
        <v>1</v>
      </c>
      <c r="FE253" s="4"/>
      <c r="FF253" s="4"/>
      <c r="FG253" s="4"/>
      <c r="FH253" s="4"/>
      <c r="FI253" s="4"/>
      <c r="FJ253" s="23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26"/>
      <c r="GF253" s="26"/>
      <c r="GG253" s="4"/>
      <c r="JH253" s="1"/>
      <c r="JV253" s="1"/>
      <c r="KM253" s="4"/>
      <c r="LA253" s="4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</row>
    <row r="254" spans="1:376" x14ac:dyDescent="0.35">
      <c r="A254" s="14">
        <v>43497</v>
      </c>
      <c r="B254" s="16" t="s">
        <v>152</v>
      </c>
      <c r="C254" s="16" t="s">
        <v>415</v>
      </c>
      <c r="D254" s="1">
        <v>253</v>
      </c>
      <c r="E254" s="1">
        <v>6</v>
      </c>
      <c r="F254" s="1">
        <v>6</v>
      </c>
      <c r="G254" s="1">
        <v>1</v>
      </c>
      <c r="H254" s="1">
        <v>64</v>
      </c>
      <c r="I254" s="1">
        <v>1</v>
      </c>
      <c r="J254" s="1">
        <v>1</v>
      </c>
      <c r="K254" s="18">
        <v>1</v>
      </c>
      <c r="L254" s="18">
        <v>1</v>
      </c>
      <c r="M254" s="18">
        <v>1</v>
      </c>
      <c r="N254" s="18">
        <v>1</v>
      </c>
      <c r="O254" s="18">
        <v>0</v>
      </c>
      <c r="P254" s="4">
        <v>0.8</v>
      </c>
      <c r="Q254" s="3">
        <v>58</v>
      </c>
      <c r="R254" s="1">
        <v>73</v>
      </c>
      <c r="S254" s="1">
        <v>80</v>
      </c>
      <c r="T254" s="1">
        <v>104</v>
      </c>
      <c r="U254" s="1">
        <v>90</v>
      </c>
      <c r="V254" s="1">
        <v>100</v>
      </c>
      <c r="W254" s="1">
        <v>110</v>
      </c>
      <c r="X254" s="1">
        <v>90</v>
      </c>
      <c r="Y254" s="1">
        <v>78</v>
      </c>
      <c r="Z254" s="1">
        <v>239</v>
      </c>
      <c r="AA254" s="1">
        <v>302</v>
      </c>
      <c r="AB254" s="1">
        <v>353</v>
      </c>
      <c r="AC254" s="1">
        <v>438</v>
      </c>
      <c r="AD254" s="1">
        <v>391</v>
      </c>
      <c r="AE254" s="1">
        <v>436</v>
      </c>
      <c r="AF254" s="1">
        <v>381</v>
      </c>
      <c r="AG254" s="1">
        <v>398</v>
      </c>
      <c r="AH254" s="1">
        <v>401</v>
      </c>
      <c r="AI254" s="4">
        <v>298</v>
      </c>
      <c r="AJ254" s="4">
        <v>421.67</v>
      </c>
      <c r="AK254" s="4">
        <v>393.33</v>
      </c>
      <c r="AL254" s="1">
        <v>1</v>
      </c>
      <c r="AM254" s="1">
        <v>0</v>
      </c>
      <c r="AN254" s="1">
        <v>1</v>
      </c>
      <c r="AO254" s="1">
        <v>0</v>
      </c>
      <c r="AP254" s="1">
        <v>0</v>
      </c>
      <c r="AQ254" s="1">
        <v>0</v>
      </c>
      <c r="AR254" s="1">
        <v>0</v>
      </c>
      <c r="AS254" s="19">
        <v>0</v>
      </c>
      <c r="AT254" s="19">
        <v>0</v>
      </c>
      <c r="AU254" s="19">
        <v>0</v>
      </c>
      <c r="AV254" s="19">
        <v>0</v>
      </c>
      <c r="AW254" s="19">
        <v>0</v>
      </c>
      <c r="AX254" s="19">
        <f t="shared" ref="AX254:BC254" si="126">AL254+AL255+AL256+AL257</f>
        <v>1</v>
      </c>
      <c r="AY254" s="19">
        <f t="shared" si="126"/>
        <v>0</v>
      </c>
      <c r="AZ254" s="19">
        <f t="shared" si="126"/>
        <v>1</v>
      </c>
      <c r="BA254" s="19">
        <f t="shared" si="126"/>
        <v>0</v>
      </c>
      <c r="BB254" s="19">
        <f t="shared" si="126"/>
        <v>0</v>
      </c>
      <c r="BC254" s="19">
        <f t="shared" si="126"/>
        <v>0</v>
      </c>
      <c r="BD254" s="1">
        <f>AX254*3</f>
        <v>3</v>
      </c>
      <c r="BE254" s="1">
        <f t="shared" ref="BE254:BI254" si="127">AY254*3</f>
        <v>0</v>
      </c>
      <c r="BF254" s="1">
        <f t="shared" si="127"/>
        <v>3</v>
      </c>
      <c r="BG254" s="1">
        <f t="shared" si="127"/>
        <v>0</v>
      </c>
      <c r="BH254" s="1">
        <f t="shared" si="127"/>
        <v>0</v>
      </c>
      <c r="BI254" s="1">
        <f t="shared" si="127"/>
        <v>0</v>
      </c>
      <c r="BJ254" s="1">
        <f>AX254+AY254+AZ254</f>
        <v>2</v>
      </c>
      <c r="BK254" s="1">
        <f>BA254+BB254+BC254</f>
        <v>0</v>
      </c>
      <c r="BL254" s="1">
        <f>BJ254*3</f>
        <v>6</v>
      </c>
      <c r="BM254" s="1">
        <f>BK254*3</f>
        <v>0</v>
      </c>
      <c r="BN254" s="1">
        <f>BL254/3</f>
        <v>2</v>
      </c>
      <c r="BO254" s="1">
        <f>BM254/3</f>
        <v>0</v>
      </c>
      <c r="BP254" s="4">
        <v>296</v>
      </c>
      <c r="BQ254" s="4">
        <v>421.66666666666669</v>
      </c>
      <c r="BR254" s="4">
        <v>393.33333333333331</v>
      </c>
      <c r="BS254" s="4">
        <v>421.67</v>
      </c>
      <c r="BT254" s="4">
        <v>393.33</v>
      </c>
      <c r="BU254" s="4">
        <v>3.75</v>
      </c>
      <c r="BV254" s="1">
        <v>2</v>
      </c>
      <c r="BW254" s="1">
        <v>2</v>
      </c>
      <c r="BX254" s="1">
        <v>2</v>
      </c>
      <c r="BY254" s="1">
        <v>2</v>
      </c>
      <c r="BZ254" s="1">
        <v>3</v>
      </c>
      <c r="CA254" s="1">
        <v>3</v>
      </c>
      <c r="CB254" s="1">
        <v>3</v>
      </c>
      <c r="CC254" s="1">
        <v>3</v>
      </c>
      <c r="CD254" s="1">
        <v>3</v>
      </c>
      <c r="CE254" s="1">
        <v>3</v>
      </c>
      <c r="CF254" s="1">
        <v>3</v>
      </c>
      <c r="CG254" s="1">
        <v>3</v>
      </c>
      <c r="CH254" s="1">
        <v>1</v>
      </c>
      <c r="CI254" s="1">
        <v>7</v>
      </c>
      <c r="CJ254" s="1">
        <v>7</v>
      </c>
      <c r="CK254" s="1">
        <v>7</v>
      </c>
      <c r="CL254" s="1">
        <v>7</v>
      </c>
      <c r="CM254" s="1">
        <v>7</v>
      </c>
      <c r="CN254" s="1">
        <v>7</v>
      </c>
      <c r="CO254" s="1">
        <v>7</v>
      </c>
      <c r="CP254" s="1">
        <v>2</v>
      </c>
      <c r="CQ254" s="1">
        <v>7</v>
      </c>
      <c r="CR254" s="1">
        <v>7</v>
      </c>
      <c r="CS254" s="1">
        <v>7</v>
      </c>
      <c r="CT254" s="1">
        <v>6</v>
      </c>
      <c r="CU254" s="1">
        <v>7</v>
      </c>
      <c r="CV254" s="1">
        <v>7</v>
      </c>
      <c r="CW254" s="1">
        <v>7</v>
      </c>
      <c r="CX254" s="1">
        <v>7</v>
      </c>
      <c r="CY254" s="1">
        <v>7</v>
      </c>
      <c r="CZ254" s="1">
        <v>7</v>
      </c>
      <c r="DA254" s="1">
        <v>7</v>
      </c>
      <c r="DB254" s="1">
        <v>7</v>
      </c>
      <c r="DC254" s="1">
        <v>7</v>
      </c>
      <c r="DD254" s="1">
        <v>7</v>
      </c>
      <c r="DE254" s="1">
        <v>7</v>
      </c>
      <c r="DF254" s="1">
        <v>7</v>
      </c>
      <c r="DG254" s="1">
        <v>7</v>
      </c>
      <c r="DH254" s="1">
        <v>7</v>
      </c>
      <c r="DI254" s="1">
        <v>7</v>
      </c>
      <c r="DJ254" s="1">
        <v>7</v>
      </c>
      <c r="DK254" s="1">
        <v>7</v>
      </c>
      <c r="DL254" s="1">
        <v>7</v>
      </c>
      <c r="DM254" s="19">
        <v>7</v>
      </c>
      <c r="DN254" s="19">
        <v>7</v>
      </c>
      <c r="DO254" s="1">
        <v>7</v>
      </c>
      <c r="DP254" s="1">
        <v>7</v>
      </c>
      <c r="DQ254" s="1">
        <v>7</v>
      </c>
      <c r="DR254" s="1">
        <v>7</v>
      </c>
      <c r="DS254" s="1">
        <v>7</v>
      </c>
      <c r="DT254" s="1">
        <v>7</v>
      </c>
      <c r="DU254" s="27">
        <v>6</v>
      </c>
      <c r="DV254" s="27">
        <v>4</v>
      </c>
      <c r="DW254" s="27">
        <v>1</v>
      </c>
      <c r="DX254" s="27">
        <v>6</v>
      </c>
      <c r="DY254" s="27">
        <v>4</v>
      </c>
      <c r="DZ254" s="27">
        <v>6</v>
      </c>
      <c r="EA254" s="27">
        <v>1</v>
      </c>
      <c r="EB254" s="27">
        <v>7</v>
      </c>
      <c r="EC254" s="27">
        <v>7</v>
      </c>
      <c r="ED254" s="27">
        <v>1</v>
      </c>
      <c r="EE254" s="27">
        <v>6</v>
      </c>
      <c r="EF254" s="27">
        <v>4</v>
      </c>
      <c r="EG254" s="27">
        <v>7</v>
      </c>
      <c r="EH254" s="27">
        <v>7</v>
      </c>
      <c r="EI254" s="27">
        <v>7</v>
      </c>
      <c r="EJ254" s="27">
        <v>7</v>
      </c>
      <c r="EK254" s="27">
        <v>7</v>
      </c>
      <c r="EL254" s="27">
        <v>7</v>
      </c>
      <c r="EM254" s="27">
        <v>1</v>
      </c>
      <c r="EN254" s="27">
        <v>1</v>
      </c>
      <c r="EO254" s="27">
        <v>7</v>
      </c>
      <c r="EP254" s="27">
        <v>7</v>
      </c>
      <c r="EQ254" s="27">
        <v>7</v>
      </c>
      <c r="ER254" s="27">
        <v>7</v>
      </c>
      <c r="ES254" s="27">
        <v>7</v>
      </c>
      <c r="ET254" s="27">
        <v>7</v>
      </c>
      <c r="EU254" s="27">
        <v>7</v>
      </c>
      <c r="EV254" s="27">
        <v>19</v>
      </c>
      <c r="EW254" s="27">
        <v>1</v>
      </c>
      <c r="EY254" s="27">
        <v>2</v>
      </c>
      <c r="FA254" s="27">
        <v>2</v>
      </c>
      <c r="FB254" s="28" t="s">
        <v>933</v>
      </c>
      <c r="FC254" s="27">
        <v>0</v>
      </c>
      <c r="FD254" s="1">
        <v>4</v>
      </c>
      <c r="FE254" s="4">
        <v>6.54</v>
      </c>
      <c r="FF254" s="4">
        <v>6.69</v>
      </c>
      <c r="FG254" s="4">
        <v>8.19</v>
      </c>
      <c r="FH254" s="4">
        <v>6.75</v>
      </c>
      <c r="FI254" s="4">
        <v>6.75</v>
      </c>
      <c r="FJ254" s="23">
        <v>6.75</v>
      </c>
      <c r="FK254" s="4">
        <v>5.42</v>
      </c>
      <c r="FL254" s="4">
        <v>6.75</v>
      </c>
      <c r="FM254" s="4">
        <v>5.88</v>
      </c>
      <c r="FN254" s="4">
        <v>6.38</v>
      </c>
      <c r="FO254" s="4">
        <v>6.67</v>
      </c>
      <c r="FP254" s="4">
        <v>5.5</v>
      </c>
      <c r="FQ254" s="4">
        <v>4</v>
      </c>
      <c r="FR254" s="4">
        <v>1</v>
      </c>
      <c r="FS254" s="4">
        <v>5.75</v>
      </c>
      <c r="FT254" s="4">
        <v>5.5</v>
      </c>
      <c r="FU254" s="4">
        <v>4.5</v>
      </c>
      <c r="FV254" s="4">
        <v>5.5</v>
      </c>
      <c r="FW254" s="4">
        <v>5</v>
      </c>
      <c r="FX254" s="4">
        <v>5.25</v>
      </c>
      <c r="FY254" s="4">
        <v>7</v>
      </c>
      <c r="FZ254" s="4">
        <v>7</v>
      </c>
      <c r="GA254" s="4">
        <v>1.63</v>
      </c>
      <c r="GB254" s="4">
        <v>6.58</v>
      </c>
      <c r="GC254" s="4">
        <v>6.88</v>
      </c>
      <c r="GD254" s="4">
        <v>4.75</v>
      </c>
      <c r="GE254" s="26"/>
      <c r="GF254" s="26"/>
      <c r="GG254" s="4"/>
      <c r="JH254" s="1"/>
      <c r="JV254" s="1"/>
      <c r="KM254" s="4"/>
      <c r="LA254" s="4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</row>
    <row r="255" spans="1:376" x14ac:dyDescent="0.35">
      <c r="A255" s="14">
        <v>43497</v>
      </c>
      <c r="B255" s="16" t="s">
        <v>152</v>
      </c>
      <c r="C255" s="16" t="s">
        <v>416</v>
      </c>
      <c r="D255" s="1">
        <v>254</v>
      </c>
      <c r="E255" s="1">
        <v>6</v>
      </c>
      <c r="F255" s="1">
        <v>6</v>
      </c>
      <c r="H255" s="1">
        <v>64</v>
      </c>
      <c r="I255" s="1">
        <v>2</v>
      </c>
      <c r="K255" s="18">
        <v>0</v>
      </c>
      <c r="L255" s="18">
        <v>0</v>
      </c>
      <c r="M255" s="18">
        <v>1</v>
      </c>
      <c r="N255" s="18">
        <v>1</v>
      </c>
      <c r="O255" s="18">
        <v>0</v>
      </c>
      <c r="P255" s="4">
        <v>0.4</v>
      </c>
      <c r="Q255" s="3">
        <v>58</v>
      </c>
      <c r="R255" s="1">
        <v>69</v>
      </c>
      <c r="S255" s="1">
        <v>92</v>
      </c>
      <c r="T255" s="1">
        <v>105</v>
      </c>
      <c r="U255" s="1">
        <v>95</v>
      </c>
      <c r="V255" s="1">
        <v>102</v>
      </c>
      <c r="W255" s="1">
        <v>82</v>
      </c>
      <c r="X255" s="1">
        <v>103</v>
      </c>
      <c r="Y255" s="1">
        <v>110</v>
      </c>
      <c r="AI255" s="4"/>
      <c r="AJ255" s="4"/>
      <c r="AK255" s="4"/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9">
        <v>0</v>
      </c>
      <c r="AT255" s="19">
        <v>2</v>
      </c>
      <c r="AU255" s="19">
        <v>0</v>
      </c>
      <c r="AV255" s="19">
        <v>0</v>
      </c>
      <c r="AW255" s="19">
        <v>0</v>
      </c>
      <c r="AX255" s="19"/>
      <c r="AY255"/>
      <c r="AZ255"/>
      <c r="BA255"/>
      <c r="BB255"/>
      <c r="BC255"/>
      <c r="BP255" s="4"/>
      <c r="BQ255" s="4"/>
      <c r="BR255" s="4"/>
      <c r="BS255" s="4"/>
      <c r="BT255" s="4"/>
      <c r="BU255" s="4"/>
      <c r="CI255" s="1">
        <v>7</v>
      </c>
      <c r="CJ255" s="1">
        <v>7</v>
      </c>
      <c r="CK255" s="1">
        <v>7</v>
      </c>
      <c r="CL255" s="1">
        <v>6</v>
      </c>
      <c r="CM255" s="1">
        <v>6</v>
      </c>
      <c r="CN255" s="1">
        <v>6</v>
      </c>
      <c r="CO255" s="1">
        <v>7</v>
      </c>
      <c r="CP255" s="1">
        <v>1</v>
      </c>
      <c r="CQ255" s="1">
        <v>7</v>
      </c>
      <c r="CR255" s="1">
        <v>7</v>
      </c>
      <c r="CS255" s="1">
        <v>7</v>
      </c>
      <c r="CT255" s="1">
        <v>7</v>
      </c>
      <c r="CU255" s="1">
        <v>7</v>
      </c>
      <c r="CV255" s="1">
        <v>7</v>
      </c>
      <c r="CW255" s="1">
        <v>7</v>
      </c>
      <c r="CX255" s="1">
        <v>7</v>
      </c>
      <c r="CY255" s="1">
        <v>7</v>
      </c>
      <c r="CZ255" s="1">
        <v>7</v>
      </c>
      <c r="DA255" s="1">
        <v>7</v>
      </c>
      <c r="DB255" s="1">
        <v>7</v>
      </c>
      <c r="DC255" s="1">
        <v>7</v>
      </c>
      <c r="DD255" s="1">
        <v>7</v>
      </c>
      <c r="DE255" s="1">
        <v>7</v>
      </c>
      <c r="DF255" s="1">
        <v>6</v>
      </c>
      <c r="DG255" s="1">
        <v>6</v>
      </c>
      <c r="DH255" s="1">
        <v>7</v>
      </c>
      <c r="DI255" s="1">
        <v>7</v>
      </c>
      <c r="DJ255" s="1">
        <v>6</v>
      </c>
      <c r="DK255" s="1">
        <v>6</v>
      </c>
      <c r="DL255" s="1">
        <v>7</v>
      </c>
      <c r="DM255" s="19">
        <v>7</v>
      </c>
      <c r="DN255" s="19">
        <v>7</v>
      </c>
      <c r="DO255" s="1">
        <v>7</v>
      </c>
      <c r="DP255" s="1">
        <v>6</v>
      </c>
      <c r="DQ255" s="1">
        <v>6</v>
      </c>
      <c r="DR255" s="1">
        <v>7</v>
      </c>
      <c r="DS255" s="1">
        <v>7</v>
      </c>
      <c r="DT255" s="1">
        <v>7</v>
      </c>
      <c r="DU255" s="27">
        <v>7</v>
      </c>
      <c r="DV255" s="27">
        <v>7</v>
      </c>
      <c r="DW255" s="27">
        <v>4</v>
      </c>
      <c r="DX255" s="27">
        <v>7</v>
      </c>
      <c r="DY255" s="27">
        <v>1</v>
      </c>
      <c r="DZ255" s="27">
        <v>1</v>
      </c>
      <c r="EA255" s="27">
        <v>1</v>
      </c>
      <c r="EB255" s="27">
        <v>4</v>
      </c>
      <c r="EC255" s="27">
        <v>7</v>
      </c>
      <c r="ED255" s="27">
        <v>7</v>
      </c>
      <c r="EE255" s="27">
        <v>4</v>
      </c>
      <c r="EF255" s="27">
        <v>7</v>
      </c>
      <c r="EG255" s="27">
        <v>4</v>
      </c>
      <c r="EH255" s="27">
        <v>7</v>
      </c>
      <c r="EI255" s="27">
        <v>7</v>
      </c>
      <c r="EJ255" s="27">
        <v>7</v>
      </c>
      <c r="EK255" s="27">
        <v>7</v>
      </c>
      <c r="EL255" s="27">
        <v>7</v>
      </c>
      <c r="EM255" s="27">
        <v>1</v>
      </c>
      <c r="EN255" s="27">
        <v>6</v>
      </c>
      <c r="EO255" s="27">
        <v>7</v>
      </c>
      <c r="EP255" s="27">
        <v>7</v>
      </c>
      <c r="EQ255" s="27">
        <v>7</v>
      </c>
      <c r="ER255" s="27">
        <v>6</v>
      </c>
      <c r="ES255" s="27">
        <v>7</v>
      </c>
      <c r="ET255" s="27">
        <v>4</v>
      </c>
      <c r="EU255" s="27">
        <v>4</v>
      </c>
      <c r="EV255" s="27">
        <v>21</v>
      </c>
      <c r="EW255" s="27">
        <v>4</v>
      </c>
      <c r="EY255" s="27">
        <v>1</v>
      </c>
      <c r="FA255" s="27">
        <v>2</v>
      </c>
      <c r="FB255" s="28" t="s">
        <v>934</v>
      </c>
      <c r="FC255" s="27">
        <v>1</v>
      </c>
      <c r="FD255" s="1">
        <v>3</v>
      </c>
      <c r="FE255" s="4"/>
      <c r="FF255" s="4"/>
      <c r="FG255" s="4"/>
      <c r="FH255" s="4"/>
      <c r="FI255" s="4"/>
      <c r="FJ255" s="23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26"/>
      <c r="GF255" s="26"/>
      <c r="GG255" s="4"/>
      <c r="JH255" s="1"/>
      <c r="JV255" s="1"/>
      <c r="KM255" s="4"/>
      <c r="LA255" s="4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</row>
    <row r="256" spans="1:376" x14ac:dyDescent="0.35">
      <c r="A256" s="14">
        <v>43497</v>
      </c>
      <c r="B256" s="16" t="s">
        <v>152</v>
      </c>
      <c r="C256" s="16" t="s">
        <v>417</v>
      </c>
      <c r="D256" s="1">
        <v>255</v>
      </c>
      <c r="E256" s="1">
        <v>6</v>
      </c>
      <c r="F256" s="1">
        <v>6</v>
      </c>
      <c r="H256" s="1">
        <v>64</v>
      </c>
      <c r="I256" s="1">
        <v>3</v>
      </c>
      <c r="K256" s="18">
        <v>1</v>
      </c>
      <c r="L256" s="18">
        <v>1</v>
      </c>
      <c r="M256" s="18">
        <v>1</v>
      </c>
      <c r="N256" s="18">
        <v>1</v>
      </c>
      <c r="O256" s="18">
        <v>0</v>
      </c>
      <c r="P256" s="4">
        <v>0.8</v>
      </c>
      <c r="Q256" s="3">
        <v>60</v>
      </c>
      <c r="R256" s="1">
        <v>64</v>
      </c>
      <c r="S256" s="1">
        <v>81</v>
      </c>
      <c r="T256" s="1">
        <v>120</v>
      </c>
      <c r="U256" s="1">
        <v>113</v>
      </c>
      <c r="V256" s="1">
        <v>114</v>
      </c>
      <c r="W256" s="1">
        <v>101</v>
      </c>
      <c r="X256" s="1">
        <v>95</v>
      </c>
      <c r="Y256" s="1">
        <v>112</v>
      </c>
      <c r="AI256" s="4"/>
      <c r="AJ256" s="4"/>
      <c r="AK256" s="4"/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9">
        <v>0</v>
      </c>
      <c r="AT256" s="19">
        <v>0</v>
      </c>
      <c r="AU256" s="19">
        <v>0</v>
      </c>
      <c r="AV256" s="19">
        <v>0</v>
      </c>
      <c r="AW256" s="19">
        <v>0</v>
      </c>
      <c r="AX256" s="19"/>
      <c r="AY256"/>
      <c r="AZ256"/>
      <c r="BA256"/>
      <c r="BB256"/>
      <c r="BC256"/>
      <c r="BP256" s="4"/>
      <c r="BQ256" s="4"/>
      <c r="BR256" s="4"/>
      <c r="BS256" s="4"/>
      <c r="BT256" s="4"/>
      <c r="BU256" s="4"/>
      <c r="CI256" s="1">
        <v>7</v>
      </c>
      <c r="CJ256" s="1">
        <v>7</v>
      </c>
      <c r="CK256" s="1">
        <v>7</v>
      </c>
      <c r="CL256" s="1">
        <v>7</v>
      </c>
      <c r="CM256" s="1">
        <v>6</v>
      </c>
      <c r="CN256" s="1">
        <v>6</v>
      </c>
      <c r="CO256" s="1">
        <v>6</v>
      </c>
      <c r="CP256" s="1">
        <v>2</v>
      </c>
      <c r="CQ256" s="1">
        <v>7</v>
      </c>
      <c r="CR256" s="1">
        <v>6</v>
      </c>
      <c r="CS256" s="1">
        <v>7</v>
      </c>
      <c r="CT256" s="1">
        <v>6</v>
      </c>
      <c r="CU256" s="1">
        <v>6</v>
      </c>
      <c r="CV256" s="1">
        <v>7</v>
      </c>
      <c r="CW256" s="1">
        <v>6</v>
      </c>
      <c r="CX256" s="1">
        <v>6</v>
      </c>
      <c r="CY256" s="1">
        <v>6</v>
      </c>
      <c r="CZ256" s="1">
        <v>7</v>
      </c>
      <c r="DA256" s="1">
        <v>7</v>
      </c>
      <c r="DB256" s="1">
        <v>7</v>
      </c>
      <c r="DC256" s="1">
        <v>7</v>
      </c>
      <c r="DD256" s="1">
        <v>7</v>
      </c>
      <c r="DE256" s="1">
        <v>7</v>
      </c>
      <c r="DF256" s="1">
        <v>3</v>
      </c>
      <c r="DG256" s="1">
        <v>5</v>
      </c>
      <c r="DH256" s="1">
        <v>6</v>
      </c>
      <c r="DI256" s="1">
        <v>3</v>
      </c>
      <c r="DJ256" s="1">
        <v>6</v>
      </c>
      <c r="DK256" s="1">
        <v>3</v>
      </c>
      <c r="DL256" s="1">
        <v>7</v>
      </c>
      <c r="DM256" s="19">
        <v>7</v>
      </c>
      <c r="DN256" s="19">
        <v>6</v>
      </c>
      <c r="DO256" s="1">
        <v>7</v>
      </c>
      <c r="DP256" s="1">
        <v>7</v>
      </c>
      <c r="DQ256" s="1">
        <v>6</v>
      </c>
      <c r="DR256" s="1">
        <v>7</v>
      </c>
      <c r="DS256" s="1">
        <v>6</v>
      </c>
      <c r="DT256" s="1">
        <v>6</v>
      </c>
      <c r="DU256" s="27">
        <v>7</v>
      </c>
      <c r="DV256" s="27">
        <v>7</v>
      </c>
      <c r="DW256" s="27">
        <v>5</v>
      </c>
      <c r="DX256" s="27">
        <v>5</v>
      </c>
      <c r="DY256" s="27">
        <v>7</v>
      </c>
      <c r="DZ256" s="27">
        <v>3</v>
      </c>
      <c r="EA256" s="27">
        <v>1</v>
      </c>
      <c r="EB256" s="27">
        <v>7</v>
      </c>
      <c r="EC256" s="27">
        <v>7</v>
      </c>
      <c r="ED256" s="27">
        <v>6</v>
      </c>
      <c r="EE256" s="27">
        <v>6</v>
      </c>
      <c r="EF256" s="27">
        <v>5</v>
      </c>
      <c r="EG256" s="27">
        <v>6</v>
      </c>
      <c r="EH256" s="27">
        <v>7</v>
      </c>
      <c r="EI256" s="27">
        <v>7</v>
      </c>
      <c r="EJ256" s="27">
        <v>7</v>
      </c>
      <c r="EK256" s="27">
        <v>7</v>
      </c>
      <c r="EL256" s="27">
        <v>7</v>
      </c>
      <c r="EM256" s="27">
        <v>1</v>
      </c>
      <c r="EN256" s="27">
        <v>1</v>
      </c>
      <c r="EO256" s="27">
        <v>7</v>
      </c>
      <c r="EP256" s="27">
        <v>6</v>
      </c>
      <c r="EQ256" s="27">
        <v>6</v>
      </c>
      <c r="ER256" s="27">
        <v>7</v>
      </c>
      <c r="ES256" s="27">
        <v>7</v>
      </c>
      <c r="ET256" s="27">
        <v>4</v>
      </c>
      <c r="EU256" s="27">
        <v>4</v>
      </c>
      <c r="EV256" s="27">
        <v>19</v>
      </c>
      <c r="EW256" s="27">
        <v>1</v>
      </c>
      <c r="EY256" s="27">
        <v>1</v>
      </c>
      <c r="FA256" s="27">
        <v>1</v>
      </c>
      <c r="FB256" s="28" t="s">
        <v>935</v>
      </c>
      <c r="FC256" s="27">
        <v>0</v>
      </c>
      <c r="FD256" s="1">
        <v>5</v>
      </c>
      <c r="FE256" s="4"/>
      <c r="FF256" s="4"/>
      <c r="FG256" s="4"/>
      <c r="FH256" s="4"/>
      <c r="FI256" s="4"/>
      <c r="FJ256" s="23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26"/>
      <c r="GF256" s="26"/>
      <c r="GG256" s="4"/>
      <c r="JH256" s="1"/>
      <c r="JV256" s="1"/>
      <c r="KM256" s="4"/>
      <c r="LA256" s="4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</row>
    <row r="257" spans="1:376" x14ac:dyDescent="0.35">
      <c r="A257" s="14">
        <v>43497</v>
      </c>
      <c r="B257" s="16" t="s">
        <v>152</v>
      </c>
      <c r="C257" s="16" t="s">
        <v>418</v>
      </c>
      <c r="D257" s="1">
        <v>256</v>
      </c>
      <c r="E257" s="1">
        <v>6</v>
      </c>
      <c r="F257" s="1">
        <v>6</v>
      </c>
      <c r="H257" s="1">
        <v>64</v>
      </c>
      <c r="I257" s="1">
        <v>4</v>
      </c>
      <c r="K257" s="18">
        <v>1</v>
      </c>
      <c r="L257" s="18">
        <v>1</v>
      </c>
      <c r="M257" s="18">
        <v>1</v>
      </c>
      <c r="N257" s="18">
        <v>1</v>
      </c>
      <c r="O257" s="18">
        <v>0</v>
      </c>
      <c r="P257" s="4">
        <v>0.8</v>
      </c>
      <c r="Q257" s="3">
        <v>63</v>
      </c>
      <c r="R257" s="1">
        <v>96</v>
      </c>
      <c r="S257" s="1">
        <v>100</v>
      </c>
      <c r="T257" s="1">
        <v>109</v>
      </c>
      <c r="U257" s="1">
        <v>93</v>
      </c>
      <c r="V257" s="1">
        <v>120</v>
      </c>
      <c r="W257" s="1">
        <v>88</v>
      </c>
      <c r="X257" s="1">
        <v>110</v>
      </c>
      <c r="Y257" s="1">
        <v>101</v>
      </c>
      <c r="AI257" s="4"/>
      <c r="AJ257" s="4"/>
      <c r="AK257" s="4"/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2</v>
      </c>
      <c r="AS257" s="19">
        <v>0</v>
      </c>
      <c r="AT257" s="19">
        <v>0</v>
      </c>
      <c r="AU257" s="19">
        <v>0</v>
      </c>
      <c r="AV257" s="19">
        <v>0</v>
      </c>
      <c r="AW257" s="19">
        <v>0</v>
      </c>
      <c r="AX257" s="19"/>
      <c r="AY257"/>
      <c r="AZ257"/>
      <c r="BA257"/>
      <c r="BB257"/>
      <c r="BC257"/>
      <c r="BP257" s="4"/>
      <c r="BQ257" s="4"/>
      <c r="BR257" s="4"/>
      <c r="BS257" s="4"/>
      <c r="BT257" s="4"/>
      <c r="BU257" s="4"/>
      <c r="CI257" s="1">
        <v>6</v>
      </c>
      <c r="CJ257" s="1">
        <v>6</v>
      </c>
      <c r="CK257" s="1">
        <v>6</v>
      </c>
      <c r="CL257" s="1">
        <v>6</v>
      </c>
      <c r="CM257" s="1">
        <v>6</v>
      </c>
      <c r="CN257" s="1">
        <v>6</v>
      </c>
      <c r="CO257" s="1">
        <v>6</v>
      </c>
      <c r="CP257" s="1">
        <v>1</v>
      </c>
      <c r="CQ257" s="1">
        <v>7</v>
      </c>
      <c r="CR257" s="1">
        <v>6</v>
      </c>
      <c r="CS257" s="1">
        <v>6</v>
      </c>
      <c r="CT257" s="1">
        <v>7</v>
      </c>
      <c r="CU257" s="1">
        <v>6</v>
      </c>
      <c r="CV257" s="1">
        <v>6</v>
      </c>
      <c r="CW257" s="1">
        <v>6</v>
      </c>
      <c r="CX257" s="1">
        <v>6</v>
      </c>
      <c r="CY257" s="1">
        <v>6</v>
      </c>
      <c r="CZ257" s="1">
        <v>6</v>
      </c>
      <c r="DA257" s="1">
        <v>6</v>
      </c>
      <c r="DB257" s="1">
        <v>6</v>
      </c>
      <c r="DC257" s="1">
        <v>6</v>
      </c>
      <c r="DD257" s="1">
        <v>6</v>
      </c>
      <c r="DE257" s="1">
        <v>6</v>
      </c>
      <c r="DF257" s="1">
        <v>4</v>
      </c>
      <c r="DG257" s="1">
        <v>3</v>
      </c>
      <c r="DH257" s="1">
        <v>3</v>
      </c>
      <c r="DI257" s="1">
        <v>6</v>
      </c>
      <c r="DJ257" s="1">
        <v>4</v>
      </c>
      <c r="DK257" s="1">
        <v>4</v>
      </c>
      <c r="DL257" s="1">
        <v>6</v>
      </c>
      <c r="DM257" s="19">
        <v>6</v>
      </c>
      <c r="DN257" s="19">
        <v>3</v>
      </c>
      <c r="DO257" s="1">
        <v>3</v>
      </c>
      <c r="DP257" s="1">
        <v>6</v>
      </c>
      <c r="DQ257" s="1">
        <v>6</v>
      </c>
      <c r="DR257" s="1">
        <v>5</v>
      </c>
      <c r="DS257" s="1">
        <v>7</v>
      </c>
      <c r="DT257" s="1">
        <v>7</v>
      </c>
      <c r="DU257" s="27">
        <v>7</v>
      </c>
      <c r="DV257" s="27">
        <v>7</v>
      </c>
      <c r="DW257" s="27">
        <v>4</v>
      </c>
      <c r="DX257" s="27">
        <v>1</v>
      </c>
      <c r="DY257" s="27">
        <v>1</v>
      </c>
      <c r="DZ257" s="27">
        <v>7</v>
      </c>
      <c r="EA257" s="27">
        <v>1</v>
      </c>
      <c r="EB257" s="27">
        <v>5</v>
      </c>
      <c r="EC257" s="27">
        <v>1</v>
      </c>
      <c r="ED257" s="27">
        <v>4</v>
      </c>
      <c r="EE257" s="27">
        <v>6</v>
      </c>
      <c r="EF257" s="27">
        <v>4</v>
      </c>
      <c r="EG257" s="27">
        <v>4</v>
      </c>
      <c r="EH257" s="27">
        <v>7</v>
      </c>
      <c r="EI257" s="27">
        <v>7</v>
      </c>
      <c r="EJ257" s="27">
        <v>7</v>
      </c>
      <c r="EK257" s="27">
        <v>7</v>
      </c>
      <c r="EL257" s="27">
        <v>7</v>
      </c>
      <c r="EM257" s="27">
        <v>1</v>
      </c>
      <c r="EN257" s="27">
        <v>1</v>
      </c>
      <c r="EO257" s="27">
        <v>6</v>
      </c>
      <c r="EP257" s="27">
        <v>6</v>
      </c>
      <c r="EQ257" s="27">
        <v>6</v>
      </c>
      <c r="ER257" s="27">
        <v>7</v>
      </c>
      <c r="ES257" s="27">
        <v>7</v>
      </c>
      <c r="ET257" s="27">
        <v>4</v>
      </c>
      <c r="EU257" s="27">
        <v>4</v>
      </c>
      <c r="EV257" s="27">
        <v>18</v>
      </c>
      <c r="EW257" s="27">
        <v>2</v>
      </c>
      <c r="EY257" s="27">
        <v>1</v>
      </c>
      <c r="FA257" s="27">
        <v>1</v>
      </c>
      <c r="FB257" s="28" t="s">
        <v>936</v>
      </c>
      <c r="FC257" s="27">
        <v>0</v>
      </c>
      <c r="FD257" s="1">
        <v>9</v>
      </c>
      <c r="FE257" s="4"/>
      <c r="FF257" s="4"/>
      <c r="FG257" s="4"/>
      <c r="FH257" s="4"/>
      <c r="FI257" s="4"/>
      <c r="FJ257" s="23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26"/>
      <c r="GF257" s="26"/>
      <c r="GG257" s="4"/>
      <c r="JH257" s="1"/>
      <c r="JV257" s="1"/>
      <c r="KM257" s="4"/>
      <c r="LA257" s="4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</row>
    <row r="258" spans="1:376" x14ac:dyDescent="0.35">
      <c r="A258" s="14">
        <v>43504</v>
      </c>
      <c r="B258" s="16" t="s">
        <v>153</v>
      </c>
      <c r="C258" s="16" t="s">
        <v>419</v>
      </c>
      <c r="D258" s="1">
        <v>257</v>
      </c>
      <c r="E258" s="1">
        <v>6</v>
      </c>
      <c r="F258" s="1">
        <v>6</v>
      </c>
      <c r="G258" s="1">
        <v>1</v>
      </c>
      <c r="H258" s="1">
        <v>65</v>
      </c>
      <c r="I258" s="1">
        <v>1</v>
      </c>
      <c r="J258" s="1">
        <v>1</v>
      </c>
      <c r="K258" s="18">
        <v>0</v>
      </c>
      <c r="L258" s="18">
        <v>1</v>
      </c>
      <c r="M258" s="18">
        <v>1</v>
      </c>
      <c r="N258" s="18">
        <v>1</v>
      </c>
      <c r="O258" s="18">
        <v>0</v>
      </c>
      <c r="P258" s="4">
        <v>0.6</v>
      </c>
      <c r="Q258" s="3">
        <v>60</v>
      </c>
      <c r="R258" s="1">
        <v>67</v>
      </c>
      <c r="S258" s="1">
        <v>31</v>
      </c>
      <c r="T258" s="1">
        <v>49</v>
      </c>
      <c r="U258" s="1">
        <v>78</v>
      </c>
      <c r="V258" s="1">
        <v>36</v>
      </c>
      <c r="W258" s="1">
        <v>29</v>
      </c>
      <c r="X258" s="1">
        <v>22</v>
      </c>
      <c r="Y258" s="1">
        <v>23</v>
      </c>
      <c r="Z258" s="1">
        <v>231</v>
      </c>
      <c r="AA258" s="1">
        <v>210</v>
      </c>
      <c r="AB258" s="1">
        <v>195</v>
      </c>
      <c r="AC258" s="1">
        <v>112</v>
      </c>
      <c r="AD258" s="1">
        <v>156</v>
      </c>
      <c r="AE258" s="1">
        <v>195</v>
      </c>
      <c r="AF258" s="1">
        <v>192</v>
      </c>
      <c r="AG258" s="1">
        <v>190</v>
      </c>
      <c r="AH258" s="1">
        <v>189</v>
      </c>
      <c r="AI258" s="4">
        <v>212</v>
      </c>
      <c r="AJ258" s="4">
        <v>154.33000000000001</v>
      </c>
      <c r="AK258" s="4">
        <v>190.33</v>
      </c>
      <c r="AL258" s="1">
        <v>0</v>
      </c>
      <c r="AM258" s="1">
        <v>0</v>
      </c>
      <c r="AN258" s="1">
        <v>0</v>
      </c>
      <c r="AO258" s="1">
        <v>0</v>
      </c>
      <c r="AP258" s="1">
        <v>1</v>
      </c>
      <c r="AQ258" s="1">
        <v>0</v>
      </c>
      <c r="AR258" s="1">
        <v>2</v>
      </c>
      <c r="AS258" s="19">
        <v>0</v>
      </c>
      <c r="AT258" s="19">
        <v>0</v>
      </c>
      <c r="AU258" s="19">
        <v>0</v>
      </c>
      <c r="AV258" s="19">
        <v>6</v>
      </c>
      <c r="AW258" s="19">
        <v>0</v>
      </c>
      <c r="AX258" s="19">
        <f t="shared" ref="AX258:BC258" si="128">AL258+AL259+AL260+AL261</f>
        <v>6</v>
      </c>
      <c r="AY258" s="19">
        <f t="shared" si="128"/>
        <v>4</v>
      </c>
      <c r="AZ258" s="19">
        <f t="shared" si="128"/>
        <v>0</v>
      </c>
      <c r="BA258" s="19">
        <f t="shared" si="128"/>
        <v>38</v>
      </c>
      <c r="BB258" s="19">
        <f t="shared" si="128"/>
        <v>49</v>
      </c>
      <c r="BC258" s="19">
        <f t="shared" si="128"/>
        <v>6</v>
      </c>
      <c r="BD258" s="1">
        <f>AX258*3</f>
        <v>18</v>
      </c>
      <c r="BE258" s="1">
        <f t="shared" ref="BE258:BI258" si="129">AY258*3</f>
        <v>12</v>
      </c>
      <c r="BF258" s="1">
        <f t="shared" si="129"/>
        <v>0</v>
      </c>
      <c r="BG258" s="1">
        <f t="shared" si="129"/>
        <v>114</v>
      </c>
      <c r="BH258" s="1">
        <f t="shared" si="129"/>
        <v>147</v>
      </c>
      <c r="BI258" s="1">
        <f t="shared" si="129"/>
        <v>18</v>
      </c>
      <c r="BJ258" s="1">
        <f>AX258+AY258+AZ258</f>
        <v>10</v>
      </c>
      <c r="BK258" s="1">
        <f>BA258+BB258+BC258</f>
        <v>93</v>
      </c>
      <c r="BL258" s="1">
        <f>BJ258*3</f>
        <v>30</v>
      </c>
      <c r="BM258" s="1">
        <f>BK258*3</f>
        <v>279</v>
      </c>
      <c r="BN258" s="1">
        <f>BL258/3</f>
        <v>10</v>
      </c>
      <c r="BO258" s="1">
        <f>BM258/3</f>
        <v>93</v>
      </c>
      <c r="BP258" s="4">
        <v>202</v>
      </c>
      <c r="BQ258" s="4">
        <v>61.333333333333343</v>
      </c>
      <c r="BR258" s="4">
        <v>190.33333333333334</v>
      </c>
      <c r="BS258" s="4">
        <v>61.33</v>
      </c>
      <c r="BT258" s="4">
        <v>190.33</v>
      </c>
      <c r="BU258" s="4">
        <v>1.83</v>
      </c>
      <c r="BV258" s="1">
        <v>4</v>
      </c>
      <c r="BW258" s="1">
        <v>4</v>
      </c>
      <c r="BX258" s="1">
        <v>0</v>
      </c>
      <c r="BY258" s="1">
        <v>0</v>
      </c>
      <c r="BZ258" s="1">
        <v>0</v>
      </c>
      <c r="CA258" s="1">
        <v>2</v>
      </c>
      <c r="CB258" s="1">
        <v>2</v>
      </c>
      <c r="CC258" s="1">
        <v>2</v>
      </c>
      <c r="CD258" s="1">
        <v>0</v>
      </c>
      <c r="CE258" s="1">
        <v>2</v>
      </c>
      <c r="CF258" s="1">
        <v>2</v>
      </c>
      <c r="CG258" s="1">
        <v>2</v>
      </c>
      <c r="CH258" s="1">
        <v>1</v>
      </c>
      <c r="CI258" s="1">
        <v>7</v>
      </c>
      <c r="CJ258" s="1">
        <v>7</v>
      </c>
      <c r="CK258" s="1">
        <v>5</v>
      </c>
      <c r="CL258" s="1">
        <v>6</v>
      </c>
      <c r="CM258" s="1">
        <v>6</v>
      </c>
      <c r="CN258" s="1">
        <v>6</v>
      </c>
      <c r="CO258" s="1">
        <v>6</v>
      </c>
      <c r="CP258" s="1">
        <v>3</v>
      </c>
      <c r="CQ258" s="1">
        <v>4</v>
      </c>
      <c r="CR258" s="1">
        <v>6</v>
      </c>
      <c r="CS258" s="1">
        <v>6</v>
      </c>
      <c r="CT258" s="1">
        <v>5</v>
      </c>
      <c r="CU258" s="1">
        <v>5</v>
      </c>
      <c r="CV258" s="1">
        <v>5</v>
      </c>
      <c r="CW258" s="1">
        <v>6</v>
      </c>
      <c r="CX258" s="1">
        <v>6</v>
      </c>
      <c r="CY258" s="1">
        <v>5</v>
      </c>
      <c r="CZ258" s="1">
        <v>4</v>
      </c>
      <c r="DA258" s="1">
        <v>3</v>
      </c>
      <c r="DB258" s="1">
        <v>5</v>
      </c>
      <c r="DC258" s="1">
        <v>5</v>
      </c>
      <c r="DD258" s="1">
        <v>5</v>
      </c>
      <c r="DE258" s="1">
        <v>3</v>
      </c>
      <c r="DF258" s="1">
        <v>4</v>
      </c>
      <c r="DG258" s="1">
        <v>4</v>
      </c>
      <c r="DH258" s="1">
        <v>3</v>
      </c>
      <c r="DI258" s="1">
        <v>4</v>
      </c>
      <c r="DJ258" s="1">
        <v>1</v>
      </c>
      <c r="DK258" s="1">
        <v>2</v>
      </c>
      <c r="DL258" s="1">
        <v>6</v>
      </c>
      <c r="DM258" s="19">
        <v>5</v>
      </c>
      <c r="DN258" s="19">
        <v>7</v>
      </c>
      <c r="DO258" s="1">
        <v>5</v>
      </c>
      <c r="DP258" s="1">
        <v>7</v>
      </c>
      <c r="DQ258" s="1">
        <v>5</v>
      </c>
      <c r="DR258" s="1">
        <v>4</v>
      </c>
      <c r="DS258" s="1">
        <v>6</v>
      </c>
      <c r="DT258" s="1">
        <v>5</v>
      </c>
      <c r="DU258" s="27">
        <v>6</v>
      </c>
      <c r="DV258" s="27">
        <v>4</v>
      </c>
      <c r="DW258" s="27">
        <v>4</v>
      </c>
      <c r="DX258" s="27">
        <v>1</v>
      </c>
      <c r="DY258" s="27">
        <v>2</v>
      </c>
      <c r="DZ258" s="27">
        <v>6</v>
      </c>
      <c r="EA258" s="27">
        <v>2</v>
      </c>
      <c r="EB258" s="27">
        <v>7</v>
      </c>
      <c r="EC258" s="27">
        <v>4</v>
      </c>
      <c r="ED258" s="27">
        <v>4</v>
      </c>
      <c r="EE258" s="27">
        <v>7</v>
      </c>
      <c r="EF258" s="27">
        <v>2</v>
      </c>
      <c r="EG258" s="27">
        <v>3</v>
      </c>
      <c r="EH258" s="27">
        <v>5</v>
      </c>
      <c r="EI258" s="27">
        <v>5</v>
      </c>
      <c r="EJ258" s="27">
        <v>5</v>
      </c>
      <c r="EK258" s="27">
        <v>5</v>
      </c>
      <c r="EL258" s="27">
        <v>7</v>
      </c>
      <c r="EM258" s="27">
        <v>1</v>
      </c>
      <c r="EN258" s="27">
        <v>2</v>
      </c>
      <c r="EO258" s="27">
        <v>5</v>
      </c>
      <c r="EP258" s="27">
        <v>5</v>
      </c>
      <c r="EQ258" s="27">
        <v>5</v>
      </c>
      <c r="ER258" s="27">
        <v>5</v>
      </c>
      <c r="ES258" s="27">
        <v>5</v>
      </c>
      <c r="ET258" s="27">
        <v>3</v>
      </c>
      <c r="EU258" s="27">
        <v>3</v>
      </c>
      <c r="EV258" s="27">
        <v>19</v>
      </c>
      <c r="EW258" s="27">
        <v>2</v>
      </c>
      <c r="EY258" s="27">
        <v>1</v>
      </c>
      <c r="FA258" s="27">
        <v>1</v>
      </c>
      <c r="FB258" s="28" t="s">
        <v>937</v>
      </c>
      <c r="FC258" s="27">
        <v>0</v>
      </c>
      <c r="FD258" s="1">
        <v>6</v>
      </c>
      <c r="FE258" s="4">
        <v>4.6100000000000003</v>
      </c>
      <c r="FF258" s="4">
        <v>3.31</v>
      </c>
      <c r="FG258" s="4">
        <v>4.13</v>
      </c>
      <c r="FH258" s="4">
        <v>4.67</v>
      </c>
      <c r="FI258" s="4">
        <v>5.63</v>
      </c>
      <c r="FJ258" s="23">
        <v>4.5</v>
      </c>
      <c r="FK258" s="4">
        <v>2.42</v>
      </c>
      <c r="FL258" s="4">
        <v>5.75</v>
      </c>
      <c r="FM258" s="4">
        <v>3.5</v>
      </c>
      <c r="FN258" s="4">
        <v>3.5</v>
      </c>
      <c r="FO258" s="4">
        <v>3.25</v>
      </c>
      <c r="FP258" s="4">
        <v>3.58</v>
      </c>
      <c r="FQ258" s="4">
        <v>4.25</v>
      </c>
      <c r="FR258" s="4">
        <v>4</v>
      </c>
      <c r="FS258" s="4">
        <v>5</v>
      </c>
      <c r="FT258" s="4">
        <v>4.25</v>
      </c>
      <c r="FU258" s="4">
        <v>4.25</v>
      </c>
      <c r="FV258" s="4">
        <v>5.25</v>
      </c>
      <c r="FW258" s="4">
        <v>3</v>
      </c>
      <c r="FX258" s="4">
        <v>3.5</v>
      </c>
      <c r="FY258" s="4">
        <v>3.88</v>
      </c>
      <c r="FZ258" s="4">
        <v>3.75</v>
      </c>
      <c r="GA258" s="4">
        <v>3</v>
      </c>
      <c r="GB258" s="4">
        <v>4.25</v>
      </c>
      <c r="GC258" s="4">
        <v>4.25</v>
      </c>
      <c r="GD258" s="4">
        <v>3.13</v>
      </c>
      <c r="GE258" s="26"/>
      <c r="GF258" s="26"/>
      <c r="GG258" s="4"/>
      <c r="JH258" s="1"/>
      <c r="JV258" s="1"/>
      <c r="KM258" s="4"/>
      <c r="LA258" s="4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</row>
    <row r="259" spans="1:376" x14ac:dyDescent="0.35">
      <c r="A259" s="14">
        <v>43504</v>
      </c>
      <c r="B259" s="16" t="s">
        <v>153</v>
      </c>
      <c r="C259" s="16" t="s">
        <v>420</v>
      </c>
      <c r="D259" s="1">
        <v>258</v>
      </c>
      <c r="E259" s="1">
        <v>6</v>
      </c>
      <c r="F259" s="1">
        <v>6</v>
      </c>
      <c r="H259" s="1">
        <v>65</v>
      </c>
      <c r="I259" s="1">
        <v>2</v>
      </c>
      <c r="K259" s="18">
        <v>0</v>
      </c>
      <c r="L259" s="18">
        <v>1</v>
      </c>
      <c r="M259" s="18">
        <v>1</v>
      </c>
      <c r="N259" s="18">
        <v>1</v>
      </c>
      <c r="O259" s="18">
        <v>0</v>
      </c>
      <c r="P259" s="4">
        <v>0.6</v>
      </c>
      <c r="Q259" s="3">
        <v>53</v>
      </c>
      <c r="R259" s="1">
        <v>61</v>
      </c>
      <c r="S259" s="1">
        <v>57</v>
      </c>
      <c r="T259" s="1">
        <v>0</v>
      </c>
      <c r="U259" s="1">
        <v>78</v>
      </c>
      <c r="V259" s="1">
        <v>49</v>
      </c>
      <c r="W259" s="1">
        <v>61</v>
      </c>
      <c r="X259" s="1">
        <v>60</v>
      </c>
      <c r="Y259" s="1">
        <v>66</v>
      </c>
      <c r="AI259" s="4"/>
      <c r="AJ259" s="4"/>
      <c r="AK259" s="4"/>
      <c r="AL259" s="1">
        <v>3</v>
      </c>
      <c r="AM259" s="1">
        <v>1</v>
      </c>
      <c r="AN259" s="1">
        <v>0</v>
      </c>
      <c r="AO259" s="1">
        <v>0</v>
      </c>
      <c r="AP259" s="1">
        <v>6</v>
      </c>
      <c r="AQ259" s="1">
        <v>6</v>
      </c>
      <c r="AR259" s="1">
        <v>2</v>
      </c>
      <c r="AS259" s="19">
        <v>4</v>
      </c>
      <c r="AT259" s="19">
        <v>0</v>
      </c>
      <c r="AU259" s="19">
        <v>73</v>
      </c>
      <c r="AV259" s="19">
        <v>0</v>
      </c>
      <c r="AW259" s="19">
        <v>0</v>
      </c>
      <c r="AX259" s="19"/>
      <c r="AY259"/>
      <c r="AZ259"/>
      <c r="BA259"/>
      <c r="BB259"/>
      <c r="BC259"/>
      <c r="BP259" s="4"/>
      <c r="BQ259" s="4"/>
      <c r="BR259" s="4"/>
      <c r="BS259" s="4"/>
      <c r="BT259" s="4"/>
      <c r="BU259" s="4"/>
      <c r="CI259" s="1">
        <v>5</v>
      </c>
      <c r="CJ259" s="1">
        <v>5</v>
      </c>
      <c r="CK259" s="1">
        <v>5</v>
      </c>
      <c r="CL259" s="1">
        <v>5</v>
      </c>
      <c r="CM259" s="1">
        <v>4</v>
      </c>
      <c r="CN259" s="1">
        <v>5</v>
      </c>
      <c r="CO259" s="1">
        <v>5</v>
      </c>
      <c r="CP259" s="1">
        <v>5</v>
      </c>
      <c r="CQ259" s="1">
        <v>4</v>
      </c>
      <c r="CR259" s="1">
        <v>5</v>
      </c>
      <c r="CS259" s="1">
        <v>5</v>
      </c>
      <c r="CT259" s="1">
        <v>3</v>
      </c>
      <c r="CU259" s="1">
        <v>5</v>
      </c>
      <c r="CV259" s="1">
        <v>2</v>
      </c>
      <c r="CW259" s="1">
        <v>3</v>
      </c>
      <c r="CX259" s="1">
        <v>3</v>
      </c>
      <c r="CY259" s="1">
        <v>3</v>
      </c>
      <c r="CZ259" s="1">
        <v>3</v>
      </c>
      <c r="DA259" s="1">
        <v>4</v>
      </c>
      <c r="DB259" s="1">
        <v>3</v>
      </c>
      <c r="DC259" s="1">
        <v>5</v>
      </c>
      <c r="DD259" s="1">
        <v>2</v>
      </c>
      <c r="DE259" s="1">
        <v>7</v>
      </c>
      <c r="DF259" s="1">
        <v>4</v>
      </c>
      <c r="DG259" s="1">
        <v>5</v>
      </c>
      <c r="DH259" s="1">
        <v>6</v>
      </c>
      <c r="DI259" s="1">
        <v>3</v>
      </c>
      <c r="DJ259" s="1">
        <v>2</v>
      </c>
      <c r="DK259" s="1">
        <v>6</v>
      </c>
      <c r="DL259" s="1">
        <v>5</v>
      </c>
      <c r="DM259" s="19">
        <v>2</v>
      </c>
      <c r="DN259" s="19">
        <v>4</v>
      </c>
      <c r="DO259" s="1">
        <v>5</v>
      </c>
      <c r="DP259" s="1">
        <v>3</v>
      </c>
      <c r="DQ259" s="1">
        <v>2</v>
      </c>
      <c r="DR259" s="1">
        <v>4</v>
      </c>
      <c r="DS259" s="1">
        <v>3</v>
      </c>
      <c r="DT259" s="1">
        <v>2</v>
      </c>
      <c r="DU259" s="27">
        <v>2</v>
      </c>
      <c r="DV259" s="27">
        <v>2</v>
      </c>
      <c r="DW259" s="27">
        <v>5</v>
      </c>
      <c r="DX259" s="27">
        <v>5</v>
      </c>
      <c r="DY259" s="27">
        <v>5</v>
      </c>
      <c r="DZ259" s="27">
        <v>5</v>
      </c>
      <c r="EA259" s="27">
        <v>3</v>
      </c>
      <c r="EB259" s="27">
        <v>5</v>
      </c>
      <c r="EC259" s="27">
        <v>5</v>
      </c>
      <c r="ED259" s="27">
        <v>5</v>
      </c>
      <c r="EE259" s="27">
        <v>3</v>
      </c>
      <c r="EF259" s="27">
        <v>2</v>
      </c>
      <c r="EG259" s="27">
        <v>5</v>
      </c>
      <c r="EH259" s="27">
        <v>5</v>
      </c>
      <c r="EI259" s="27">
        <v>5</v>
      </c>
      <c r="EJ259" s="27">
        <v>5</v>
      </c>
      <c r="EK259" s="27">
        <v>5</v>
      </c>
      <c r="EL259" s="27">
        <v>5</v>
      </c>
      <c r="EM259" s="27">
        <v>4</v>
      </c>
      <c r="EN259" s="27">
        <v>2</v>
      </c>
      <c r="EO259" s="27">
        <v>5</v>
      </c>
      <c r="EP259" s="27">
        <v>5</v>
      </c>
      <c r="EQ259" s="27">
        <v>3</v>
      </c>
      <c r="ER259" s="27">
        <v>4</v>
      </c>
      <c r="ES259" s="27">
        <v>5</v>
      </c>
      <c r="ET259" s="27">
        <v>5</v>
      </c>
      <c r="EU259" s="27">
        <v>5</v>
      </c>
      <c r="EV259" s="27">
        <v>20</v>
      </c>
      <c r="EW259" s="27">
        <v>3</v>
      </c>
      <c r="EX259" s="27" t="s">
        <v>753</v>
      </c>
      <c r="EY259" s="27">
        <v>9</v>
      </c>
      <c r="FA259" s="27">
        <v>3</v>
      </c>
      <c r="FB259" s="28" t="s">
        <v>938</v>
      </c>
      <c r="FC259" s="27">
        <v>1</v>
      </c>
      <c r="FD259" s="1">
        <v>4</v>
      </c>
      <c r="FE259" s="4"/>
      <c r="FF259" s="4"/>
      <c r="FG259" s="4"/>
      <c r="FH259" s="4"/>
      <c r="FI259" s="4"/>
      <c r="FJ259" s="23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26"/>
      <c r="GF259" s="26"/>
      <c r="GG259" s="4"/>
      <c r="JH259" s="1"/>
      <c r="JV259" s="1"/>
      <c r="KM259" s="4"/>
      <c r="LA259" s="4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</row>
    <row r="260" spans="1:376" x14ac:dyDescent="0.35">
      <c r="A260" s="14">
        <v>43504</v>
      </c>
      <c r="B260" s="16" t="s">
        <v>153</v>
      </c>
      <c r="C260" s="16" t="s">
        <v>421</v>
      </c>
      <c r="D260" s="1">
        <v>259</v>
      </c>
      <c r="E260" s="1">
        <v>6</v>
      </c>
      <c r="F260" s="1">
        <v>6</v>
      </c>
      <c r="H260" s="1">
        <v>65</v>
      </c>
      <c r="I260" s="1">
        <v>3</v>
      </c>
      <c r="K260" s="18">
        <v>1</v>
      </c>
      <c r="L260" s="18">
        <v>1</v>
      </c>
      <c r="M260" s="18">
        <v>1</v>
      </c>
      <c r="N260" s="18">
        <v>1</v>
      </c>
      <c r="O260" s="18">
        <v>0</v>
      </c>
      <c r="P260" s="4">
        <v>0.8</v>
      </c>
      <c r="Q260" s="3">
        <v>82</v>
      </c>
      <c r="R260" s="1">
        <v>60</v>
      </c>
      <c r="S260" s="1">
        <v>57</v>
      </c>
      <c r="T260" s="1">
        <v>53</v>
      </c>
      <c r="U260" s="1">
        <v>0</v>
      </c>
      <c r="V260" s="1">
        <v>42</v>
      </c>
      <c r="W260" s="1">
        <v>32</v>
      </c>
      <c r="X260" s="1">
        <v>40</v>
      </c>
      <c r="Y260" s="1">
        <v>41</v>
      </c>
      <c r="AI260" s="4"/>
      <c r="AJ260" s="4"/>
      <c r="AK260" s="4"/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6</v>
      </c>
      <c r="AS260" s="19">
        <v>4</v>
      </c>
      <c r="AT260" s="19">
        <v>0</v>
      </c>
      <c r="AU260" s="19">
        <v>2</v>
      </c>
      <c r="AV260" s="19">
        <v>89</v>
      </c>
      <c r="AW260" s="19">
        <v>0</v>
      </c>
      <c r="AX260" s="19"/>
      <c r="AY260"/>
      <c r="AZ260"/>
      <c r="BA260"/>
      <c r="BB260"/>
      <c r="BC260"/>
      <c r="BP260" s="4"/>
      <c r="BQ260" s="4"/>
      <c r="BR260" s="4"/>
      <c r="BS260" s="4"/>
      <c r="BT260" s="4"/>
      <c r="BU260" s="4"/>
      <c r="CI260" s="1">
        <v>5</v>
      </c>
      <c r="CJ260" s="1">
        <v>4</v>
      </c>
      <c r="CK260" s="1">
        <v>5</v>
      </c>
      <c r="CL260" s="1">
        <v>6</v>
      </c>
      <c r="CM260" s="1">
        <v>5</v>
      </c>
      <c r="CN260" s="1">
        <v>5</v>
      </c>
      <c r="CO260" s="1">
        <v>5</v>
      </c>
      <c r="CP260" s="1">
        <v>3</v>
      </c>
      <c r="CQ260" s="1">
        <v>2</v>
      </c>
      <c r="CR260" s="1">
        <v>2</v>
      </c>
      <c r="CS260" s="1">
        <v>2</v>
      </c>
      <c r="CT260" s="1">
        <v>5</v>
      </c>
      <c r="CU260" s="1">
        <v>1</v>
      </c>
      <c r="CV260" s="1">
        <v>5</v>
      </c>
      <c r="CW260" s="1">
        <v>5</v>
      </c>
      <c r="CX260" s="1">
        <v>2</v>
      </c>
      <c r="CY260" s="1">
        <v>3</v>
      </c>
      <c r="CZ260" s="1">
        <v>7</v>
      </c>
      <c r="DA260" s="1">
        <v>7</v>
      </c>
      <c r="DB260" s="1">
        <v>7</v>
      </c>
      <c r="DC260" s="1">
        <v>7</v>
      </c>
      <c r="DD260" s="1">
        <v>7</v>
      </c>
      <c r="DE260" s="1">
        <v>7</v>
      </c>
      <c r="DF260" s="1">
        <v>1</v>
      </c>
      <c r="DG260" s="1">
        <v>1</v>
      </c>
      <c r="DH260" s="1">
        <v>1</v>
      </c>
      <c r="DI260" s="1">
        <v>1</v>
      </c>
      <c r="DJ260" s="1">
        <v>1</v>
      </c>
      <c r="DK260" s="1">
        <v>1</v>
      </c>
      <c r="DL260" s="1">
        <v>7</v>
      </c>
      <c r="DM260" s="19">
        <v>7</v>
      </c>
      <c r="DN260" s="19">
        <v>1</v>
      </c>
      <c r="DO260" s="1">
        <v>4</v>
      </c>
      <c r="DP260" s="1">
        <v>1</v>
      </c>
      <c r="DQ260" s="1">
        <v>1</v>
      </c>
      <c r="DR260" s="1">
        <v>5</v>
      </c>
      <c r="DS260" s="1">
        <v>5</v>
      </c>
      <c r="DT260" s="1">
        <v>2</v>
      </c>
      <c r="DU260" s="27">
        <v>7</v>
      </c>
      <c r="DV260" s="27">
        <v>5</v>
      </c>
      <c r="DW260" s="27">
        <v>4</v>
      </c>
      <c r="DX260" s="27">
        <v>4</v>
      </c>
      <c r="DY260" s="27">
        <v>4</v>
      </c>
      <c r="DZ260" s="27">
        <v>4</v>
      </c>
      <c r="EA260" s="27">
        <v>4</v>
      </c>
      <c r="EB260" s="27">
        <v>4</v>
      </c>
      <c r="EC260" s="27">
        <v>4</v>
      </c>
      <c r="ED260" s="27">
        <v>4</v>
      </c>
      <c r="EE260" s="27">
        <v>7</v>
      </c>
      <c r="EF260" s="27">
        <v>4</v>
      </c>
      <c r="EG260" s="27">
        <v>4</v>
      </c>
      <c r="EH260" s="27">
        <v>5</v>
      </c>
      <c r="EI260" s="27">
        <v>2</v>
      </c>
      <c r="EJ260" s="27">
        <v>2</v>
      </c>
      <c r="EK260" s="27">
        <v>3</v>
      </c>
      <c r="EL260" s="27">
        <v>5</v>
      </c>
      <c r="EM260" s="27">
        <v>1</v>
      </c>
      <c r="EN260" s="27">
        <v>5</v>
      </c>
      <c r="EO260" s="27">
        <v>7</v>
      </c>
      <c r="EP260" s="27">
        <v>7</v>
      </c>
      <c r="EQ260" s="27">
        <v>6</v>
      </c>
      <c r="ER260" s="27">
        <v>5</v>
      </c>
      <c r="ES260" s="27">
        <v>4</v>
      </c>
      <c r="ET260" s="27">
        <v>5</v>
      </c>
      <c r="EU260" s="27">
        <v>1</v>
      </c>
      <c r="EV260" s="27">
        <v>18</v>
      </c>
      <c r="EW260" s="27">
        <v>1</v>
      </c>
      <c r="EY260" s="27">
        <v>2</v>
      </c>
      <c r="FA260" s="27">
        <v>1</v>
      </c>
      <c r="FB260" s="28" t="s">
        <v>939</v>
      </c>
      <c r="FC260" s="27">
        <v>0</v>
      </c>
      <c r="FD260" s="1">
        <v>1</v>
      </c>
      <c r="FE260" s="4"/>
      <c r="FF260" s="4"/>
      <c r="FG260" s="4"/>
      <c r="FH260" s="4"/>
      <c r="FI260" s="4"/>
      <c r="FJ260" s="23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26"/>
      <c r="GF260" s="26"/>
      <c r="GG260" s="4"/>
      <c r="JH260" s="1"/>
      <c r="JV260" s="1"/>
      <c r="KM260" s="4"/>
      <c r="LA260" s="4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</row>
    <row r="261" spans="1:376" x14ac:dyDescent="0.35">
      <c r="A261" s="14">
        <v>43504</v>
      </c>
      <c r="B261" s="16" t="s">
        <v>153</v>
      </c>
      <c r="C261" s="16" t="s">
        <v>422</v>
      </c>
      <c r="D261" s="1">
        <v>260</v>
      </c>
      <c r="E261" s="1">
        <v>6</v>
      </c>
      <c r="F261" s="1">
        <v>6</v>
      </c>
      <c r="H261" s="1">
        <v>65</v>
      </c>
      <c r="I261" s="1">
        <v>4</v>
      </c>
      <c r="K261" s="18">
        <v>1</v>
      </c>
      <c r="L261" s="18">
        <v>1</v>
      </c>
      <c r="M261" s="18">
        <v>1</v>
      </c>
      <c r="N261" s="18">
        <v>1</v>
      </c>
      <c r="O261" s="18">
        <v>0</v>
      </c>
      <c r="P261" s="4">
        <v>0.8</v>
      </c>
      <c r="Q261" s="3">
        <v>36</v>
      </c>
      <c r="R261" s="1">
        <v>22</v>
      </c>
      <c r="S261" s="1">
        <v>50</v>
      </c>
      <c r="T261" s="1">
        <v>10</v>
      </c>
      <c r="U261" s="1">
        <v>0</v>
      </c>
      <c r="V261" s="1">
        <v>68</v>
      </c>
      <c r="W261" s="1">
        <v>70</v>
      </c>
      <c r="X261" s="1">
        <v>68</v>
      </c>
      <c r="Y261" s="1">
        <v>59</v>
      </c>
      <c r="AI261" s="4"/>
      <c r="AJ261" s="4"/>
      <c r="AK261" s="4"/>
      <c r="AL261" s="1">
        <v>3</v>
      </c>
      <c r="AM261" s="1">
        <v>3</v>
      </c>
      <c r="AN261" s="1">
        <v>0</v>
      </c>
      <c r="AO261" s="1">
        <v>38</v>
      </c>
      <c r="AP261" s="1">
        <v>42</v>
      </c>
      <c r="AQ261" s="1">
        <v>0</v>
      </c>
      <c r="AR261" s="1">
        <v>2</v>
      </c>
      <c r="AS261" s="19">
        <v>0</v>
      </c>
      <c r="AT261" s="19">
        <v>0</v>
      </c>
      <c r="AU261" s="19">
        <v>0</v>
      </c>
      <c r="AV261" s="19">
        <v>2</v>
      </c>
      <c r="AW261" s="19">
        <v>12</v>
      </c>
      <c r="AX261" s="19"/>
      <c r="AY261"/>
      <c r="AZ261"/>
      <c r="BA261"/>
      <c r="BB261"/>
      <c r="BC261"/>
      <c r="BP261" s="4"/>
      <c r="BQ261" s="4"/>
      <c r="BR261" s="4"/>
      <c r="BS261" s="4"/>
      <c r="BT261" s="4"/>
      <c r="BU261" s="4"/>
      <c r="CI261" s="1">
        <v>4</v>
      </c>
      <c r="CJ261" s="1">
        <v>1</v>
      </c>
      <c r="CK261" s="1">
        <v>1</v>
      </c>
      <c r="CL261" s="1">
        <v>3</v>
      </c>
      <c r="CM261" s="1">
        <v>2</v>
      </c>
      <c r="CN261" s="1">
        <v>2</v>
      </c>
      <c r="CO261" s="1">
        <v>4</v>
      </c>
      <c r="CP261" s="1">
        <v>7</v>
      </c>
      <c r="CQ261" s="1">
        <v>1</v>
      </c>
      <c r="CR261" s="1">
        <v>1</v>
      </c>
      <c r="CS261" s="1">
        <v>1</v>
      </c>
      <c r="CT261" s="1">
        <v>1</v>
      </c>
      <c r="CU261" s="1">
        <v>1</v>
      </c>
      <c r="CV261" s="1">
        <v>1</v>
      </c>
      <c r="CW261" s="1">
        <v>1</v>
      </c>
      <c r="CX261" s="1">
        <v>2</v>
      </c>
      <c r="CY261" s="1">
        <v>2</v>
      </c>
      <c r="CZ261" s="1">
        <v>5</v>
      </c>
      <c r="DA261" s="1">
        <v>3</v>
      </c>
      <c r="DB261" s="1">
        <v>5</v>
      </c>
      <c r="DC261" s="1">
        <v>7</v>
      </c>
      <c r="DD261" s="1">
        <v>7</v>
      </c>
      <c r="DE261" s="1">
        <v>1</v>
      </c>
      <c r="DF261" s="1">
        <v>1</v>
      </c>
      <c r="DG261" s="1">
        <v>1</v>
      </c>
      <c r="DH261" s="1">
        <v>1</v>
      </c>
      <c r="DI261" s="1">
        <v>2</v>
      </c>
      <c r="DJ261" s="1">
        <v>2</v>
      </c>
      <c r="DK261" s="1">
        <v>1</v>
      </c>
      <c r="DL261" s="1">
        <v>7</v>
      </c>
      <c r="DM261" s="19">
        <v>7</v>
      </c>
      <c r="DN261" s="19">
        <v>1</v>
      </c>
      <c r="DO261" s="1">
        <v>1</v>
      </c>
      <c r="DP261" s="1">
        <v>5</v>
      </c>
      <c r="DQ261" s="1">
        <v>4</v>
      </c>
      <c r="DR261" s="1">
        <v>1</v>
      </c>
      <c r="DS261" s="1">
        <v>1</v>
      </c>
      <c r="DT261" s="1">
        <v>1</v>
      </c>
      <c r="DU261" s="27">
        <v>1</v>
      </c>
      <c r="DV261" s="27">
        <v>1</v>
      </c>
      <c r="DW261" s="27">
        <v>2</v>
      </c>
      <c r="DX261" s="27">
        <v>6</v>
      </c>
      <c r="DY261" s="27">
        <v>7</v>
      </c>
      <c r="DZ261" s="27">
        <v>6</v>
      </c>
      <c r="EA261" s="27">
        <v>7</v>
      </c>
      <c r="EB261" s="27">
        <v>4</v>
      </c>
      <c r="EC261" s="27">
        <v>4</v>
      </c>
      <c r="ED261" s="27">
        <v>4</v>
      </c>
      <c r="EE261" s="27">
        <v>4</v>
      </c>
      <c r="EF261" s="27">
        <v>4</v>
      </c>
      <c r="EG261" s="27">
        <v>2</v>
      </c>
      <c r="EH261" s="27">
        <v>2</v>
      </c>
      <c r="EI261" s="27">
        <v>2</v>
      </c>
      <c r="EJ261" s="27">
        <v>1</v>
      </c>
      <c r="EK261" s="27">
        <v>1</v>
      </c>
      <c r="EL261" s="27">
        <v>1</v>
      </c>
      <c r="EM261" s="27">
        <v>5</v>
      </c>
      <c r="EN261" s="27">
        <v>4</v>
      </c>
      <c r="EO261" s="27">
        <v>1</v>
      </c>
      <c r="EP261" s="27">
        <v>1</v>
      </c>
      <c r="EQ261" s="27">
        <v>1</v>
      </c>
      <c r="ER261" s="27">
        <v>2</v>
      </c>
      <c r="ES261" s="27">
        <v>4</v>
      </c>
      <c r="ET261" s="27">
        <v>1</v>
      </c>
      <c r="EU261" s="27">
        <v>2</v>
      </c>
      <c r="EV261" s="27">
        <v>20</v>
      </c>
      <c r="EW261" s="27">
        <v>1</v>
      </c>
      <c r="EY261" s="27">
        <v>3</v>
      </c>
      <c r="FA261" s="27">
        <v>3</v>
      </c>
      <c r="FB261" s="28" t="s">
        <v>940</v>
      </c>
      <c r="FC261" s="27">
        <v>1</v>
      </c>
      <c r="FD261" s="1">
        <v>8</v>
      </c>
      <c r="FE261" s="4"/>
      <c r="FF261" s="4"/>
      <c r="FG261" s="4"/>
      <c r="FH261" s="4"/>
      <c r="FI261" s="4"/>
      <c r="FJ261" s="23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26"/>
      <c r="GF261" s="26"/>
      <c r="GG261" s="4"/>
      <c r="JH261" s="1"/>
      <c r="JV261" s="1"/>
      <c r="KM261" s="4"/>
      <c r="LA261" s="4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</row>
    <row r="262" spans="1:376" x14ac:dyDescent="0.35">
      <c r="A262" s="14">
        <v>43504</v>
      </c>
      <c r="B262" s="16" t="s">
        <v>154</v>
      </c>
      <c r="C262" s="16" t="s">
        <v>423</v>
      </c>
      <c r="D262" s="1">
        <v>261</v>
      </c>
      <c r="E262" s="1">
        <v>6</v>
      </c>
      <c r="F262" s="1">
        <v>6</v>
      </c>
      <c r="G262" s="1">
        <v>1</v>
      </c>
      <c r="H262" s="1">
        <v>66</v>
      </c>
      <c r="I262" s="1">
        <v>1</v>
      </c>
      <c r="J262" s="1">
        <v>1</v>
      </c>
      <c r="K262" s="18">
        <v>1</v>
      </c>
      <c r="L262" s="18">
        <v>1</v>
      </c>
      <c r="M262" s="18">
        <v>1</v>
      </c>
      <c r="N262" s="18">
        <v>1</v>
      </c>
      <c r="O262" s="18">
        <v>1</v>
      </c>
      <c r="P262" s="4">
        <v>1</v>
      </c>
      <c r="Q262" s="3">
        <v>52</v>
      </c>
      <c r="R262" s="1">
        <v>47</v>
      </c>
      <c r="S262" s="1">
        <v>62</v>
      </c>
      <c r="T262" s="1">
        <v>113</v>
      </c>
      <c r="U262" s="1">
        <v>124</v>
      </c>
      <c r="V262" s="1">
        <v>137</v>
      </c>
      <c r="W262" s="1">
        <v>142</v>
      </c>
      <c r="X262" s="1">
        <v>115</v>
      </c>
      <c r="Y262" s="1">
        <v>89</v>
      </c>
      <c r="Z262" s="1">
        <v>254</v>
      </c>
      <c r="AA262" s="1">
        <v>209</v>
      </c>
      <c r="AB262" s="1">
        <v>207</v>
      </c>
      <c r="AC262" s="1">
        <v>364</v>
      </c>
      <c r="AD262" s="1">
        <v>446</v>
      </c>
      <c r="AE262" s="1">
        <v>451</v>
      </c>
      <c r="AF262" s="1">
        <v>458</v>
      </c>
      <c r="AG262" s="1">
        <v>428</v>
      </c>
      <c r="AH262" s="1">
        <v>406</v>
      </c>
      <c r="AI262" s="4">
        <v>223.33</v>
      </c>
      <c r="AJ262" s="4">
        <v>420.33</v>
      </c>
      <c r="AK262" s="4">
        <v>430.67</v>
      </c>
      <c r="AL262" s="1">
        <v>0</v>
      </c>
      <c r="AM262" s="1">
        <v>0</v>
      </c>
      <c r="AN262" s="1">
        <v>0</v>
      </c>
      <c r="AO262" s="1">
        <v>1</v>
      </c>
      <c r="AP262" s="1">
        <v>0</v>
      </c>
      <c r="AQ262" s="1">
        <v>0</v>
      </c>
      <c r="AR262" s="1">
        <v>0</v>
      </c>
      <c r="AS262" s="19">
        <v>0</v>
      </c>
      <c r="AT262" s="19">
        <v>0</v>
      </c>
      <c r="AU262" s="19">
        <v>0</v>
      </c>
      <c r="AV262" s="19">
        <v>0</v>
      </c>
      <c r="AW262" s="19">
        <v>0</v>
      </c>
      <c r="AX262" s="19">
        <f t="shared" ref="AX262:BC262" si="130">AL262+AL263+AL264+AL265</f>
        <v>0</v>
      </c>
      <c r="AY262" s="19">
        <f t="shared" si="130"/>
        <v>0</v>
      </c>
      <c r="AZ262" s="19">
        <f t="shared" si="130"/>
        <v>0</v>
      </c>
      <c r="BA262" s="19">
        <f t="shared" si="130"/>
        <v>1</v>
      </c>
      <c r="BB262" s="19">
        <f t="shared" si="130"/>
        <v>0</v>
      </c>
      <c r="BC262" s="19">
        <f t="shared" si="130"/>
        <v>0</v>
      </c>
      <c r="BD262" s="1">
        <f>AX262*3</f>
        <v>0</v>
      </c>
      <c r="BE262" s="1">
        <f t="shared" ref="BE262:BI262" si="131">AY262*3</f>
        <v>0</v>
      </c>
      <c r="BF262" s="1">
        <f t="shared" si="131"/>
        <v>0</v>
      </c>
      <c r="BG262" s="1">
        <f t="shared" si="131"/>
        <v>3</v>
      </c>
      <c r="BH262" s="1">
        <f t="shared" si="131"/>
        <v>0</v>
      </c>
      <c r="BI262" s="1">
        <f t="shared" si="131"/>
        <v>0</v>
      </c>
      <c r="BJ262" s="1">
        <f>AX262+AY262+AZ262</f>
        <v>0</v>
      </c>
      <c r="BK262" s="1">
        <f>BA262+BB262+BC262</f>
        <v>1</v>
      </c>
      <c r="BL262" s="1">
        <f>BJ262*3</f>
        <v>0</v>
      </c>
      <c r="BM262" s="1">
        <f>BK262*3</f>
        <v>3</v>
      </c>
      <c r="BN262" s="1">
        <f>BL262/3</f>
        <v>0</v>
      </c>
      <c r="BO262" s="1">
        <f>BM262/3</f>
        <v>1</v>
      </c>
      <c r="BP262" s="4">
        <v>223.33333333333334</v>
      </c>
      <c r="BQ262" s="4">
        <v>419.33333333333331</v>
      </c>
      <c r="BR262" s="4">
        <v>430.66666666666669</v>
      </c>
      <c r="BS262" s="4">
        <v>419.33</v>
      </c>
      <c r="BT262" s="4">
        <v>430.67</v>
      </c>
      <c r="BU262" s="4">
        <v>4</v>
      </c>
      <c r="BV262" s="1">
        <v>1</v>
      </c>
      <c r="BW262" s="1">
        <v>1</v>
      </c>
      <c r="BX262" s="1">
        <v>2</v>
      </c>
      <c r="BY262" s="1">
        <v>2</v>
      </c>
      <c r="BZ262" s="1">
        <v>1</v>
      </c>
      <c r="CA262" s="1">
        <v>1</v>
      </c>
      <c r="CB262" s="1">
        <v>1</v>
      </c>
      <c r="CC262" s="1">
        <v>1</v>
      </c>
      <c r="CD262" s="1">
        <v>1</v>
      </c>
      <c r="CE262" s="1">
        <v>1</v>
      </c>
      <c r="CF262" s="1">
        <v>1</v>
      </c>
      <c r="CG262" s="1">
        <v>1</v>
      </c>
      <c r="CH262" s="1">
        <v>0</v>
      </c>
      <c r="CI262" s="1">
        <v>7</v>
      </c>
      <c r="CJ262" s="1">
        <v>7</v>
      </c>
      <c r="CK262" s="1">
        <v>7</v>
      </c>
      <c r="CL262" s="1">
        <v>7</v>
      </c>
      <c r="CM262" s="1">
        <v>7</v>
      </c>
      <c r="CN262" s="1">
        <v>7</v>
      </c>
      <c r="CO262" s="1">
        <v>7</v>
      </c>
      <c r="CP262" s="1">
        <v>1</v>
      </c>
      <c r="CQ262" s="1">
        <v>7</v>
      </c>
      <c r="CR262" s="1">
        <v>7</v>
      </c>
      <c r="CS262" s="1">
        <v>7</v>
      </c>
      <c r="CT262" s="1">
        <v>7</v>
      </c>
      <c r="CU262" s="1">
        <v>7</v>
      </c>
      <c r="CV262" s="1">
        <v>7</v>
      </c>
      <c r="CW262" s="1">
        <v>7</v>
      </c>
      <c r="CX262" s="1">
        <v>7</v>
      </c>
      <c r="CY262" s="1">
        <v>7</v>
      </c>
      <c r="CZ262" s="1">
        <v>7</v>
      </c>
      <c r="DA262" s="1">
        <v>7</v>
      </c>
      <c r="DB262" s="1">
        <v>7</v>
      </c>
      <c r="DC262" s="1">
        <v>7</v>
      </c>
      <c r="DD262" s="1">
        <v>6</v>
      </c>
      <c r="DE262" s="1">
        <v>7</v>
      </c>
      <c r="DF262" s="1">
        <v>6</v>
      </c>
      <c r="DG262" s="1">
        <v>5</v>
      </c>
      <c r="DH262" s="1">
        <v>6</v>
      </c>
      <c r="DI262" s="1">
        <v>6</v>
      </c>
      <c r="DJ262" s="1">
        <v>6</v>
      </c>
      <c r="DK262" s="1">
        <v>6</v>
      </c>
      <c r="DL262" s="1">
        <v>7</v>
      </c>
      <c r="DM262" s="19">
        <v>7</v>
      </c>
      <c r="DN262" s="19">
        <v>7</v>
      </c>
      <c r="DO262" s="1">
        <v>7</v>
      </c>
      <c r="DP262" s="1">
        <v>7</v>
      </c>
      <c r="DQ262" s="1">
        <v>6</v>
      </c>
      <c r="DR262" s="1">
        <v>7</v>
      </c>
      <c r="DS262" s="1">
        <v>7</v>
      </c>
      <c r="DT262" s="1">
        <v>7</v>
      </c>
      <c r="DU262" s="27">
        <v>1</v>
      </c>
      <c r="DV262" s="27">
        <v>1</v>
      </c>
      <c r="DW262" s="27">
        <v>3</v>
      </c>
      <c r="DX262" s="27">
        <v>6</v>
      </c>
      <c r="DY262" s="27">
        <v>6</v>
      </c>
      <c r="DZ262" s="27">
        <v>6</v>
      </c>
      <c r="EA262" s="27">
        <v>1</v>
      </c>
      <c r="EB262" s="27">
        <v>5</v>
      </c>
      <c r="EC262" s="27">
        <v>6</v>
      </c>
      <c r="ED262" s="27">
        <v>1</v>
      </c>
      <c r="EE262" s="27">
        <v>3</v>
      </c>
      <c r="EF262" s="27">
        <v>1</v>
      </c>
      <c r="EG262" s="27">
        <v>6</v>
      </c>
      <c r="EH262" s="27">
        <v>6</v>
      </c>
      <c r="EI262" s="27">
        <v>6</v>
      </c>
      <c r="EJ262" s="27">
        <v>6</v>
      </c>
      <c r="EK262" s="27">
        <v>6</v>
      </c>
      <c r="EL262" s="27">
        <v>6</v>
      </c>
      <c r="EM262" s="27">
        <v>2</v>
      </c>
      <c r="EN262" s="27">
        <v>1</v>
      </c>
      <c r="EO262" s="27">
        <v>6</v>
      </c>
      <c r="EP262" s="27">
        <v>6</v>
      </c>
      <c r="EQ262" s="27">
        <v>4</v>
      </c>
      <c r="ER262" s="27">
        <v>6</v>
      </c>
      <c r="ES262" s="27">
        <v>6</v>
      </c>
      <c r="ET262" s="27">
        <v>7</v>
      </c>
      <c r="EU262" s="27">
        <v>7</v>
      </c>
      <c r="EV262" s="27">
        <v>20</v>
      </c>
      <c r="EW262" s="27">
        <v>1</v>
      </c>
      <c r="EY262" s="27">
        <v>1</v>
      </c>
      <c r="FA262" s="27">
        <v>3</v>
      </c>
      <c r="FB262" s="28" t="s">
        <v>941</v>
      </c>
      <c r="FC262" s="27">
        <v>0</v>
      </c>
      <c r="FD262" s="1">
        <v>9</v>
      </c>
      <c r="FE262" s="4">
        <v>6.39</v>
      </c>
      <c r="FF262" s="4">
        <v>6.81</v>
      </c>
      <c r="FG262" s="4">
        <v>7.5</v>
      </c>
      <c r="FH262" s="4">
        <v>6.75</v>
      </c>
      <c r="FI262" s="4">
        <v>6.25</v>
      </c>
      <c r="FJ262" s="23">
        <v>6.75</v>
      </c>
      <c r="FK262" s="4">
        <v>5.67</v>
      </c>
      <c r="FL262" s="4">
        <v>7</v>
      </c>
      <c r="FM262" s="4">
        <v>6.75</v>
      </c>
      <c r="FN262" s="4">
        <v>6.25</v>
      </c>
      <c r="FO262" s="4">
        <v>6.33</v>
      </c>
      <c r="FP262" s="4">
        <v>4.83</v>
      </c>
      <c r="FQ262" s="4">
        <v>4.25</v>
      </c>
      <c r="FR262" s="4">
        <v>1.75</v>
      </c>
      <c r="FS262" s="4">
        <v>5</v>
      </c>
      <c r="FT262" s="4">
        <v>5.75</v>
      </c>
      <c r="FU262" s="4">
        <v>2.25</v>
      </c>
      <c r="FV262" s="4">
        <v>5</v>
      </c>
      <c r="FW262" s="4">
        <v>3</v>
      </c>
      <c r="FX262" s="4">
        <v>6</v>
      </c>
      <c r="FY262" s="4">
        <v>6</v>
      </c>
      <c r="FZ262" s="4">
        <v>5.5</v>
      </c>
      <c r="GA262" s="4">
        <v>1.63</v>
      </c>
      <c r="GB262" s="4">
        <v>6.08</v>
      </c>
      <c r="GC262" s="4">
        <v>6.13</v>
      </c>
      <c r="GD262" s="4">
        <v>6.75</v>
      </c>
      <c r="GE262" s="26"/>
      <c r="GF262" s="26"/>
      <c r="GG262" s="4"/>
      <c r="JH262" s="1"/>
      <c r="JV262" s="1"/>
      <c r="KM262" s="4"/>
      <c r="LA262" s="4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</row>
    <row r="263" spans="1:376" x14ac:dyDescent="0.35">
      <c r="A263" s="14">
        <v>43504</v>
      </c>
      <c r="B263" s="16" t="s">
        <v>154</v>
      </c>
      <c r="C263" s="16" t="s">
        <v>424</v>
      </c>
      <c r="D263" s="1">
        <v>262</v>
      </c>
      <c r="E263" s="1">
        <v>6</v>
      </c>
      <c r="F263" s="1">
        <v>6</v>
      </c>
      <c r="H263" s="1">
        <v>66</v>
      </c>
      <c r="I263" s="1">
        <v>2</v>
      </c>
      <c r="K263" s="18">
        <v>1</v>
      </c>
      <c r="L263" s="18">
        <v>1</v>
      </c>
      <c r="M263" s="18">
        <v>1</v>
      </c>
      <c r="N263" s="18">
        <v>1</v>
      </c>
      <c r="O263" s="18">
        <v>0</v>
      </c>
      <c r="P263" s="4">
        <v>0.8</v>
      </c>
      <c r="Q263" s="3">
        <v>52</v>
      </c>
      <c r="R263" s="1">
        <v>35</v>
      </c>
      <c r="S263" s="1">
        <v>36</v>
      </c>
      <c r="T263" s="1">
        <v>56</v>
      </c>
      <c r="U263" s="1">
        <v>121</v>
      </c>
      <c r="V263" s="1">
        <v>105</v>
      </c>
      <c r="W263" s="1">
        <v>101</v>
      </c>
      <c r="X263" s="1">
        <v>106</v>
      </c>
      <c r="Y263" s="1">
        <v>92</v>
      </c>
      <c r="AI263" s="4"/>
      <c r="AJ263" s="4"/>
      <c r="AK263" s="4"/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9">
        <v>0</v>
      </c>
      <c r="AT263" s="19">
        <v>0</v>
      </c>
      <c r="AU263" s="19">
        <v>0</v>
      </c>
      <c r="AV263" s="19">
        <v>0</v>
      </c>
      <c r="AW263" s="19">
        <v>0</v>
      </c>
      <c r="AX263" s="19"/>
      <c r="AY263"/>
      <c r="AZ263"/>
      <c r="BA263"/>
      <c r="BB263"/>
      <c r="BC263"/>
      <c r="BP263" s="4"/>
      <c r="BQ263" s="4"/>
      <c r="BR263" s="4"/>
      <c r="BS263" s="4"/>
      <c r="BT263" s="4"/>
      <c r="BU263" s="4"/>
      <c r="CI263" s="1">
        <v>7</v>
      </c>
      <c r="CJ263" s="1">
        <v>7</v>
      </c>
      <c r="CK263" s="1">
        <v>7</v>
      </c>
      <c r="CL263" s="1">
        <v>7</v>
      </c>
      <c r="CM263" s="1">
        <v>7</v>
      </c>
      <c r="CN263" s="1">
        <v>7</v>
      </c>
      <c r="CO263" s="1">
        <v>7</v>
      </c>
      <c r="CP263" s="1">
        <v>1</v>
      </c>
      <c r="CQ263" s="1">
        <v>7</v>
      </c>
      <c r="CR263" s="1">
        <v>7</v>
      </c>
      <c r="CS263" s="1">
        <v>7</v>
      </c>
      <c r="CT263" s="1">
        <v>7</v>
      </c>
      <c r="CU263" s="1">
        <v>7</v>
      </c>
      <c r="CV263" s="1">
        <v>7</v>
      </c>
      <c r="CW263" s="1">
        <v>7</v>
      </c>
      <c r="CX263" s="1">
        <v>5</v>
      </c>
      <c r="CY263" s="1">
        <v>6</v>
      </c>
      <c r="CZ263" s="1">
        <v>7</v>
      </c>
      <c r="DA263" s="1">
        <v>7</v>
      </c>
      <c r="DB263" s="1">
        <v>7</v>
      </c>
      <c r="DC263" s="1">
        <v>7</v>
      </c>
      <c r="DD263" s="1">
        <v>7</v>
      </c>
      <c r="DE263" s="1">
        <v>7</v>
      </c>
      <c r="DF263" s="1">
        <v>6</v>
      </c>
      <c r="DG263" s="1">
        <v>7</v>
      </c>
      <c r="DH263" s="1">
        <v>7</v>
      </c>
      <c r="DI263" s="1">
        <v>7</v>
      </c>
      <c r="DJ263" s="1">
        <v>7</v>
      </c>
      <c r="DK263" s="1">
        <v>7</v>
      </c>
      <c r="DL263" s="1">
        <v>7</v>
      </c>
      <c r="DM263" s="19">
        <v>7</v>
      </c>
      <c r="DN263" s="19">
        <v>6</v>
      </c>
      <c r="DO263" s="1">
        <v>7</v>
      </c>
      <c r="DP263" s="1">
        <v>7</v>
      </c>
      <c r="DQ263" s="1">
        <v>7</v>
      </c>
      <c r="DR263" s="1">
        <v>7</v>
      </c>
      <c r="DS263" s="1">
        <v>7</v>
      </c>
      <c r="DT263" s="1">
        <v>7</v>
      </c>
      <c r="DU263" s="27">
        <v>6</v>
      </c>
      <c r="DV263" s="27">
        <v>5</v>
      </c>
      <c r="DW263" s="27">
        <v>2</v>
      </c>
      <c r="DX263" s="27">
        <v>1</v>
      </c>
      <c r="DY263" s="27">
        <v>2</v>
      </c>
      <c r="DZ263" s="27">
        <v>2</v>
      </c>
      <c r="EA263" s="27">
        <v>1</v>
      </c>
      <c r="EB263" s="27">
        <v>4</v>
      </c>
      <c r="EC263" s="27">
        <v>7</v>
      </c>
      <c r="ED263" s="27">
        <v>2</v>
      </c>
      <c r="EE263" s="27">
        <v>7</v>
      </c>
      <c r="EF263" s="27">
        <v>4</v>
      </c>
      <c r="EG263" s="27">
        <v>7</v>
      </c>
      <c r="EH263" s="27">
        <v>6</v>
      </c>
      <c r="EI263" s="27">
        <v>6</v>
      </c>
      <c r="EJ263" s="27">
        <v>4</v>
      </c>
      <c r="EK263" s="27">
        <v>4</v>
      </c>
      <c r="EL263" s="27">
        <v>7</v>
      </c>
      <c r="EM263" s="27">
        <v>1</v>
      </c>
      <c r="EN263" s="27">
        <v>2</v>
      </c>
      <c r="EO263" s="27">
        <v>7</v>
      </c>
      <c r="EP263" s="27">
        <v>7</v>
      </c>
      <c r="EQ263" s="27">
        <v>7</v>
      </c>
      <c r="ER263" s="27">
        <v>6</v>
      </c>
      <c r="ES263" s="27">
        <v>7</v>
      </c>
      <c r="ET263" s="27">
        <v>7</v>
      </c>
      <c r="EU263" s="27">
        <v>7</v>
      </c>
      <c r="EV263" s="27">
        <v>18</v>
      </c>
      <c r="EW263" s="27">
        <v>1</v>
      </c>
      <c r="EY263" s="27">
        <v>8</v>
      </c>
      <c r="EZ263" s="28" t="s">
        <v>768</v>
      </c>
      <c r="FA263" s="27">
        <v>1</v>
      </c>
      <c r="FB263" s="28" t="s">
        <v>942</v>
      </c>
      <c r="FC263" s="27">
        <v>0</v>
      </c>
      <c r="FD263" s="1">
        <v>4</v>
      </c>
      <c r="FE263" s="4"/>
      <c r="FF263" s="4"/>
      <c r="FG263" s="4"/>
      <c r="FH263" s="4"/>
      <c r="FI263" s="4"/>
      <c r="FJ263" s="23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26"/>
      <c r="GF263" s="26"/>
      <c r="GG263" s="4"/>
      <c r="JH263" s="1"/>
      <c r="JV263" s="1"/>
      <c r="KM263" s="4"/>
      <c r="LA263" s="4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</row>
    <row r="264" spans="1:376" x14ac:dyDescent="0.35">
      <c r="A264" s="14">
        <v>43504</v>
      </c>
      <c r="B264" s="16" t="s">
        <v>154</v>
      </c>
      <c r="C264" s="16" t="s">
        <v>425</v>
      </c>
      <c r="D264" s="1">
        <v>263</v>
      </c>
      <c r="E264" s="1">
        <v>6</v>
      </c>
      <c r="F264" s="1">
        <v>6</v>
      </c>
      <c r="H264" s="1">
        <v>66</v>
      </c>
      <c r="I264" s="1">
        <v>3</v>
      </c>
      <c r="K264" s="18">
        <v>1</v>
      </c>
      <c r="L264" s="18">
        <v>1</v>
      </c>
      <c r="M264" s="18">
        <v>1</v>
      </c>
      <c r="N264" s="18">
        <v>1</v>
      </c>
      <c r="O264" s="18">
        <v>0</v>
      </c>
      <c r="P264" s="4">
        <v>0.8</v>
      </c>
      <c r="Q264" s="3">
        <v>42</v>
      </c>
      <c r="R264" s="1">
        <v>49</v>
      </c>
      <c r="S264" s="1">
        <v>58</v>
      </c>
      <c r="T264" s="1">
        <v>84</v>
      </c>
      <c r="U264" s="1">
        <v>93</v>
      </c>
      <c r="V264" s="1">
        <v>94</v>
      </c>
      <c r="W264" s="1">
        <v>105</v>
      </c>
      <c r="X264" s="1">
        <v>101</v>
      </c>
      <c r="Y264" s="1">
        <v>91</v>
      </c>
      <c r="AI264" s="4"/>
      <c r="AJ264" s="4"/>
      <c r="AK264" s="4"/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9">
        <v>0</v>
      </c>
      <c r="AT264" s="19">
        <v>0</v>
      </c>
      <c r="AU264" s="19">
        <v>0</v>
      </c>
      <c r="AV264" s="19">
        <v>0</v>
      </c>
      <c r="AW264" s="19">
        <v>0</v>
      </c>
      <c r="AX264" s="19"/>
      <c r="AY264"/>
      <c r="AZ264"/>
      <c r="BA264"/>
      <c r="BB264"/>
      <c r="BC264"/>
      <c r="BP264" s="4"/>
      <c r="BQ264" s="4"/>
      <c r="BR264" s="4"/>
      <c r="BS264" s="4"/>
      <c r="BT264" s="4"/>
      <c r="BU264" s="4"/>
      <c r="CI264" s="1">
        <v>6</v>
      </c>
      <c r="CJ264" s="1">
        <v>6</v>
      </c>
      <c r="CK264" s="1">
        <v>6</v>
      </c>
      <c r="CL264" s="1">
        <v>6</v>
      </c>
      <c r="CM264" s="1">
        <v>5</v>
      </c>
      <c r="CN264" s="1">
        <v>5</v>
      </c>
      <c r="CO264" s="1">
        <v>4</v>
      </c>
      <c r="CP264" s="1">
        <v>2</v>
      </c>
      <c r="CQ264" s="1">
        <v>7</v>
      </c>
      <c r="CR264" s="1">
        <v>6</v>
      </c>
      <c r="CS264" s="1">
        <v>6</v>
      </c>
      <c r="CT264" s="1">
        <v>6</v>
      </c>
      <c r="CU264" s="1">
        <v>6</v>
      </c>
      <c r="CV264" s="1">
        <v>6</v>
      </c>
      <c r="CW264" s="1">
        <v>5</v>
      </c>
      <c r="CX264" s="1">
        <v>5</v>
      </c>
      <c r="CY264" s="1">
        <v>5</v>
      </c>
      <c r="CZ264" s="1">
        <v>6</v>
      </c>
      <c r="DA264" s="1">
        <v>6</v>
      </c>
      <c r="DB264" s="1">
        <v>6</v>
      </c>
      <c r="DC264" s="1">
        <v>6</v>
      </c>
      <c r="DD264" s="1">
        <v>5</v>
      </c>
      <c r="DE264" s="1">
        <v>6</v>
      </c>
      <c r="DF264" s="1">
        <v>4</v>
      </c>
      <c r="DG264" s="1">
        <v>4</v>
      </c>
      <c r="DH264" s="1">
        <v>5</v>
      </c>
      <c r="DI264" s="1">
        <v>3</v>
      </c>
      <c r="DJ264" s="1">
        <v>5</v>
      </c>
      <c r="DK264" s="1">
        <v>4</v>
      </c>
      <c r="DL264" s="1">
        <v>7</v>
      </c>
      <c r="DM264" s="19">
        <v>7</v>
      </c>
      <c r="DN264" s="19">
        <v>6</v>
      </c>
      <c r="DO264" s="1">
        <v>7</v>
      </c>
      <c r="DP264" s="1">
        <v>5</v>
      </c>
      <c r="DQ264" s="1">
        <v>7</v>
      </c>
      <c r="DR264" s="1">
        <v>6</v>
      </c>
      <c r="DS264" s="1">
        <v>6</v>
      </c>
      <c r="DT264" s="1">
        <v>6</v>
      </c>
      <c r="DU264" s="27">
        <v>7</v>
      </c>
      <c r="DV264" s="27">
        <v>6</v>
      </c>
      <c r="DW264" s="27">
        <v>6</v>
      </c>
      <c r="DX264" s="27">
        <v>5</v>
      </c>
      <c r="DY264" s="27">
        <v>6</v>
      </c>
      <c r="DZ264" s="27">
        <v>3</v>
      </c>
      <c r="EA264" s="27">
        <v>4</v>
      </c>
      <c r="EB264" s="27">
        <v>5</v>
      </c>
      <c r="EC264" s="27">
        <v>6</v>
      </c>
      <c r="ED264" s="27">
        <v>2</v>
      </c>
      <c r="EE264" s="27">
        <v>3</v>
      </c>
      <c r="EF264" s="27">
        <v>3</v>
      </c>
      <c r="EG264" s="27">
        <v>7</v>
      </c>
      <c r="EH264" s="27">
        <v>6</v>
      </c>
      <c r="EI264" s="27">
        <v>6</v>
      </c>
      <c r="EJ264" s="27">
        <v>6</v>
      </c>
      <c r="EK264" s="27">
        <v>6</v>
      </c>
      <c r="EL264" s="27">
        <v>7</v>
      </c>
      <c r="EM264" s="27">
        <v>1</v>
      </c>
      <c r="EN264" s="27">
        <v>2</v>
      </c>
      <c r="EO264" s="27">
        <v>6</v>
      </c>
      <c r="EP264" s="27">
        <v>6</v>
      </c>
      <c r="EQ264" s="27">
        <v>6</v>
      </c>
      <c r="ER264" s="27">
        <v>6</v>
      </c>
      <c r="ES264" s="27">
        <v>6</v>
      </c>
      <c r="ET264" s="27">
        <v>6</v>
      </c>
      <c r="EU264" s="27">
        <v>6</v>
      </c>
      <c r="EV264" s="27">
        <v>20</v>
      </c>
      <c r="EW264" s="27">
        <v>1</v>
      </c>
      <c r="EY264" s="27">
        <v>8</v>
      </c>
      <c r="EZ264" s="28" t="s">
        <v>769</v>
      </c>
      <c r="FA264" s="27">
        <v>3</v>
      </c>
      <c r="FB264" s="28" t="s">
        <v>943</v>
      </c>
      <c r="FC264" s="27">
        <v>0</v>
      </c>
      <c r="FD264" s="1">
        <v>3</v>
      </c>
      <c r="FE264" s="4"/>
      <c r="FF264" s="4"/>
      <c r="FG264" s="4"/>
      <c r="FH264" s="4"/>
      <c r="FI264" s="4"/>
      <c r="FJ264" s="23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26"/>
      <c r="GF264" s="26"/>
      <c r="GG264" s="4"/>
      <c r="JH264" s="1"/>
      <c r="JV264" s="1"/>
      <c r="KM264" s="4"/>
      <c r="LA264" s="4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</row>
    <row r="265" spans="1:376" x14ac:dyDescent="0.35">
      <c r="A265" s="14">
        <v>43504</v>
      </c>
      <c r="B265" s="16" t="s">
        <v>154</v>
      </c>
      <c r="C265" s="16" t="s">
        <v>426</v>
      </c>
      <c r="D265" s="1">
        <v>264</v>
      </c>
      <c r="E265" s="1">
        <v>6</v>
      </c>
      <c r="F265" s="1">
        <v>6</v>
      </c>
      <c r="H265" s="1">
        <v>66</v>
      </c>
      <c r="I265" s="1">
        <v>4</v>
      </c>
      <c r="K265" s="18">
        <v>1</v>
      </c>
      <c r="L265" s="18">
        <v>1</v>
      </c>
      <c r="M265" s="18">
        <v>1</v>
      </c>
      <c r="N265" s="18">
        <v>1</v>
      </c>
      <c r="O265" s="18">
        <v>1</v>
      </c>
      <c r="P265" s="4">
        <v>1</v>
      </c>
      <c r="Q265" s="3">
        <v>108</v>
      </c>
      <c r="R265" s="1">
        <v>78</v>
      </c>
      <c r="S265" s="1">
        <v>51</v>
      </c>
      <c r="T265" s="1">
        <v>111</v>
      </c>
      <c r="U265" s="1">
        <v>108</v>
      </c>
      <c r="V265" s="1">
        <v>115</v>
      </c>
      <c r="W265" s="1">
        <v>110</v>
      </c>
      <c r="X265" s="1">
        <v>106</v>
      </c>
      <c r="Y265" s="1">
        <v>134</v>
      </c>
      <c r="AI265" s="4"/>
      <c r="AJ265" s="4"/>
      <c r="AK265" s="4"/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9">
        <v>0</v>
      </c>
      <c r="AT265" s="19">
        <v>0</v>
      </c>
      <c r="AU265" s="19">
        <v>2</v>
      </c>
      <c r="AV265" s="19">
        <v>0</v>
      </c>
      <c r="AW265" s="19">
        <v>0</v>
      </c>
      <c r="AX265" s="19"/>
      <c r="AY265"/>
      <c r="AZ265"/>
      <c r="BA265"/>
      <c r="BB265"/>
      <c r="BC265"/>
      <c r="BP265" s="4"/>
      <c r="BQ265" s="4"/>
      <c r="BR265" s="4"/>
      <c r="BS265" s="4"/>
      <c r="BT265" s="4"/>
      <c r="BU265" s="4"/>
      <c r="CI265" s="1">
        <v>7</v>
      </c>
      <c r="CJ265" s="1">
        <v>7</v>
      </c>
      <c r="CK265" s="1">
        <v>7</v>
      </c>
      <c r="CL265" s="1">
        <v>6</v>
      </c>
      <c r="CM265" s="1">
        <v>5</v>
      </c>
      <c r="CN265" s="1">
        <v>6</v>
      </c>
      <c r="CO265" s="1">
        <v>5</v>
      </c>
      <c r="CP265" s="1">
        <v>1</v>
      </c>
      <c r="CQ265" s="1">
        <v>7</v>
      </c>
      <c r="CR265" s="1">
        <v>7</v>
      </c>
      <c r="CS265" s="1">
        <v>7</v>
      </c>
      <c r="CT265" s="1">
        <v>7</v>
      </c>
      <c r="CU265" s="1">
        <v>6</v>
      </c>
      <c r="CV265" s="1">
        <v>6</v>
      </c>
      <c r="CW265" s="1">
        <v>4</v>
      </c>
      <c r="CX265" s="1">
        <v>5</v>
      </c>
      <c r="CY265" s="1">
        <v>5</v>
      </c>
      <c r="CZ265" s="1">
        <v>7</v>
      </c>
      <c r="DA265" s="1">
        <v>7</v>
      </c>
      <c r="DB265" s="1">
        <v>7</v>
      </c>
      <c r="DC265" s="1">
        <v>6</v>
      </c>
      <c r="DD265" s="1">
        <v>6</v>
      </c>
      <c r="DE265" s="1">
        <v>7</v>
      </c>
      <c r="DF265" s="1">
        <v>6</v>
      </c>
      <c r="DG265" s="1">
        <v>5</v>
      </c>
      <c r="DH265" s="1">
        <v>7</v>
      </c>
      <c r="DI265" s="1">
        <v>6</v>
      </c>
      <c r="DJ265" s="1">
        <v>6</v>
      </c>
      <c r="DK265" s="1">
        <v>5</v>
      </c>
      <c r="DL265" s="1">
        <v>7</v>
      </c>
      <c r="DM265" s="19">
        <v>7</v>
      </c>
      <c r="DN265" s="19">
        <v>7</v>
      </c>
      <c r="DO265" s="1">
        <v>7</v>
      </c>
      <c r="DP265" s="1">
        <v>6</v>
      </c>
      <c r="DQ265" s="1">
        <v>5</v>
      </c>
      <c r="DR265" s="1">
        <v>3</v>
      </c>
      <c r="DS265" s="1">
        <v>7</v>
      </c>
      <c r="DT265" s="1">
        <v>6</v>
      </c>
      <c r="DU265" s="27">
        <v>7</v>
      </c>
      <c r="DV265" s="27">
        <v>7</v>
      </c>
      <c r="DW265" s="27">
        <v>7</v>
      </c>
      <c r="DX265" s="27">
        <v>4</v>
      </c>
      <c r="DY265" s="27">
        <v>4</v>
      </c>
      <c r="DZ265" s="27">
        <v>1</v>
      </c>
      <c r="EA265" s="27">
        <v>1</v>
      </c>
      <c r="EB265" s="27">
        <v>6</v>
      </c>
      <c r="EC265" s="27">
        <v>4</v>
      </c>
      <c r="ED265" s="27">
        <v>4</v>
      </c>
      <c r="EE265" s="27">
        <v>7</v>
      </c>
      <c r="EF265" s="27">
        <v>4</v>
      </c>
      <c r="EG265" s="27">
        <v>4</v>
      </c>
      <c r="EH265" s="27">
        <v>6</v>
      </c>
      <c r="EI265" s="27">
        <v>6</v>
      </c>
      <c r="EJ265" s="27">
        <v>5</v>
      </c>
      <c r="EK265" s="27">
        <v>2</v>
      </c>
      <c r="EL265" s="27">
        <v>7</v>
      </c>
      <c r="EM265" s="27">
        <v>3</v>
      </c>
      <c r="EN265" s="27">
        <v>1</v>
      </c>
      <c r="EO265" s="27">
        <v>7</v>
      </c>
      <c r="EP265" s="27">
        <v>7</v>
      </c>
      <c r="EQ265" s="27">
        <v>4</v>
      </c>
      <c r="ER265" s="27">
        <v>6</v>
      </c>
      <c r="ES265" s="27">
        <v>6</v>
      </c>
      <c r="ET265" s="27">
        <v>7</v>
      </c>
      <c r="EU265" s="27">
        <v>7</v>
      </c>
      <c r="EV265" s="27">
        <v>18</v>
      </c>
      <c r="EW265" s="27">
        <v>2</v>
      </c>
      <c r="EY265" s="27">
        <v>1</v>
      </c>
      <c r="FA265" s="27">
        <v>1</v>
      </c>
      <c r="FB265" s="28" t="s">
        <v>778</v>
      </c>
      <c r="FC265" s="27">
        <v>1</v>
      </c>
      <c r="FD265" s="1">
        <v>7</v>
      </c>
      <c r="FE265" s="4"/>
      <c r="FF265" s="4"/>
      <c r="FG265" s="4"/>
      <c r="FH265" s="4"/>
      <c r="FI265" s="4"/>
      <c r="FJ265" s="23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26"/>
      <c r="GF265" s="26"/>
      <c r="GG265" s="4"/>
      <c r="JH265" s="1"/>
      <c r="JV265" s="1"/>
      <c r="KM265" s="4"/>
      <c r="LA265" s="4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</row>
    <row r="266" spans="1:376" x14ac:dyDescent="0.35">
      <c r="A266" s="14">
        <v>43508</v>
      </c>
      <c r="B266" s="16" t="s">
        <v>155</v>
      </c>
      <c r="C266" s="16" t="s">
        <v>427</v>
      </c>
      <c r="D266" s="1">
        <v>265</v>
      </c>
      <c r="E266" s="1">
        <v>6</v>
      </c>
      <c r="F266" s="1">
        <v>6</v>
      </c>
      <c r="G266" s="1">
        <v>1</v>
      </c>
      <c r="H266" s="1">
        <v>67</v>
      </c>
      <c r="I266" s="1">
        <v>1</v>
      </c>
      <c r="J266" s="1">
        <v>1</v>
      </c>
      <c r="K266" s="18">
        <v>0</v>
      </c>
      <c r="L266" s="18">
        <v>1</v>
      </c>
      <c r="M266" s="18">
        <v>1</v>
      </c>
      <c r="N266" s="18">
        <v>1</v>
      </c>
      <c r="O266" s="18">
        <v>0</v>
      </c>
      <c r="P266" s="4">
        <v>0.6</v>
      </c>
      <c r="Q266" s="3">
        <v>85</v>
      </c>
      <c r="R266" s="1">
        <v>59</v>
      </c>
      <c r="S266" s="1">
        <v>43</v>
      </c>
      <c r="T266" s="1">
        <v>63</v>
      </c>
      <c r="U266" s="1">
        <v>93</v>
      </c>
      <c r="V266" s="1">
        <v>101</v>
      </c>
      <c r="W266" s="1">
        <v>94</v>
      </c>
      <c r="X266" s="1">
        <v>103</v>
      </c>
      <c r="Y266" s="1">
        <v>105</v>
      </c>
      <c r="Z266" s="1">
        <v>212</v>
      </c>
      <c r="AA266" s="1">
        <v>193</v>
      </c>
      <c r="AB266" s="1">
        <v>187</v>
      </c>
      <c r="AC266" s="1">
        <v>252</v>
      </c>
      <c r="AD266" s="1">
        <v>347</v>
      </c>
      <c r="AE266" s="1">
        <v>382</v>
      </c>
      <c r="AF266" s="1">
        <v>318</v>
      </c>
      <c r="AG266" s="1">
        <v>383</v>
      </c>
      <c r="AH266" s="1">
        <v>400</v>
      </c>
      <c r="AI266" s="4">
        <v>197.33</v>
      </c>
      <c r="AJ266" s="4">
        <v>327</v>
      </c>
      <c r="AK266" s="4">
        <v>367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9">
        <v>0</v>
      </c>
      <c r="AT266" s="19">
        <v>0</v>
      </c>
      <c r="AU266" s="19">
        <v>0</v>
      </c>
      <c r="AV266" s="19">
        <v>0</v>
      </c>
      <c r="AW266" s="19">
        <v>0</v>
      </c>
      <c r="AX266" s="19">
        <f t="shared" ref="AX266:BC266" si="132">AL266+AL267+AL268+AL269</f>
        <v>0</v>
      </c>
      <c r="AY266" s="19">
        <f t="shared" si="132"/>
        <v>0</v>
      </c>
      <c r="AZ266" s="19">
        <f t="shared" si="132"/>
        <v>0</v>
      </c>
      <c r="BA266" s="19">
        <f t="shared" si="132"/>
        <v>0</v>
      </c>
      <c r="BB266" s="19">
        <f t="shared" si="132"/>
        <v>0</v>
      </c>
      <c r="BC266" s="19">
        <f t="shared" si="132"/>
        <v>0</v>
      </c>
      <c r="BD266" s="1">
        <f>AX266*3</f>
        <v>0</v>
      </c>
      <c r="BE266" s="1">
        <f t="shared" ref="BE266:BI266" si="133">AY266*3</f>
        <v>0</v>
      </c>
      <c r="BF266" s="1">
        <f t="shared" si="133"/>
        <v>0</v>
      </c>
      <c r="BG266" s="1">
        <f t="shared" si="133"/>
        <v>0</v>
      </c>
      <c r="BH266" s="1">
        <f t="shared" si="133"/>
        <v>0</v>
      </c>
      <c r="BI266" s="1">
        <f t="shared" si="133"/>
        <v>0</v>
      </c>
      <c r="BJ266" s="1">
        <f>AX266+AY266+AZ266</f>
        <v>0</v>
      </c>
      <c r="BK266" s="1">
        <f>BA266+BB266+BC266</f>
        <v>0</v>
      </c>
      <c r="BL266" s="1">
        <f>BJ266*3</f>
        <v>0</v>
      </c>
      <c r="BM266" s="1">
        <f>BK266*3</f>
        <v>0</v>
      </c>
      <c r="BN266" s="1">
        <f>BL266/3</f>
        <v>0</v>
      </c>
      <c r="BO266" s="1">
        <f>BM266/3</f>
        <v>0</v>
      </c>
      <c r="BP266" s="4">
        <v>197.33333333333334</v>
      </c>
      <c r="BQ266" s="4">
        <v>327</v>
      </c>
      <c r="BR266" s="4">
        <v>367</v>
      </c>
      <c r="BS266" s="4">
        <v>327</v>
      </c>
      <c r="BT266" s="4">
        <v>367</v>
      </c>
      <c r="BU266" s="4">
        <v>4</v>
      </c>
      <c r="BV266" s="1">
        <v>2</v>
      </c>
      <c r="BW266" s="1">
        <v>3</v>
      </c>
      <c r="BX266" s="1">
        <v>3</v>
      </c>
      <c r="BY266" s="1">
        <v>3</v>
      </c>
      <c r="BZ266" s="1">
        <v>0</v>
      </c>
      <c r="CA266" s="1">
        <v>0</v>
      </c>
      <c r="CB266" s="1">
        <v>0</v>
      </c>
      <c r="CC266" s="1">
        <v>0</v>
      </c>
      <c r="CD266" s="1">
        <v>1</v>
      </c>
      <c r="CE266" s="1">
        <v>1</v>
      </c>
      <c r="CF266" s="1">
        <v>1</v>
      </c>
      <c r="CG266" s="1">
        <v>1</v>
      </c>
      <c r="CH266" s="1">
        <v>0</v>
      </c>
      <c r="CI266" s="1">
        <v>6</v>
      </c>
      <c r="CJ266" s="1">
        <v>6</v>
      </c>
      <c r="CK266" s="1">
        <v>6</v>
      </c>
      <c r="CL266" s="1">
        <v>6</v>
      </c>
      <c r="CM266" s="1">
        <v>5</v>
      </c>
      <c r="CN266" s="1">
        <v>6</v>
      </c>
      <c r="CO266" s="1">
        <v>4</v>
      </c>
      <c r="CP266" s="1">
        <v>5</v>
      </c>
      <c r="CQ266" s="1">
        <v>6</v>
      </c>
      <c r="CR266" s="1">
        <v>5</v>
      </c>
      <c r="CS266" s="1">
        <v>5</v>
      </c>
      <c r="CT266" s="1">
        <v>3</v>
      </c>
      <c r="CU266" s="1">
        <v>5</v>
      </c>
      <c r="CV266" s="1">
        <v>5</v>
      </c>
      <c r="CW266" s="1">
        <v>6</v>
      </c>
      <c r="CX266" s="1">
        <v>5</v>
      </c>
      <c r="CY266" s="1">
        <v>4</v>
      </c>
      <c r="CZ266" s="1">
        <v>5</v>
      </c>
      <c r="DA266" s="1">
        <v>5</v>
      </c>
      <c r="DB266" s="1">
        <v>6</v>
      </c>
      <c r="DC266" s="1">
        <v>5</v>
      </c>
      <c r="DD266" s="1">
        <v>3</v>
      </c>
      <c r="DE266" s="1">
        <v>6</v>
      </c>
      <c r="DF266" s="1">
        <v>5</v>
      </c>
      <c r="DG266" s="1">
        <v>5</v>
      </c>
      <c r="DH266" s="1">
        <v>7</v>
      </c>
      <c r="DI266" s="1">
        <v>3</v>
      </c>
      <c r="DJ266" s="1">
        <v>5</v>
      </c>
      <c r="DK266" s="1">
        <v>4</v>
      </c>
      <c r="DL266" s="1">
        <v>5</v>
      </c>
      <c r="DM266" s="19">
        <v>3</v>
      </c>
      <c r="DN266" s="19">
        <v>7</v>
      </c>
      <c r="DO266" s="1">
        <v>6</v>
      </c>
      <c r="DP266" s="1">
        <v>5</v>
      </c>
      <c r="DQ266" s="1">
        <v>4</v>
      </c>
      <c r="DR266" s="1">
        <v>4</v>
      </c>
      <c r="DS266" s="1">
        <v>6</v>
      </c>
      <c r="DT266" s="1">
        <v>2</v>
      </c>
      <c r="DU266" s="27">
        <v>7</v>
      </c>
      <c r="DV266" s="27">
        <v>6</v>
      </c>
      <c r="DW266" s="27">
        <v>7</v>
      </c>
      <c r="DX266" s="27">
        <v>6</v>
      </c>
      <c r="DY266" s="27">
        <v>4</v>
      </c>
      <c r="DZ266" s="27">
        <v>6</v>
      </c>
      <c r="EA266" s="27">
        <v>2</v>
      </c>
      <c r="EB266" s="27">
        <v>7</v>
      </c>
      <c r="EC266" s="27">
        <v>7</v>
      </c>
      <c r="ED266" s="27">
        <v>5</v>
      </c>
      <c r="EE266" s="27">
        <v>7</v>
      </c>
      <c r="EF266" s="27">
        <v>6</v>
      </c>
      <c r="EG266" s="27">
        <v>5</v>
      </c>
      <c r="EH266" s="27">
        <v>7</v>
      </c>
      <c r="EI266" s="27">
        <v>7</v>
      </c>
      <c r="EJ266" s="27">
        <v>2</v>
      </c>
      <c r="EK266" s="27">
        <v>2</v>
      </c>
      <c r="EL266" s="27">
        <v>2</v>
      </c>
      <c r="EM266" s="27">
        <v>2</v>
      </c>
      <c r="EN266" s="27">
        <v>2</v>
      </c>
      <c r="EO266" s="27">
        <v>6</v>
      </c>
      <c r="EP266" s="27">
        <v>4</v>
      </c>
      <c r="EQ266" s="27">
        <v>4</v>
      </c>
      <c r="ER266" s="27">
        <v>2</v>
      </c>
      <c r="ES266" s="27">
        <v>2</v>
      </c>
      <c r="ET266" s="27">
        <v>3</v>
      </c>
      <c r="EU266" s="27">
        <v>4</v>
      </c>
      <c r="EV266" s="27">
        <v>21</v>
      </c>
      <c r="EW266" s="27">
        <v>2</v>
      </c>
      <c r="EY266" s="27">
        <v>1</v>
      </c>
      <c r="FA266" s="27">
        <v>3</v>
      </c>
      <c r="FB266" s="28" t="s">
        <v>944</v>
      </c>
      <c r="FC266" s="27">
        <v>0</v>
      </c>
      <c r="FD266" s="1">
        <v>6</v>
      </c>
      <c r="FE266" s="4">
        <v>6.21</v>
      </c>
      <c r="FF266" s="4">
        <v>5.75</v>
      </c>
      <c r="FG266" s="4">
        <v>7.19</v>
      </c>
      <c r="FH266" s="4">
        <v>6.08</v>
      </c>
      <c r="FI266" s="4">
        <v>5.88</v>
      </c>
      <c r="FJ266" s="23">
        <v>6.25</v>
      </c>
      <c r="FK266" s="4">
        <v>6.17</v>
      </c>
      <c r="FL266" s="4">
        <v>5.88</v>
      </c>
      <c r="FM266" s="4">
        <v>5.75</v>
      </c>
      <c r="FN266" s="4">
        <v>5.75</v>
      </c>
      <c r="FO266" s="4">
        <v>5.17</v>
      </c>
      <c r="FP266" s="4">
        <v>5.67</v>
      </c>
      <c r="FQ266" s="4">
        <v>3.5</v>
      </c>
      <c r="FR266" s="4">
        <v>2</v>
      </c>
      <c r="FS266" s="4">
        <v>6.75</v>
      </c>
      <c r="FT266" s="4">
        <v>6.75</v>
      </c>
      <c r="FU266" s="4">
        <v>4.75</v>
      </c>
      <c r="FV266" s="4">
        <v>5.75</v>
      </c>
      <c r="FW266" s="4">
        <v>5.75</v>
      </c>
      <c r="FX266" s="4">
        <v>6.25</v>
      </c>
      <c r="FY266" s="4">
        <v>6</v>
      </c>
      <c r="FZ266" s="4">
        <v>5.25</v>
      </c>
      <c r="GA266" s="4">
        <v>3.5</v>
      </c>
      <c r="GB266" s="4">
        <v>4.58</v>
      </c>
      <c r="GC266" s="4">
        <v>5.25</v>
      </c>
      <c r="GD266" s="4">
        <v>4.63</v>
      </c>
      <c r="GE266" s="26"/>
      <c r="GF266" s="26"/>
      <c r="GG266" s="4"/>
      <c r="JH266" s="1"/>
      <c r="JV266" s="1"/>
      <c r="KM266" s="4"/>
      <c r="LA266" s="4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</row>
    <row r="267" spans="1:376" x14ac:dyDescent="0.35">
      <c r="A267" s="14">
        <v>43508</v>
      </c>
      <c r="B267" s="16" t="s">
        <v>155</v>
      </c>
      <c r="C267" s="16" t="s">
        <v>428</v>
      </c>
      <c r="D267" s="1">
        <v>266</v>
      </c>
      <c r="E267" s="1">
        <v>6</v>
      </c>
      <c r="F267" s="1">
        <v>6</v>
      </c>
      <c r="H267" s="1">
        <v>67</v>
      </c>
      <c r="I267" s="1">
        <v>2</v>
      </c>
      <c r="K267" s="18">
        <v>0</v>
      </c>
      <c r="L267" s="18">
        <v>0</v>
      </c>
      <c r="M267" s="18">
        <v>1</v>
      </c>
      <c r="N267" s="18">
        <v>1</v>
      </c>
      <c r="O267" s="18">
        <v>0</v>
      </c>
      <c r="P267" s="4">
        <v>0.4</v>
      </c>
      <c r="Q267" s="3">
        <v>30</v>
      </c>
      <c r="R267" s="1">
        <v>58</v>
      </c>
      <c r="S267" s="1">
        <v>62</v>
      </c>
      <c r="T267" s="1">
        <v>63</v>
      </c>
      <c r="U267" s="1">
        <v>100</v>
      </c>
      <c r="V267" s="1">
        <v>106</v>
      </c>
      <c r="W267" s="1">
        <v>77</v>
      </c>
      <c r="X267" s="1">
        <v>105</v>
      </c>
      <c r="Y267" s="1">
        <v>117</v>
      </c>
      <c r="AI267" s="4"/>
      <c r="AJ267" s="4"/>
      <c r="AK267" s="4"/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9">
        <v>0</v>
      </c>
      <c r="AT267" s="19">
        <v>0</v>
      </c>
      <c r="AU267" s="19">
        <v>0</v>
      </c>
      <c r="AV267" s="19">
        <v>0</v>
      </c>
      <c r="AW267" s="19">
        <v>0</v>
      </c>
      <c r="AX267" s="19"/>
      <c r="AY267"/>
      <c r="AZ267"/>
      <c r="BA267"/>
      <c r="BB267"/>
      <c r="BC267"/>
      <c r="BP267" s="4"/>
      <c r="BQ267" s="4"/>
      <c r="BR267" s="4"/>
      <c r="BS267" s="4"/>
      <c r="BT267" s="4"/>
      <c r="BU267" s="4"/>
      <c r="CI267" s="1">
        <v>6</v>
      </c>
      <c r="CJ267" s="1">
        <v>6</v>
      </c>
      <c r="CK267" s="1">
        <v>6</v>
      </c>
      <c r="CL267" s="1">
        <v>6</v>
      </c>
      <c r="CM267" s="1">
        <v>6</v>
      </c>
      <c r="CN267" s="1">
        <v>6</v>
      </c>
      <c r="CO267" s="1">
        <v>6</v>
      </c>
      <c r="CP267" s="1">
        <v>3</v>
      </c>
      <c r="CQ267" s="1">
        <v>6</v>
      </c>
      <c r="CR267" s="1">
        <v>6</v>
      </c>
      <c r="CS267" s="1">
        <v>6</v>
      </c>
      <c r="CT267" s="1">
        <v>5</v>
      </c>
      <c r="CU267" s="1">
        <v>6</v>
      </c>
      <c r="CV267" s="1">
        <v>6</v>
      </c>
      <c r="CW267" s="1">
        <v>6</v>
      </c>
      <c r="CX267" s="1">
        <v>6</v>
      </c>
      <c r="CY267" s="1">
        <v>5</v>
      </c>
      <c r="CZ267" s="1">
        <v>6</v>
      </c>
      <c r="DA267" s="1">
        <v>6</v>
      </c>
      <c r="DB267" s="1">
        <v>6</v>
      </c>
      <c r="DC267" s="1">
        <v>6</v>
      </c>
      <c r="DD267" s="1">
        <v>6</v>
      </c>
      <c r="DE267" s="1">
        <v>6</v>
      </c>
      <c r="DF267" s="1">
        <v>6</v>
      </c>
      <c r="DG267" s="1">
        <v>6</v>
      </c>
      <c r="DH267" s="1">
        <v>6</v>
      </c>
      <c r="DI267" s="1">
        <v>6</v>
      </c>
      <c r="DJ267" s="1">
        <v>6</v>
      </c>
      <c r="DK267" s="1">
        <v>6</v>
      </c>
      <c r="DL267" s="1">
        <v>6</v>
      </c>
      <c r="DM267" s="19">
        <v>6</v>
      </c>
      <c r="DN267" s="19">
        <v>6</v>
      </c>
      <c r="DO267" s="1">
        <v>6</v>
      </c>
      <c r="DP267" s="1">
        <v>6</v>
      </c>
      <c r="DQ267" s="1">
        <v>6</v>
      </c>
      <c r="DR267" s="1">
        <v>6</v>
      </c>
      <c r="DS267" s="1">
        <v>6</v>
      </c>
      <c r="DT267" s="1">
        <v>6</v>
      </c>
      <c r="DU267" s="27">
        <v>5</v>
      </c>
      <c r="DV267" s="27">
        <v>3</v>
      </c>
      <c r="DW267" s="27">
        <v>3</v>
      </c>
      <c r="DX267" s="27">
        <v>6</v>
      </c>
      <c r="DY267" s="27">
        <v>5</v>
      </c>
      <c r="DZ267" s="27">
        <v>6</v>
      </c>
      <c r="EA267" s="27">
        <v>4</v>
      </c>
      <c r="EB267" s="27">
        <v>6</v>
      </c>
      <c r="EC267" s="27">
        <v>6</v>
      </c>
      <c r="ED267" s="27">
        <v>3</v>
      </c>
      <c r="EE267" s="27">
        <v>6</v>
      </c>
      <c r="EF267" s="27">
        <v>6</v>
      </c>
      <c r="EG267" s="27">
        <v>6</v>
      </c>
      <c r="EH267" s="27">
        <v>6</v>
      </c>
      <c r="EI267" s="27">
        <v>6</v>
      </c>
      <c r="EJ267" s="27">
        <v>6</v>
      </c>
      <c r="EK267" s="27">
        <v>6</v>
      </c>
      <c r="EL267" s="27">
        <v>6</v>
      </c>
      <c r="EM267" s="27">
        <v>2</v>
      </c>
      <c r="EN267" s="27">
        <v>2</v>
      </c>
      <c r="EO267" s="27">
        <v>6</v>
      </c>
      <c r="EP267" s="27">
        <v>6</v>
      </c>
      <c r="EQ267" s="27">
        <v>6</v>
      </c>
      <c r="ER267" s="27">
        <v>6</v>
      </c>
      <c r="ES267" s="27">
        <v>6</v>
      </c>
      <c r="ET267" s="27">
        <v>6</v>
      </c>
      <c r="EU267" s="27">
        <v>6</v>
      </c>
      <c r="EV267" s="27">
        <v>20</v>
      </c>
      <c r="EW267" s="27">
        <v>2</v>
      </c>
      <c r="EY267" s="27">
        <v>4</v>
      </c>
      <c r="FA267" s="27">
        <v>2</v>
      </c>
      <c r="FB267" s="28" t="s">
        <v>945</v>
      </c>
      <c r="FC267" s="27">
        <v>0</v>
      </c>
      <c r="FD267" s="1">
        <v>9</v>
      </c>
      <c r="FE267" s="4"/>
      <c r="FF267" s="4"/>
      <c r="FG267" s="4"/>
      <c r="FH267" s="4"/>
      <c r="FI267" s="4"/>
      <c r="FJ267" s="23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26"/>
      <c r="GF267" s="26"/>
      <c r="GG267" s="4"/>
      <c r="JH267" s="1"/>
      <c r="JV267" s="1"/>
      <c r="KM267" s="4"/>
      <c r="LA267" s="4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</row>
    <row r="268" spans="1:376" x14ac:dyDescent="0.35">
      <c r="A268" s="14">
        <v>43508</v>
      </c>
      <c r="B268" s="16" t="s">
        <v>155</v>
      </c>
      <c r="C268" s="16" t="s">
        <v>429</v>
      </c>
      <c r="D268" s="1">
        <v>267</v>
      </c>
      <c r="E268" s="1">
        <v>6</v>
      </c>
      <c r="F268" s="1">
        <v>6</v>
      </c>
      <c r="H268" s="1">
        <v>67</v>
      </c>
      <c r="I268" s="1">
        <v>3</v>
      </c>
      <c r="K268" s="18">
        <v>0</v>
      </c>
      <c r="L268" s="18">
        <v>0</v>
      </c>
      <c r="M268" s="18">
        <v>1</v>
      </c>
      <c r="N268" s="18">
        <v>1</v>
      </c>
      <c r="O268" s="18">
        <v>1</v>
      </c>
      <c r="P268" s="4">
        <v>0.6</v>
      </c>
      <c r="Q268" s="3">
        <v>56</v>
      </c>
      <c r="R268" s="1">
        <v>39</v>
      </c>
      <c r="S268" s="1">
        <v>45</v>
      </c>
      <c r="T268" s="1">
        <v>64</v>
      </c>
      <c r="U268" s="1">
        <v>86</v>
      </c>
      <c r="V268" s="1">
        <v>75</v>
      </c>
      <c r="W268" s="1">
        <v>68</v>
      </c>
      <c r="X268" s="1">
        <v>86</v>
      </c>
      <c r="Y268" s="1">
        <v>78</v>
      </c>
      <c r="AI268" s="4"/>
      <c r="AJ268" s="4"/>
      <c r="AK268" s="4"/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9">
        <v>0</v>
      </c>
      <c r="AT268" s="19">
        <v>0</v>
      </c>
      <c r="AU268" s="19">
        <v>0</v>
      </c>
      <c r="AV268" s="19">
        <v>0</v>
      </c>
      <c r="AW268" s="19">
        <v>0</v>
      </c>
      <c r="AX268" s="19"/>
      <c r="AY268"/>
      <c r="AZ268"/>
      <c r="BA268"/>
      <c r="BB268"/>
      <c r="BC268"/>
      <c r="BP268" s="4"/>
      <c r="BQ268" s="4"/>
      <c r="BR268" s="4"/>
      <c r="BS268" s="4"/>
      <c r="BT268" s="4"/>
      <c r="BU268" s="4"/>
      <c r="CI268" s="1">
        <v>7</v>
      </c>
      <c r="CJ268" s="1">
        <v>7</v>
      </c>
      <c r="CK268" s="1">
        <v>7</v>
      </c>
      <c r="CL268" s="1">
        <v>7</v>
      </c>
      <c r="CM268" s="1">
        <v>5</v>
      </c>
      <c r="CN268" s="1">
        <v>7</v>
      </c>
      <c r="CO268" s="1">
        <v>7</v>
      </c>
      <c r="CP268" s="1">
        <v>2</v>
      </c>
      <c r="CQ268" s="1">
        <v>6</v>
      </c>
      <c r="CR268" s="1">
        <v>6</v>
      </c>
      <c r="CS268" s="1">
        <v>6</v>
      </c>
      <c r="CT268" s="1">
        <v>6</v>
      </c>
      <c r="CU268" s="1">
        <v>7</v>
      </c>
      <c r="CV268" s="1">
        <v>6</v>
      </c>
      <c r="CW268" s="1">
        <v>6</v>
      </c>
      <c r="CX268" s="1">
        <v>6</v>
      </c>
      <c r="CY268" s="1">
        <v>7</v>
      </c>
      <c r="CZ268" s="1">
        <v>7</v>
      </c>
      <c r="DA268" s="1">
        <v>7</v>
      </c>
      <c r="DB268" s="1">
        <v>7</v>
      </c>
      <c r="DC268" s="1">
        <v>7</v>
      </c>
      <c r="DD268" s="1">
        <v>7</v>
      </c>
      <c r="DE268" s="1">
        <v>7</v>
      </c>
      <c r="DF268" s="1">
        <v>7</v>
      </c>
      <c r="DG268" s="1">
        <v>7</v>
      </c>
      <c r="DH268" s="1">
        <v>7</v>
      </c>
      <c r="DI268" s="1">
        <v>7</v>
      </c>
      <c r="DJ268" s="1">
        <v>7</v>
      </c>
      <c r="DK268" s="1">
        <v>7</v>
      </c>
      <c r="DL268" s="1">
        <v>7</v>
      </c>
      <c r="DM268" s="19">
        <v>7</v>
      </c>
      <c r="DN268" s="19">
        <v>7</v>
      </c>
      <c r="DO268" s="1">
        <v>2</v>
      </c>
      <c r="DP268" s="1">
        <v>5</v>
      </c>
      <c r="DQ268" s="1">
        <v>7</v>
      </c>
      <c r="DR268" s="1">
        <v>3</v>
      </c>
      <c r="DS268" s="1">
        <v>7</v>
      </c>
      <c r="DT268" s="1">
        <v>6</v>
      </c>
      <c r="DU268" s="27">
        <v>7</v>
      </c>
      <c r="DV268" s="27">
        <v>7</v>
      </c>
      <c r="DW268" s="27">
        <v>7</v>
      </c>
      <c r="DX268" s="27">
        <v>1</v>
      </c>
      <c r="DY268" s="27">
        <v>1</v>
      </c>
      <c r="DZ268" s="27">
        <v>1</v>
      </c>
      <c r="EA268" s="27">
        <v>1</v>
      </c>
      <c r="EB268" s="27">
        <v>7</v>
      </c>
      <c r="EC268" s="27">
        <v>7</v>
      </c>
      <c r="ED268" s="27">
        <v>7</v>
      </c>
      <c r="EE268" s="27">
        <v>5</v>
      </c>
      <c r="EF268" s="27">
        <v>7</v>
      </c>
      <c r="EG268" s="27">
        <v>7</v>
      </c>
      <c r="EH268" s="27">
        <v>7</v>
      </c>
      <c r="EI268" s="27">
        <v>7</v>
      </c>
      <c r="EJ268" s="27">
        <v>7</v>
      </c>
      <c r="EK268" s="27">
        <v>7</v>
      </c>
      <c r="EL268" s="27">
        <v>7</v>
      </c>
      <c r="EM268" s="27">
        <v>1</v>
      </c>
      <c r="EN268" s="27">
        <v>7</v>
      </c>
      <c r="EO268" s="27">
        <v>4</v>
      </c>
      <c r="EP268" s="27">
        <v>5</v>
      </c>
      <c r="EQ268" s="27">
        <v>2</v>
      </c>
      <c r="ER268" s="27">
        <v>7</v>
      </c>
      <c r="ES268" s="27">
        <v>7</v>
      </c>
      <c r="ET268" s="27">
        <v>6</v>
      </c>
      <c r="EU268" s="27">
        <v>4</v>
      </c>
      <c r="EV268" s="27">
        <v>19</v>
      </c>
      <c r="EW268" s="27">
        <v>2</v>
      </c>
      <c r="EY268" s="27">
        <v>1</v>
      </c>
      <c r="FA268" s="27">
        <v>1</v>
      </c>
      <c r="FB268" s="28" t="s">
        <v>800</v>
      </c>
      <c r="FC268" s="27">
        <v>1</v>
      </c>
      <c r="FD268" s="1">
        <v>6</v>
      </c>
      <c r="FE268" s="4"/>
      <c r="FF268" s="4"/>
      <c r="FG268" s="4"/>
      <c r="FH268" s="4"/>
      <c r="FI268" s="4"/>
      <c r="FJ268" s="23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26"/>
      <c r="GF268" s="26"/>
      <c r="GG268" s="4"/>
      <c r="JH268" s="1"/>
      <c r="JV268" s="1"/>
      <c r="KM268" s="4"/>
      <c r="LA268" s="4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</row>
    <row r="269" spans="1:376" x14ac:dyDescent="0.35">
      <c r="A269" s="14">
        <v>43508</v>
      </c>
      <c r="B269" s="16" t="s">
        <v>155</v>
      </c>
      <c r="C269" s="16" t="s">
        <v>430</v>
      </c>
      <c r="D269" s="1">
        <v>268</v>
      </c>
      <c r="E269" s="1">
        <v>6</v>
      </c>
      <c r="F269" s="1">
        <v>6</v>
      </c>
      <c r="H269" s="1">
        <v>67</v>
      </c>
      <c r="I269" s="1">
        <v>4</v>
      </c>
      <c r="K269" s="18">
        <v>0</v>
      </c>
      <c r="L269" s="18">
        <v>1</v>
      </c>
      <c r="M269" s="18">
        <v>1</v>
      </c>
      <c r="N269" s="18">
        <v>1</v>
      </c>
      <c r="O269" s="18">
        <v>0</v>
      </c>
      <c r="P269" s="4">
        <v>0.6</v>
      </c>
      <c r="Q269" s="3">
        <v>41</v>
      </c>
      <c r="R269" s="1">
        <v>37</v>
      </c>
      <c r="S269" s="1">
        <v>37</v>
      </c>
      <c r="T269" s="1">
        <v>62</v>
      </c>
      <c r="U269" s="1">
        <v>68</v>
      </c>
      <c r="V269" s="1">
        <v>100</v>
      </c>
      <c r="W269" s="1">
        <v>79</v>
      </c>
      <c r="X269" s="1">
        <v>89</v>
      </c>
      <c r="Y269" s="1">
        <v>100</v>
      </c>
      <c r="AI269" s="4"/>
      <c r="AJ269" s="4"/>
      <c r="AK269" s="4"/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9">
        <v>0</v>
      </c>
      <c r="AT269" s="19">
        <v>0</v>
      </c>
      <c r="AU269" s="19">
        <v>0</v>
      </c>
      <c r="AV269" s="19">
        <v>0</v>
      </c>
      <c r="AW269" s="19">
        <v>0</v>
      </c>
      <c r="AX269" s="19"/>
      <c r="AY269"/>
      <c r="AZ269"/>
      <c r="BA269"/>
      <c r="BB269"/>
      <c r="BC269"/>
      <c r="BP269" s="4"/>
      <c r="BQ269" s="4"/>
      <c r="BR269" s="4"/>
      <c r="BS269" s="4"/>
      <c r="BT269" s="4"/>
      <c r="BU269" s="4"/>
      <c r="CI269" s="1">
        <v>7</v>
      </c>
      <c r="CJ269" s="1">
        <v>7</v>
      </c>
      <c r="CK269" s="1">
        <v>7</v>
      </c>
      <c r="CL269" s="1">
        <v>6</v>
      </c>
      <c r="CM269" s="1">
        <v>7</v>
      </c>
      <c r="CN269" s="1">
        <v>6</v>
      </c>
      <c r="CO269" s="1">
        <v>6</v>
      </c>
      <c r="CP269" s="1">
        <v>2</v>
      </c>
      <c r="CQ269" s="1">
        <v>6</v>
      </c>
      <c r="CR269" s="1">
        <v>7</v>
      </c>
      <c r="CS269" s="1">
        <v>7</v>
      </c>
      <c r="CT269" s="1">
        <v>6</v>
      </c>
      <c r="CU269" s="1">
        <v>5</v>
      </c>
      <c r="CV269" s="1">
        <v>6</v>
      </c>
      <c r="CW269" s="1">
        <v>6</v>
      </c>
      <c r="CX269" s="1">
        <v>6</v>
      </c>
      <c r="CY269" s="1">
        <v>6</v>
      </c>
      <c r="CZ269" s="1">
        <v>6</v>
      </c>
      <c r="DA269" s="1">
        <v>6</v>
      </c>
      <c r="DB269" s="1">
        <v>6</v>
      </c>
      <c r="DC269" s="1">
        <v>7</v>
      </c>
      <c r="DD269" s="1">
        <v>6</v>
      </c>
      <c r="DE269" s="1">
        <v>6</v>
      </c>
      <c r="DF269" s="1">
        <v>7</v>
      </c>
      <c r="DG269" s="1">
        <v>7</v>
      </c>
      <c r="DH269" s="1">
        <v>7</v>
      </c>
      <c r="DI269" s="1">
        <v>7</v>
      </c>
      <c r="DJ269" s="1">
        <v>7</v>
      </c>
      <c r="DK269" s="1">
        <v>6</v>
      </c>
      <c r="DL269" s="1">
        <v>6</v>
      </c>
      <c r="DM269" s="19">
        <v>7</v>
      </c>
      <c r="DN269" s="19">
        <v>7</v>
      </c>
      <c r="DO269" s="1">
        <v>5</v>
      </c>
      <c r="DP269" s="1">
        <v>6</v>
      </c>
      <c r="DQ269" s="1">
        <v>7</v>
      </c>
      <c r="DR269" s="1">
        <v>3</v>
      </c>
      <c r="DS269" s="1">
        <v>6</v>
      </c>
      <c r="DT269" s="1">
        <v>7</v>
      </c>
      <c r="DU269" s="27">
        <v>5</v>
      </c>
      <c r="DV269" s="27">
        <v>7</v>
      </c>
      <c r="DW269" s="27">
        <v>4</v>
      </c>
      <c r="DX269" s="27">
        <v>4</v>
      </c>
      <c r="DY269" s="27">
        <v>1</v>
      </c>
      <c r="DZ269" s="27">
        <v>4</v>
      </c>
      <c r="EA269" s="27">
        <v>1</v>
      </c>
      <c r="EB269" s="27">
        <v>7</v>
      </c>
      <c r="EC269" s="27">
        <v>7</v>
      </c>
      <c r="ED269" s="27">
        <v>4</v>
      </c>
      <c r="EE269" s="27">
        <v>5</v>
      </c>
      <c r="EF269" s="27">
        <v>4</v>
      </c>
      <c r="EG269" s="27">
        <v>7</v>
      </c>
      <c r="EH269" s="27">
        <v>4</v>
      </c>
      <c r="EI269" s="27">
        <v>4</v>
      </c>
      <c r="EJ269" s="27">
        <v>6</v>
      </c>
      <c r="EK269" s="27">
        <v>6</v>
      </c>
      <c r="EL269" s="27">
        <v>6</v>
      </c>
      <c r="EM269" s="27">
        <v>6</v>
      </c>
      <c r="EN269" s="27">
        <v>6</v>
      </c>
      <c r="EO269" s="27">
        <v>7</v>
      </c>
      <c r="EP269" s="27">
        <v>1</v>
      </c>
      <c r="EQ269" s="27">
        <v>4</v>
      </c>
      <c r="ER269" s="27">
        <v>6</v>
      </c>
      <c r="ES269" s="27">
        <v>6</v>
      </c>
      <c r="ET269" s="27">
        <v>4</v>
      </c>
      <c r="EU269" s="27">
        <v>4</v>
      </c>
      <c r="EV269" s="27">
        <v>24</v>
      </c>
      <c r="EW269" s="27">
        <v>2</v>
      </c>
      <c r="EY269" s="27">
        <v>4</v>
      </c>
      <c r="FA269" s="27">
        <v>4</v>
      </c>
      <c r="FB269" s="28" t="s">
        <v>946</v>
      </c>
      <c r="FC269" s="27">
        <v>0</v>
      </c>
      <c r="FD269" s="1">
        <v>3</v>
      </c>
      <c r="FE269" s="4"/>
      <c r="FF269" s="4"/>
      <c r="FG269" s="4"/>
      <c r="FH269" s="4"/>
      <c r="FI269" s="4"/>
      <c r="FJ269" s="23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26"/>
      <c r="GF269" s="26"/>
      <c r="GG269" s="4"/>
      <c r="JH269" s="1"/>
      <c r="JV269" s="1"/>
      <c r="KM269" s="4"/>
      <c r="LA269" s="4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</row>
    <row r="270" spans="1:376" x14ac:dyDescent="0.35">
      <c r="A270" s="14">
        <v>43508</v>
      </c>
      <c r="B270" s="16" t="s">
        <v>156</v>
      </c>
      <c r="C270" s="16" t="s">
        <v>431</v>
      </c>
      <c r="D270" s="1">
        <v>269</v>
      </c>
      <c r="E270" s="1">
        <v>6</v>
      </c>
      <c r="F270" s="1">
        <v>6</v>
      </c>
      <c r="G270" s="1">
        <v>1</v>
      </c>
      <c r="H270" s="1">
        <v>68</v>
      </c>
      <c r="I270" s="1">
        <v>1</v>
      </c>
      <c r="J270" s="1">
        <v>1</v>
      </c>
      <c r="K270" s="18">
        <v>0</v>
      </c>
      <c r="L270" s="18">
        <v>0</v>
      </c>
      <c r="M270" s="18">
        <v>1</v>
      </c>
      <c r="N270" s="18">
        <v>1</v>
      </c>
      <c r="O270" s="18">
        <v>0</v>
      </c>
      <c r="P270" s="4">
        <v>0.4</v>
      </c>
      <c r="Q270" s="3">
        <v>101</v>
      </c>
      <c r="R270" s="1">
        <v>65</v>
      </c>
      <c r="S270" s="1">
        <v>60</v>
      </c>
      <c r="T270" s="1">
        <v>111</v>
      </c>
      <c r="U270" s="1">
        <v>140</v>
      </c>
      <c r="V270" s="1">
        <v>137</v>
      </c>
      <c r="W270" s="1">
        <v>105</v>
      </c>
      <c r="X270" s="1">
        <v>118</v>
      </c>
      <c r="Y270" s="1">
        <v>106</v>
      </c>
      <c r="Z270" s="1">
        <v>197</v>
      </c>
      <c r="AA270" s="1">
        <v>175</v>
      </c>
      <c r="AB270" s="1">
        <v>194</v>
      </c>
      <c r="AC270" s="1">
        <v>406</v>
      </c>
      <c r="AD270" s="1">
        <v>467</v>
      </c>
      <c r="AE270" s="1">
        <v>481</v>
      </c>
      <c r="AF270" s="1">
        <v>437</v>
      </c>
      <c r="AG270" s="1">
        <v>446</v>
      </c>
      <c r="AH270" s="1">
        <v>434</v>
      </c>
      <c r="AI270" s="4">
        <v>188.67</v>
      </c>
      <c r="AJ270" s="4">
        <v>451.33</v>
      </c>
      <c r="AK270" s="4">
        <v>439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12</v>
      </c>
      <c r="AS270" s="19">
        <v>14</v>
      </c>
      <c r="AT270" s="19">
        <v>0</v>
      </c>
      <c r="AU270" s="19">
        <v>0</v>
      </c>
      <c r="AV270" s="19">
        <v>0</v>
      </c>
      <c r="AW270" s="19">
        <v>0</v>
      </c>
      <c r="AX270" s="19">
        <f t="shared" ref="AX270:BC270" si="134">AL270+AL271+AL272+AL273</f>
        <v>8</v>
      </c>
      <c r="AY270" s="19">
        <f t="shared" si="134"/>
        <v>11</v>
      </c>
      <c r="AZ270" s="19">
        <f t="shared" si="134"/>
        <v>0</v>
      </c>
      <c r="BA270" s="19">
        <f t="shared" si="134"/>
        <v>0</v>
      </c>
      <c r="BB270" s="19">
        <f t="shared" si="134"/>
        <v>0</v>
      </c>
      <c r="BC270" s="19">
        <f t="shared" si="134"/>
        <v>0</v>
      </c>
      <c r="BD270" s="1">
        <f>AX270*3</f>
        <v>24</v>
      </c>
      <c r="BE270" s="1">
        <f t="shared" ref="BE270:BI270" si="135">AY270*3</f>
        <v>33</v>
      </c>
      <c r="BF270" s="1">
        <f t="shared" si="135"/>
        <v>0</v>
      </c>
      <c r="BG270" s="1">
        <f t="shared" si="135"/>
        <v>0</v>
      </c>
      <c r="BH270" s="1">
        <f t="shared" si="135"/>
        <v>0</v>
      </c>
      <c r="BI270" s="1">
        <f t="shared" si="135"/>
        <v>0</v>
      </c>
      <c r="BJ270" s="1">
        <f>AX270+AY270+AZ270</f>
        <v>19</v>
      </c>
      <c r="BK270" s="1">
        <f>BA270+BB270+BC270</f>
        <v>0</v>
      </c>
      <c r="BL270" s="1">
        <f>BJ270*3</f>
        <v>57</v>
      </c>
      <c r="BM270" s="1">
        <f>BK270*3</f>
        <v>0</v>
      </c>
      <c r="BN270" s="1">
        <f>BL270/3</f>
        <v>19</v>
      </c>
      <c r="BO270" s="1">
        <f>BM270/3</f>
        <v>0</v>
      </c>
      <c r="BP270" s="4">
        <v>169.66666666666666</v>
      </c>
      <c r="BQ270" s="4">
        <v>451.33333333333331</v>
      </c>
      <c r="BR270" s="4">
        <v>439</v>
      </c>
      <c r="BS270" s="4">
        <v>451.33</v>
      </c>
      <c r="BT270" s="4">
        <v>439</v>
      </c>
      <c r="BU270" s="4">
        <v>4</v>
      </c>
      <c r="BV270" s="1">
        <v>4</v>
      </c>
      <c r="BW270" s="1">
        <v>4</v>
      </c>
      <c r="BX270" s="1">
        <v>4</v>
      </c>
      <c r="BY270" s="1">
        <v>4</v>
      </c>
      <c r="BZ270" s="1">
        <v>3</v>
      </c>
      <c r="CA270" s="1">
        <v>3</v>
      </c>
      <c r="CB270" s="1">
        <v>3</v>
      </c>
      <c r="CC270" s="1">
        <v>3</v>
      </c>
      <c r="CD270" s="1">
        <v>3</v>
      </c>
      <c r="CE270" s="1">
        <v>3</v>
      </c>
      <c r="CF270" s="1">
        <v>3</v>
      </c>
      <c r="CG270" s="1">
        <v>3</v>
      </c>
      <c r="CH270" s="1">
        <v>1</v>
      </c>
      <c r="CI270" s="1">
        <v>6</v>
      </c>
      <c r="CJ270" s="1">
        <v>6</v>
      </c>
      <c r="CK270" s="1">
        <v>7</v>
      </c>
      <c r="CL270" s="1">
        <v>4</v>
      </c>
      <c r="CM270" s="1">
        <v>5</v>
      </c>
      <c r="CN270" s="1">
        <v>5</v>
      </c>
      <c r="CO270" s="1">
        <v>5</v>
      </c>
      <c r="CP270" s="1">
        <v>1</v>
      </c>
      <c r="CQ270" s="1">
        <v>7</v>
      </c>
      <c r="CR270" s="1">
        <v>7</v>
      </c>
      <c r="CS270" s="1">
        <v>7</v>
      </c>
      <c r="CT270" s="1">
        <v>7</v>
      </c>
      <c r="CU270" s="1">
        <v>7</v>
      </c>
      <c r="CV270" s="1">
        <v>6</v>
      </c>
      <c r="CW270" s="1">
        <v>6</v>
      </c>
      <c r="CX270" s="1">
        <v>6</v>
      </c>
      <c r="CY270" s="1">
        <v>6</v>
      </c>
      <c r="CZ270" s="1">
        <v>6</v>
      </c>
      <c r="DA270" s="1">
        <v>6</v>
      </c>
      <c r="DB270" s="1">
        <v>7</v>
      </c>
      <c r="DC270" s="1">
        <v>7</v>
      </c>
      <c r="DD270" s="1">
        <v>7</v>
      </c>
      <c r="DE270" s="1">
        <v>7</v>
      </c>
      <c r="DF270" s="1">
        <v>6</v>
      </c>
      <c r="DG270" s="1">
        <v>5</v>
      </c>
      <c r="DH270" s="1">
        <v>5</v>
      </c>
      <c r="DI270" s="1">
        <v>6</v>
      </c>
      <c r="DJ270" s="1">
        <v>5</v>
      </c>
      <c r="DK270" s="1">
        <v>6</v>
      </c>
      <c r="DL270" s="1">
        <v>7</v>
      </c>
      <c r="DM270" s="19">
        <v>7</v>
      </c>
      <c r="DN270" s="19">
        <v>5</v>
      </c>
      <c r="DO270" s="1">
        <v>3</v>
      </c>
      <c r="DP270" s="1">
        <v>6</v>
      </c>
      <c r="DQ270" s="1">
        <v>7</v>
      </c>
      <c r="DR270" s="1">
        <v>6</v>
      </c>
      <c r="DS270" s="1">
        <v>7</v>
      </c>
      <c r="DT270" s="1">
        <v>7</v>
      </c>
      <c r="DU270" s="27">
        <v>7</v>
      </c>
      <c r="DV270" s="27">
        <v>5</v>
      </c>
      <c r="DW270" s="27">
        <v>5</v>
      </c>
      <c r="DX270" s="27">
        <v>6</v>
      </c>
      <c r="DY270" s="27">
        <v>6</v>
      </c>
      <c r="DZ270" s="27">
        <v>4</v>
      </c>
      <c r="EA270" s="27">
        <v>4</v>
      </c>
      <c r="EB270" s="27">
        <v>7</v>
      </c>
      <c r="EC270" s="27">
        <v>7</v>
      </c>
      <c r="ED270" s="27">
        <v>6</v>
      </c>
      <c r="EE270" s="27">
        <v>5</v>
      </c>
      <c r="EF270" s="27">
        <v>5</v>
      </c>
      <c r="EG270" s="27">
        <v>7</v>
      </c>
      <c r="EH270" s="27">
        <v>7</v>
      </c>
      <c r="EI270" s="27">
        <v>7</v>
      </c>
      <c r="EJ270" s="27">
        <v>7</v>
      </c>
      <c r="EK270" s="27">
        <v>7</v>
      </c>
      <c r="EL270" s="27">
        <v>7</v>
      </c>
      <c r="EM270" s="27">
        <v>2</v>
      </c>
      <c r="EN270" s="27">
        <v>4</v>
      </c>
      <c r="EO270" s="27">
        <v>7</v>
      </c>
      <c r="EP270" s="27">
        <v>7</v>
      </c>
      <c r="EQ270" s="27">
        <v>7</v>
      </c>
      <c r="ER270" s="27">
        <v>7</v>
      </c>
      <c r="ES270" s="27">
        <v>7</v>
      </c>
      <c r="ET270" s="27">
        <v>4</v>
      </c>
      <c r="EU270" s="27">
        <v>6</v>
      </c>
      <c r="EV270" s="27">
        <v>19</v>
      </c>
      <c r="EW270" s="27">
        <v>2</v>
      </c>
      <c r="EY270" s="27">
        <v>4</v>
      </c>
      <c r="FA270" s="27">
        <v>2</v>
      </c>
      <c r="FB270" s="28" t="s">
        <v>947</v>
      </c>
      <c r="FC270" s="27">
        <v>0</v>
      </c>
      <c r="FD270" s="1">
        <v>2</v>
      </c>
      <c r="FE270" s="4">
        <v>6.29</v>
      </c>
      <c r="FF270" s="4">
        <v>6.69</v>
      </c>
      <c r="FG270" s="4">
        <v>7.94</v>
      </c>
      <c r="FH270" s="4">
        <v>6.83</v>
      </c>
      <c r="FI270" s="4">
        <v>6.63</v>
      </c>
      <c r="FJ270" s="23">
        <v>6.75</v>
      </c>
      <c r="FK270" s="4">
        <v>4.71</v>
      </c>
      <c r="FL270" s="4">
        <v>7</v>
      </c>
      <c r="FM270" s="4">
        <v>5.25</v>
      </c>
      <c r="FN270" s="4">
        <v>5.63</v>
      </c>
      <c r="FO270" s="4">
        <v>6.83</v>
      </c>
      <c r="FP270" s="4">
        <v>4.67</v>
      </c>
      <c r="FQ270" s="4">
        <v>5.25</v>
      </c>
      <c r="FR270" s="4">
        <v>2.5</v>
      </c>
      <c r="FS270" s="4">
        <v>5.75</v>
      </c>
      <c r="FT270" s="4">
        <v>5.75</v>
      </c>
      <c r="FU270" s="4">
        <v>4</v>
      </c>
      <c r="FV270" s="4">
        <v>3</v>
      </c>
      <c r="FW270" s="4">
        <v>3.5</v>
      </c>
      <c r="FX270" s="4">
        <v>4.25</v>
      </c>
      <c r="FY270" s="4">
        <v>6.25</v>
      </c>
      <c r="FZ270" s="4">
        <v>6.33</v>
      </c>
      <c r="GA270" s="4">
        <v>2.5</v>
      </c>
      <c r="GB270" s="4">
        <v>5.92</v>
      </c>
      <c r="GC270" s="4">
        <v>6.25</v>
      </c>
      <c r="GD270" s="4">
        <v>5.25</v>
      </c>
      <c r="GE270" s="26"/>
      <c r="GF270" s="26"/>
      <c r="GG270" s="4"/>
      <c r="JH270" s="1"/>
      <c r="JV270" s="1"/>
      <c r="KM270" s="4"/>
      <c r="LA270" s="4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</row>
    <row r="271" spans="1:376" x14ac:dyDescent="0.35">
      <c r="A271" s="14">
        <v>43508</v>
      </c>
      <c r="B271" s="16" t="s">
        <v>156</v>
      </c>
      <c r="C271" s="16" t="s">
        <v>432</v>
      </c>
      <c r="D271" s="1">
        <v>270</v>
      </c>
      <c r="E271" s="1">
        <v>6</v>
      </c>
      <c r="F271" s="1">
        <v>6</v>
      </c>
      <c r="H271" s="1">
        <v>68</v>
      </c>
      <c r="I271" s="1">
        <v>2</v>
      </c>
      <c r="K271" s="18">
        <v>1</v>
      </c>
      <c r="L271" s="18">
        <v>1</v>
      </c>
      <c r="M271" s="18">
        <v>1</v>
      </c>
      <c r="N271" s="18">
        <v>1</v>
      </c>
      <c r="O271" s="18">
        <v>1</v>
      </c>
      <c r="P271" s="4">
        <v>1</v>
      </c>
      <c r="Q271" s="3">
        <v>24</v>
      </c>
      <c r="R271" s="1">
        <v>26</v>
      </c>
      <c r="S271" s="1">
        <v>36</v>
      </c>
      <c r="T271" s="1">
        <v>114</v>
      </c>
      <c r="U271" s="1">
        <v>117</v>
      </c>
      <c r="V271" s="1">
        <v>124</v>
      </c>
      <c r="W271" s="1">
        <v>107</v>
      </c>
      <c r="X271" s="1">
        <v>107</v>
      </c>
      <c r="Y271" s="1">
        <v>122</v>
      </c>
      <c r="AI271" s="4"/>
      <c r="AJ271" s="4"/>
      <c r="AK271" s="4"/>
      <c r="AL271" s="1">
        <v>1</v>
      </c>
      <c r="AM271" s="1">
        <v>1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9">
        <v>8</v>
      </c>
      <c r="AT271" s="19">
        <v>0</v>
      </c>
      <c r="AU271" s="19">
        <v>0</v>
      </c>
      <c r="AV271" s="19">
        <v>0</v>
      </c>
      <c r="AW271" s="19">
        <v>0</v>
      </c>
      <c r="AX271" s="19"/>
      <c r="AY271"/>
      <c r="AZ271"/>
      <c r="BA271"/>
      <c r="BB271"/>
      <c r="BC271"/>
      <c r="BP271" s="4"/>
      <c r="BQ271" s="4"/>
      <c r="BR271" s="4"/>
      <c r="BS271" s="4"/>
      <c r="BT271" s="4"/>
      <c r="BU271" s="4"/>
      <c r="CI271" s="1">
        <v>6</v>
      </c>
      <c r="CJ271" s="1">
        <v>6</v>
      </c>
      <c r="CK271" s="1">
        <v>6</v>
      </c>
      <c r="CL271" s="1">
        <v>7</v>
      </c>
      <c r="CM271" s="1">
        <v>7</v>
      </c>
      <c r="CN271" s="1">
        <v>7</v>
      </c>
      <c r="CO271" s="1">
        <v>7</v>
      </c>
      <c r="CP271" s="1">
        <v>2</v>
      </c>
      <c r="CQ271" s="1">
        <v>6</v>
      </c>
      <c r="CR271" s="1">
        <v>6</v>
      </c>
      <c r="CS271" s="1">
        <v>6</v>
      </c>
      <c r="CT271" s="1">
        <v>6</v>
      </c>
      <c r="CU271" s="1">
        <v>6</v>
      </c>
      <c r="CV271" s="1">
        <v>6</v>
      </c>
      <c r="CW271" s="1">
        <v>6</v>
      </c>
      <c r="CX271" s="1">
        <v>6</v>
      </c>
      <c r="CY271" s="1">
        <v>6</v>
      </c>
      <c r="CZ271" s="1">
        <v>7</v>
      </c>
      <c r="DA271" s="1">
        <v>7</v>
      </c>
      <c r="DB271" s="1">
        <v>7</v>
      </c>
      <c r="DC271" s="1">
        <v>7</v>
      </c>
      <c r="DD271" s="1">
        <v>7</v>
      </c>
      <c r="DE271" s="1">
        <v>6</v>
      </c>
      <c r="DF271" s="1">
        <v>4</v>
      </c>
      <c r="DG271" s="1">
        <v>4</v>
      </c>
      <c r="DH271" s="1">
        <v>4</v>
      </c>
      <c r="DI271" s="1">
        <v>4</v>
      </c>
      <c r="DJ271" s="1">
        <v>4</v>
      </c>
      <c r="DK271" s="1">
        <v>4</v>
      </c>
      <c r="DL271" s="1">
        <v>7</v>
      </c>
      <c r="DM271" s="19">
        <v>7</v>
      </c>
      <c r="DN271" s="19">
        <v>4</v>
      </c>
      <c r="DO271" s="1">
        <v>4</v>
      </c>
      <c r="DP271" s="1">
        <v>4</v>
      </c>
      <c r="DQ271" s="1">
        <v>4</v>
      </c>
      <c r="DR271" s="1">
        <v>7</v>
      </c>
      <c r="DS271" s="1">
        <v>7</v>
      </c>
      <c r="DT271" s="1">
        <v>6</v>
      </c>
      <c r="DU271" s="27">
        <v>6</v>
      </c>
      <c r="DV271" s="27">
        <v>7</v>
      </c>
      <c r="DW271" s="27">
        <v>6</v>
      </c>
      <c r="DX271" s="27">
        <v>4</v>
      </c>
      <c r="DY271" s="27">
        <v>4</v>
      </c>
      <c r="DZ271" s="27">
        <v>4</v>
      </c>
      <c r="EA271" s="27">
        <v>4</v>
      </c>
      <c r="EB271" s="27">
        <v>4</v>
      </c>
      <c r="EC271" s="27">
        <v>4</v>
      </c>
      <c r="ED271" s="27">
        <v>3</v>
      </c>
      <c r="EE271" s="27">
        <v>4</v>
      </c>
      <c r="EF271" s="27">
        <v>4</v>
      </c>
      <c r="EG271" s="27">
        <v>4</v>
      </c>
      <c r="EH271" s="27">
        <v>6</v>
      </c>
      <c r="EI271" s="27">
        <v>6</v>
      </c>
      <c r="EJ271" s="27">
        <v>6</v>
      </c>
      <c r="EK271" s="27">
        <v>6</v>
      </c>
      <c r="EL271" s="27">
        <v>6</v>
      </c>
      <c r="EM271" s="27">
        <v>6</v>
      </c>
      <c r="EN271" s="27">
        <v>3</v>
      </c>
      <c r="EO271" s="27">
        <v>3</v>
      </c>
      <c r="EP271" s="27">
        <v>3</v>
      </c>
      <c r="EQ271" s="27">
        <v>4</v>
      </c>
      <c r="ER271" s="27">
        <v>6</v>
      </c>
      <c r="ES271" s="27">
        <v>6</v>
      </c>
      <c r="ET271" s="27">
        <v>4</v>
      </c>
      <c r="EU271" s="27">
        <v>4</v>
      </c>
      <c r="EV271" s="27">
        <v>19</v>
      </c>
      <c r="EW271" s="27">
        <v>2</v>
      </c>
      <c r="EY271" s="27">
        <v>1</v>
      </c>
      <c r="FA271" s="27">
        <v>1</v>
      </c>
      <c r="FB271" s="28" t="s">
        <v>857</v>
      </c>
      <c r="FC271" s="27">
        <v>0</v>
      </c>
      <c r="FD271" s="1">
        <v>5</v>
      </c>
      <c r="FE271" s="4"/>
      <c r="FF271" s="4"/>
      <c r="FG271" s="4"/>
      <c r="FH271" s="4"/>
      <c r="FI271" s="4"/>
      <c r="FJ271" s="23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26"/>
      <c r="GF271" s="26"/>
      <c r="GG271" s="4"/>
      <c r="JH271" s="1"/>
      <c r="JV271" s="1"/>
      <c r="KM271" s="4"/>
      <c r="LA271" s="4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</row>
    <row r="272" spans="1:376" x14ac:dyDescent="0.35">
      <c r="A272" s="14">
        <v>43508</v>
      </c>
      <c r="B272" s="16" t="s">
        <v>156</v>
      </c>
      <c r="C272" s="16" t="s">
        <v>433</v>
      </c>
      <c r="D272" s="1">
        <v>271</v>
      </c>
      <c r="E272" s="1">
        <v>6</v>
      </c>
      <c r="F272" s="1">
        <v>6</v>
      </c>
      <c r="H272" s="1">
        <v>68</v>
      </c>
      <c r="I272" s="1">
        <v>3</v>
      </c>
      <c r="K272" s="18">
        <v>1</v>
      </c>
      <c r="L272" s="18">
        <v>1</v>
      </c>
      <c r="M272" s="18">
        <v>1</v>
      </c>
      <c r="N272" s="18">
        <v>1</v>
      </c>
      <c r="O272" s="18">
        <v>0</v>
      </c>
      <c r="P272" s="4">
        <v>0.8</v>
      </c>
      <c r="Q272" s="3">
        <v>26</v>
      </c>
      <c r="R272" s="1">
        <v>57</v>
      </c>
      <c r="S272" s="1">
        <v>63</v>
      </c>
      <c r="T272" s="1">
        <v>89</v>
      </c>
      <c r="U272" s="1">
        <v>105</v>
      </c>
      <c r="V272" s="1">
        <v>108</v>
      </c>
      <c r="W272" s="1">
        <v>117</v>
      </c>
      <c r="X272" s="1">
        <v>116</v>
      </c>
      <c r="Y272" s="1">
        <v>99</v>
      </c>
      <c r="AI272" s="4"/>
      <c r="AJ272" s="4"/>
      <c r="AK272" s="4"/>
      <c r="AL272" s="1">
        <v>1</v>
      </c>
      <c r="AM272" s="1">
        <v>9</v>
      </c>
      <c r="AN272" s="1">
        <v>0</v>
      </c>
      <c r="AO272" s="1">
        <v>0</v>
      </c>
      <c r="AP272" s="1">
        <v>0</v>
      </c>
      <c r="AQ272" s="1">
        <v>0</v>
      </c>
      <c r="AR272" s="1">
        <v>4</v>
      </c>
      <c r="AS272" s="19">
        <v>0</v>
      </c>
      <c r="AT272" s="19">
        <v>0</v>
      </c>
      <c r="AU272" s="19">
        <v>0</v>
      </c>
      <c r="AV272" s="19">
        <v>0</v>
      </c>
      <c r="AW272" s="19">
        <v>0</v>
      </c>
      <c r="AX272" s="19"/>
      <c r="AY272"/>
      <c r="AZ272"/>
      <c r="BA272"/>
      <c r="BB272"/>
      <c r="BC272"/>
      <c r="BP272" s="4"/>
      <c r="BQ272" s="4"/>
      <c r="BR272" s="4"/>
      <c r="BS272" s="4"/>
      <c r="BT272" s="4"/>
      <c r="BU272" s="4"/>
      <c r="CI272" s="1">
        <v>7</v>
      </c>
      <c r="CJ272" s="1">
        <v>7</v>
      </c>
      <c r="CK272" s="1">
        <v>7</v>
      </c>
      <c r="CL272" s="1">
        <v>7</v>
      </c>
      <c r="CM272" s="1">
        <v>7</v>
      </c>
      <c r="CN272" s="1">
        <v>7</v>
      </c>
      <c r="CO272" s="1">
        <v>7</v>
      </c>
      <c r="CP272" s="1">
        <v>1</v>
      </c>
      <c r="CQ272" s="1">
        <v>7</v>
      </c>
      <c r="CR272" s="1">
        <v>7</v>
      </c>
      <c r="CS272" s="1">
        <v>7</v>
      </c>
      <c r="CT272" s="1">
        <v>7</v>
      </c>
      <c r="CU272" s="1">
        <v>7</v>
      </c>
      <c r="CV272" s="1">
        <v>7</v>
      </c>
      <c r="CW272" s="1">
        <v>7</v>
      </c>
      <c r="CX272" s="1">
        <v>7</v>
      </c>
      <c r="CY272" s="1">
        <v>7</v>
      </c>
      <c r="CZ272" s="1">
        <v>7</v>
      </c>
      <c r="DA272" s="1">
        <v>7</v>
      </c>
      <c r="DB272" s="1">
        <v>7</v>
      </c>
      <c r="DC272" s="1">
        <v>7</v>
      </c>
      <c r="DD272" s="1">
        <v>7</v>
      </c>
      <c r="DE272" s="1">
        <v>7</v>
      </c>
      <c r="DF272" s="1">
        <v>7</v>
      </c>
      <c r="DG272" s="1">
        <v>7</v>
      </c>
      <c r="DH272" s="1">
        <v>7</v>
      </c>
      <c r="DI272" s="1">
        <v>7</v>
      </c>
      <c r="DJ272" s="1">
        <v>7</v>
      </c>
      <c r="DK272" s="1">
        <v>7</v>
      </c>
      <c r="DL272" s="1">
        <v>7</v>
      </c>
      <c r="DM272" s="19">
        <v>7</v>
      </c>
      <c r="DN272" s="19">
        <v>7</v>
      </c>
      <c r="DO272" s="1">
        <v>7</v>
      </c>
      <c r="DP272" s="1">
        <v>5</v>
      </c>
      <c r="DQ272" s="1">
        <v>7</v>
      </c>
      <c r="DR272" s="1">
        <v>7</v>
      </c>
      <c r="DS272" s="1">
        <v>7</v>
      </c>
      <c r="DT272" s="1">
        <v>7</v>
      </c>
      <c r="DU272" s="27">
        <v>7</v>
      </c>
      <c r="DV272" s="27">
        <v>2</v>
      </c>
      <c r="DW272" s="27">
        <v>1</v>
      </c>
      <c r="DX272" s="27">
        <v>7</v>
      </c>
      <c r="DY272" s="27">
        <v>7</v>
      </c>
      <c r="DZ272" s="27">
        <v>1</v>
      </c>
      <c r="EA272" s="27">
        <v>1</v>
      </c>
      <c r="EB272" s="27">
        <v>7</v>
      </c>
      <c r="EC272" s="27">
        <v>7</v>
      </c>
      <c r="ED272" s="27">
        <v>5</v>
      </c>
      <c r="EE272" s="27">
        <v>1</v>
      </c>
      <c r="EF272" s="27">
        <v>1</v>
      </c>
      <c r="EG272" s="27">
        <v>1</v>
      </c>
      <c r="EH272" s="27">
        <v>7</v>
      </c>
      <c r="EI272" s="27">
        <v>7</v>
      </c>
      <c r="EJ272" s="27">
        <v>7</v>
      </c>
      <c r="EK272" s="27">
        <v>7</v>
      </c>
      <c r="EL272" s="27">
        <v>7</v>
      </c>
      <c r="EM272" s="27">
        <v>1</v>
      </c>
      <c r="EN272" s="27">
        <v>1</v>
      </c>
      <c r="EO272" s="27">
        <v>7</v>
      </c>
      <c r="EP272" s="27">
        <v>7</v>
      </c>
      <c r="EQ272" s="27">
        <v>7</v>
      </c>
      <c r="ER272" s="27">
        <v>7</v>
      </c>
      <c r="ES272" s="27">
        <v>7</v>
      </c>
      <c r="ET272" s="27">
        <v>7</v>
      </c>
      <c r="EU272" s="27">
        <v>7</v>
      </c>
      <c r="EV272" s="27">
        <v>18</v>
      </c>
      <c r="EW272" s="27">
        <v>1</v>
      </c>
      <c r="EY272" s="27">
        <v>1</v>
      </c>
      <c r="FA272" s="27">
        <v>2</v>
      </c>
      <c r="FB272" s="28" t="s">
        <v>857</v>
      </c>
      <c r="FC272" s="27">
        <v>0</v>
      </c>
      <c r="FD272" s="1">
        <v>8</v>
      </c>
      <c r="FE272" s="4"/>
      <c r="FF272" s="4"/>
      <c r="FG272" s="4"/>
      <c r="FH272" s="4"/>
      <c r="FI272" s="4"/>
      <c r="FJ272" s="23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26"/>
      <c r="GF272" s="26"/>
      <c r="GG272" s="4"/>
      <c r="JH272" s="1"/>
      <c r="JV272" s="1"/>
      <c r="KM272" s="4"/>
      <c r="LA272" s="4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</row>
    <row r="273" spans="1:376" x14ac:dyDescent="0.35">
      <c r="A273" s="14">
        <v>43508</v>
      </c>
      <c r="B273" s="16" t="s">
        <v>156</v>
      </c>
      <c r="C273" s="16" t="s">
        <v>434</v>
      </c>
      <c r="D273" s="1">
        <v>272</v>
      </c>
      <c r="E273" s="1">
        <v>6</v>
      </c>
      <c r="F273" s="1">
        <v>6</v>
      </c>
      <c r="H273" s="1">
        <v>68</v>
      </c>
      <c r="I273" s="1">
        <v>4</v>
      </c>
      <c r="K273" s="18">
        <v>1</v>
      </c>
      <c r="L273" s="18">
        <v>1</v>
      </c>
      <c r="M273" s="18">
        <v>1</v>
      </c>
      <c r="N273" s="18">
        <v>1</v>
      </c>
      <c r="O273" s="18">
        <v>0</v>
      </c>
      <c r="P273" s="4">
        <v>0.8</v>
      </c>
      <c r="Q273" s="3">
        <v>46</v>
      </c>
      <c r="R273" s="1">
        <v>27</v>
      </c>
      <c r="S273" s="1">
        <v>35</v>
      </c>
      <c r="T273" s="1">
        <v>92</v>
      </c>
      <c r="U273" s="1">
        <v>105</v>
      </c>
      <c r="V273" s="1">
        <v>112</v>
      </c>
      <c r="W273" s="1">
        <v>108</v>
      </c>
      <c r="X273" s="1">
        <v>105</v>
      </c>
      <c r="Y273" s="1">
        <v>107</v>
      </c>
      <c r="AI273" s="4"/>
      <c r="AJ273" s="4"/>
      <c r="AK273" s="4"/>
      <c r="AL273" s="1">
        <v>6</v>
      </c>
      <c r="AM273" s="1">
        <v>1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9">
        <v>0</v>
      </c>
      <c r="AT273" s="19">
        <v>0</v>
      </c>
      <c r="AU273" s="19">
        <v>0</v>
      </c>
      <c r="AV273" s="19">
        <v>0</v>
      </c>
      <c r="AW273" s="19">
        <v>0</v>
      </c>
      <c r="AX273" s="19"/>
      <c r="AY273"/>
      <c r="AZ273"/>
      <c r="BA273"/>
      <c r="BB273"/>
      <c r="BC273"/>
      <c r="BP273" s="4"/>
      <c r="BQ273" s="4"/>
      <c r="BR273" s="4"/>
      <c r="BS273" s="4"/>
      <c r="BT273" s="4"/>
      <c r="BU273" s="4"/>
      <c r="CI273" s="1">
        <v>7</v>
      </c>
      <c r="CJ273" s="1">
        <v>7</v>
      </c>
      <c r="CK273" s="1">
        <v>7</v>
      </c>
      <c r="CL273" s="1">
        <v>7</v>
      </c>
      <c r="CM273" s="1">
        <v>4</v>
      </c>
      <c r="CN273" s="1">
        <v>6</v>
      </c>
      <c r="CO273" s="1">
        <v>5</v>
      </c>
      <c r="CP273" s="1">
        <v>2</v>
      </c>
      <c r="CQ273" s="1">
        <v>7</v>
      </c>
      <c r="CR273" s="1">
        <v>7</v>
      </c>
      <c r="CS273" s="1">
        <v>7</v>
      </c>
      <c r="CT273" s="1">
        <v>6</v>
      </c>
      <c r="CU273" s="1">
        <v>6</v>
      </c>
      <c r="CV273" s="1">
        <v>7</v>
      </c>
      <c r="CW273" s="1">
        <v>6</v>
      </c>
      <c r="CX273" s="1">
        <v>6</v>
      </c>
      <c r="CY273" s="1">
        <v>6</v>
      </c>
      <c r="CZ273" s="1">
        <v>7</v>
      </c>
      <c r="DA273" s="1">
        <v>7</v>
      </c>
      <c r="DB273" s="1">
        <v>7</v>
      </c>
      <c r="DC273" s="1">
        <v>6</v>
      </c>
      <c r="DD273" s="1">
        <v>5</v>
      </c>
      <c r="DE273" s="1">
        <v>7</v>
      </c>
      <c r="DF273" s="1">
        <v>2</v>
      </c>
      <c r="DG273" s="1">
        <v>2</v>
      </c>
      <c r="DH273" s="1">
        <v>4</v>
      </c>
      <c r="DI273" s="1">
        <v>2</v>
      </c>
      <c r="DJ273" s="1">
        <v>2</v>
      </c>
      <c r="DK273" s="1">
        <v>2</v>
      </c>
      <c r="DL273" s="1">
        <v>7</v>
      </c>
      <c r="DM273" s="19">
        <v>7</v>
      </c>
      <c r="DN273" s="19">
        <v>6</v>
      </c>
      <c r="DO273" s="1">
        <v>6</v>
      </c>
      <c r="DP273" s="1">
        <v>5</v>
      </c>
      <c r="DQ273" s="1">
        <v>7</v>
      </c>
      <c r="DR273" s="1">
        <v>7</v>
      </c>
      <c r="DS273" s="1">
        <v>7</v>
      </c>
      <c r="DT273" s="1">
        <v>7</v>
      </c>
      <c r="DU273" s="27">
        <v>3</v>
      </c>
      <c r="DV273" s="27">
        <v>3</v>
      </c>
      <c r="DW273" s="27">
        <v>4</v>
      </c>
      <c r="DX273" s="27">
        <v>5</v>
      </c>
      <c r="DY273" s="27">
        <v>3</v>
      </c>
      <c r="DZ273" s="27">
        <v>5</v>
      </c>
      <c r="EA273" s="27">
        <v>1</v>
      </c>
      <c r="EB273" s="27">
        <v>5</v>
      </c>
      <c r="EC273" s="27">
        <v>5</v>
      </c>
      <c r="ED273" s="27">
        <v>2</v>
      </c>
      <c r="EE273" s="27">
        <v>2</v>
      </c>
      <c r="EF273" s="27">
        <v>4</v>
      </c>
      <c r="EG273" s="27">
        <v>5</v>
      </c>
      <c r="EH273" s="27">
        <v>5</v>
      </c>
      <c r="EI273" s="27">
        <v>5</v>
      </c>
      <c r="EJ273" s="27">
        <v>4</v>
      </c>
      <c r="EK273" s="27">
        <v>6</v>
      </c>
      <c r="EL273" s="27">
        <v>6</v>
      </c>
      <c r="EM273" s="27">
        <v>2</v>
      </c>
      <c r="EN273" s="27">
        <v>1</v>
      </c>
      <c r="EO273" s="27">
        <v>7</v>
      </c>
      <c r="EP273" s="27">
        <v>7</v>
      </c>
      <c r="EQ273" s="27">
        <v>5</v>
      </c>
      <c r="ER273" s="27">
        <v>5</v>
      </c>
      <c r="ES273" s="27">
        <v>5</v>
      </c>
      <c r="ET273" s="27">
        <v>5</v>
      </c>
      <c r="EU273" s="27">
        <v>5</v>
      </c>
      <c r="EV273" s="27">
        <v>19</v>
      </c>
      <c r="EW273" s="27">
        <v>1</v>
      </c>
      <c r="EY273" s="27">
        <v>9</v>
      </c>
      <c r="FA273" s="27">
        <v>2</v>
      </c>
      <c r="FB273" s="28" t="s">
        <v>948</v>
      </c>
      <c r="FC273" s="27">
        <v>0</v>
      </c>
      <c r="FD273" s="1">
        <v>3</v>
      </c>
      <c r="FE273" s="4"/>
      <c r="FF273" s="4"/>
      <c r="FG273" s="4"/>
      <c r="FH273" s="4"/>
      <c r="FI273" s="4"/>
      <c r="FJ273" s="23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26"/>
      <c r="GF273" s="26"/>
      <c r="GG273" s="4"/>
      <c r="JH273" s="1"/>
      <c r="JV273" s="1"/>
      <c r="KM273" s="4"/>
      <c r="LA273" s="4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</row>
    <row r="274" spans="1:376" x14ac:dyDescent="0.35">
      <c r="A274" s="14">
        <v>43721</v>
      </c>
      <c r="B274" s="16" t="s">
        <v>157</v>
      </c>
      <c r="C274" s="16" t="s">
        <v>435</v>
      </c>
      <c r="D274" s="1">
        <v>273</v>
      </c>
      <c r="E274" s="1">
        <v>6</v>
      </c>
      <c r="F274" s="1">
        <v>6</v>
      </c>
      <c r="G274" s="1">
        <v>1</v>
      </c>
      <c r="H274" s="1">
        <v>69</v>
      </c>
      <c r="I274" s="1">
        <v>1</v>
      </c>
      <c r="J274" s="1">
        <v>1</v>
      </c>
      <c r="K274" s="18">
        <v>1</v>
      </c>
      <c r="L274" s="18">
        <v>0</v>
      </c>
      <c r="M274" s="18">
        <v>1</v>
      </c>
      <c r="N274" s="18">
        <v>1</v>
      </c>
      <c r="O274" s="18">
        <v>1</v>
      </c>
      <c r="P274" s="4">
        <v>0.8</v>
      </c>
      <c r="Q274" s="3">
        <v>14</v>
      </c>
      <c r="R274" s="1">
        <v>65</v>
      </c>
      <c r="S274" s="1">
        <v>56</v>
      </c>
      <c r="T274" s="1">
        <v>76</v>
      </c>
      <c r="U274" s="1">
        <v>109</v>
      </c>
      <c r="V274" s="1">
        <v>69</v>
      </c>
      <c r="W274" s="1">
        <v>62</v>
      </c>
      <c r="X274" s="1">
        <v>47</v>
      </c>
      <c r="Y274" s="1">
        <v>63</v>
      </c>
      <c r="Z274" s="1">
        <v>216</v>
      </c>
      <c r="AA274" s="1">
        <v>218</v>
      </c>
      <c r="AB274" s="1">
        <v>188</v>
      </c>
      <c r="AC274" s="1">
        <v>429</v>
      </c>
      <c r="AD274" s="1">
        <v>428</v>
      </c>
      <c r="AE274" s="1">
        <v>365</v>
      </c>
      <c r="AF274" s="1">
        <v>308</v>
      </c>
      <c r="AG274" s="1">
        <v>325</v>
      </c>
      <c r="AH274" s="1">
        <v>265</v>
      </c>
      <c r="AI274" s="4">
        <v>207.33</v>
      </c>
      <c r="AJ274" s="4">
        <v>407.33</v>
      </c>
      <c r="AK274" s="4">
        <v>299.33</v>
      </c>
      <c r="AL274" s="1">
        <v>1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9">
        <v>0</v>
      </c>
      <c r="AT274" s="19">
        <v>0</v>
      </c>
      <c r="AU274" s="19">
        <v>0</v>
      </c>
      <c r="AV274" s="19">
        <v>0</v>
      </c>
      <c r="AW274" s="19">
        <v>0</v>
      </c>
      <c r="AX274" s="19">
        <f t="shared" ref="AX274:BC274" si="136">AL274+AL275+AL276+AL277</f>
        <v>1</v>
      </c>
      <c r="AY274" s="19">
        <f t="shared" si="136"/>
        <v>0</v>
      </c>
      <c r="AZ274" s="19">
        <f t="shared" si="136"/>
        <v>0</v>
      </c>
      <c r="BA274" s="19">
        <f t="shared" si="136"/>
        <v>0</v>
      </c>
      <c r="BB274" s="19">
        <f t="shared" si="136"/>
        <v>0</v>
      </c>
      <c r="BC274" s="19">
        <f t="shared" si="136"/>
        <v>0</v>
      </c>
      <c r="BD274" s="1">
        <f>AX274*3</f>
        <v>3</v>
      </c>
      <c r="BE274" s="1">
        <f t="shared" ref="BE274:BI274" si="137">AY274*3</f>
        <v>0</v>
      </c>
      <c r="BF274" s="1">
        <f t="shared" si="137"/>
        <v>0</v>
      </c>
      <c r="BG274" s="1">
        <f t="shared" si="137"/>
        <v>0</v>
      </c>
      <c r="BH274" s="1">
        <f t="shared" si="137"/>
        <v>0</v>
      </c>
      <c r="BI274" s="1">
        <f t="shared" si="137"/>
        <v>0</v>
      </c>
      <c r="BJ274" s="1">
        <f>AX274+AY274+AZ274</f>
        <v>1</v>
      </c>
      <c r="BK274" s="1">
        <f>BA274+BB274+BC274</f>
        <v>0</v>
      </c>
      <c r="BL274" s="1">
        <f>BJ274*3</f>
        <v>3</v>
      </c>
      <c r="BM274" s="1">
        <f>BK274*3</f>
        <v>0</v>
      </c>
      <c r="BN274" s="1">
        <f>BL274/3</f>
        <v>1</v>
      </c>
      <c r="BO274" s="1">
        <f>BM274/3</f>
        <v>0</v>
      </c>
      <c r="BP274" s="4">
        <v>206.33333333333334</v>
      </c>
      <c r="BQ274" s="4">
        <v>407.33333333333331</v>
      </c>
      <c r="BR274" s="4">
        <v>299.33333333333331</v>
      </c>
      <c r="BS274" s="4">
        <v>407.33</v>
      </c>
      <c r="BT274" s="4">
        <v>299.33</v>
      </c>
      <c r="BU274" s="4">
        <v>3.6</v>
      </c>
      <c r="BV274" s="1">
        <v>2</v>
      </c>
      <c r="BW274" s="1">
        <v>4</v>
      </c>
      <c r="BX274" s="1">
        <v>4</v>
      </c>
      <c r="BY274" s="1">
        <v>4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2</v>
      </c>
      <c r="CJ274" s="1">
        <v>3</v>
      </c>
      <c r="CK274" s="1">
        <v>2</v>
      </c>
      <c r="CL274" s="1">
        <v>1</v>
      </c>
      <c r="CM274" s="1">
        <v>2</v>
      </c>
      <c r="CN274" s="1">
        <v>1</v>
      </c>
      <c r="CO274" s="1">
        <v>2</v>
      </c>
      <c r="CP274" s="1">
        <v>5</v>
      </c>
      <c r="CQ274" s="1">
        <v>2</v>
      </c>
      <c r="CR274" s="1">
        <v>3</v>
      </c>
      <c r="CS274" s="1">
        <v>5</v>
      </c>
      <c r="CT274" s="1">
        <v>3</v>
      </c>
      <c r="CU274" s="1">
        <v>3</v>
      </c>
      <c r="CV274" s="1">
        <v>1</v>
      </c>
      <c r="CW274" s="1">
        <v>3</v>
      </c>
      <c r="CX274" s="1">
        <v>1</v>
      </c>
      <c r="CY274" s="1">
        <v>1</v>
      </c>
      <c r="CZ274" s="1">
        <v>5</v>
      </c>
      <c r="DA274" s="1">
        <v>3</v>
      </c>
      <c r="DB274" s="1">
        <v>5</v>
      </c>
      <c r="DC274" s="1">
        <v>6</v>
      </c>
      <c r="DD274" s="1">
        <v>7</v>
      </c>
      <c r="DE274" s="1">
        <v>6</v>
      </c>
      <c r="DF274" s="1">
        <v>7</v>
      </c>
      <c r="DG274" s="1">
        <v>7</v>
      </c>
      <c r="DH274" s="1">
        <v>6</v>
      </c>
      <c r="DI274" s="1">
        <v>7</v>
      </c>
      <c r="DJ274" s="1">
        <v>7</v>
      </c>
      <c r="DK274" s="1">
        <v>7</v>
      </c>
      <c r="DL274" s="1">
        <v>7</v>
      </c>
      <c r="DM274" s="19">
        <v>6</v>
      </c>
      <c r="DN274" s="19">
        <v>7</v>
      </c>
      <c r="DO274" s="1">
        <v>3</v>
      </c>
      <c r="DP274" s="1">
        <v>7</v>
      </c>
      <c r="DQ274" s="1">
        <v>7</v>
      </c>
      <c r="DR274" s="1">
        <v>2</v>
      </c>
      <c r="DS274" s="1">
        <v>5</v>
      </c>
      <c r="DT274" s="1">
        <v>2</v>
      </c>
      <c r="DU274" s="27">
        <v>2</v>
      </c>
      <c r="DV274" s="27">
        <v>6</v>
      </c>
      <c r="DW274" s="27">
        <v>1</v>
      </c>
      <c r="DX274" s="27">
        <v>6</v>
      </c>
      <c r="DY274" s="27">
        <v>7</v>
      </c>
      <c r="DZ274" s="27">
        <v>6</v>
      </c>
      <c r="EA274" s="27">
        <v>7</v>
      </c>
      <c r="EB274" s="27">
        <v>7</v>
      </c>
      <c r="EC274" s="27">
        <v>6</v>
      </c>
      <c r="ED274" s="27">
        <v>7</v>
      </c>
      <c r="EE274" s="27">
        <v>7</v>
      </c>
      <c r="EF274" s="27">
        <v>2</v>
      </c>
      <c r="EG274" s="27">
        <v>7</v>
      </c>
      <c r="EH274" s="27">
        <v>7</v>
      </c>
      <c r="EI274" s="27">
        <v>7</v>
      </c>
      <c r="EJ274" s="27">
        <v>1</v>
      </c>
      <c r="EK274" s="27">
        <v>1</v>
      </c>
      <c r="EL274" s="27">
        <v>1</v>
      </c>
      <c r="EM274" s="27">
        <v>7</v>
      </c>
      <c r="EN274" s="27">
        <v>7</v>
      </c>
      <c r="EO274" s="27">
        <v>7</v>
      </c>
      <c r="EP274" s="27">
        <v>7</v>
      </c>
      <c r="EQ274" s="27">
        <v>7</v>
      </c>
      <c r="ER274" s="27">
        <v>1</v>
      </c>
      <c r="ES274" s="27">
        <v>2</v>
      </c>
      <c r="ET274" s="27">
        <v>3</v>
      </c>
      <c r="EU274" s="27">
        <v>2</v>
      </c>
      <c r="EV274" s="27">
        <v>19</v>
      </c>
      <c r="EW274" s="27">
        <v>2</v>
      </c>
      <c r="EY274" s="27">
        <v>1</v>
      </c>
      <c r="FA274" s="27">
        <v>2</v>
      </c>
      <c r="FB274" s="28" t="s">
        <v>949</v>
      </c>
      <c r="FC274" s="27">
        <v>0</v>
      </c>
      <c r="FD274" s="1">
        <v>2</v>
      </c>
      <c r="FE274" s="4">
        <v>4.18</v>
      </c>
      <c r="FF274" s="4">
        <v>3.69</v>
      </c>
      <c r="FG274" s="4">
        <v>4.3099999999999996</v>
      </c>
      <c r="FH274" s="4">
        <v>4.58</v>
      </c>
      <c r="FI274" s="4">
        <v>5</v>
      </c>
      <c r="FJ274" s="23">
        <v>6</v>
      </c>
      <c r="FK274" s="4">
        <v>5.33</v>
      </c>
      <c r="FL274" s="4">
        <v>5.75</v>
      </c>
      <c r="FM274" s="4">
        <v>5.38</v>
      </c>
      <c r="FN274" s="4">
        <v>5.25</v>
      </c>
      <c r="FO274" s="4">
        <v>3.83</v>
      </c>
      <c r="FP274" s="4">
        <v>5.67</v>
      </c>
      <c r="FQ274" s="4">
        <v>3</v>
      </c>
      <c r="FR274" s="4">
        <v>3</v>
      </c>
      <c r="FS274" s="4">
        <v>6.5</v>
      </c>
      <c r="FT274" s="4">
        <v>5.5</v>
      </c>
      <c r="FU274" s="4">
        <v>5.75</v>
      </c>
      <c r="FV274" s="4">
        <v>5.75</v>
      </c>
      <c r="FW274" s="4">
        <v>3.5</v>
      </c>
      <c r="FX274" s="4">
        <v>3.5</v>
      </c>
      <c r="FY274" s="4">
        <v>6.5</v>
      </c>
      <c r="FZ274" s="4">
        <v>4.08</v>
      </c>
      <c r="GA274" s="4">
        <v>3.5</v>
      </c>
      <c r="GB274" s="4">
        <v>5.75</v>
      </c>
      <c r="GC274" s="4">
        <v>4.38</v>
      </c>
      <c r="GD274" s="4">
        <v>2.88</v>
      </c>
      <c r="GE274" s="26"/>
      <c r="GF274" s="26"/>
      <c r="GG274" s="4"/>
      <c r="JH274" s="1"/>
      <c r="JV274" s="1"/>
      <c r="KM274" s="4"/>
      <c r="LA274" s="4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</row>
    <row r="275" spans="1:376" x14ac:dyDescent="0.35">
      <c r="A275" s="14">
        <v>43721</v>
      </c>
      <c r="B275" s="16" t="s">
        <v>157</v>
      </c>
      <c r="C275" s="16" t="s">
        <v>436</v>
      </c>
      <c r="D275" s="1">
        <v>274</v>
      </c>
      <c r="E275" s="1">
        <v>6</v>
      </c>
      <c r="F275" s="1">
        <v>6</v>
      </c>
      <c r="H275" s="1">
        <v>69</v>
      </c>
      <c r="I275" s="1">
        <v>2</v>
      </c>
      <c r="K275" s="18">
        <v>1</v>
      </c>
      <c r="L275" s="18">
        <v>1</v>
      </c>
      <c r="M275" s="18">
        <v>1</v>
      </c>
      <c r="N275" s="18">
        <v>1</v>
      </c>
      <c r="O275" s="18">
        <v>1</v>
      </c>
      <c r="P275" s="4">
        <v>1</v>
      </c>
      <c r="Q275" s="3">
        <v>41</v>
      </c>
      <c r="R275" s="1">
        <v>47</v>
      </c>
      <c r="S275" s="1">
        <v>42</v>
      </c>
      <c r="T275" s="1">
        <v>117</v>
      </c>
      <c r="U275" s="1">
        <v>84</v>
      </c>
      <c r="V275" s="1">
        <v>77</v>
      </c>
      <c r="W275" s="1">
        <v>89</v>
      </c>
      <c r="X275" s="1">
        <v>104</v>
      </c>
      <c r="Y275" s="1">
        <v>78</v>
      </c>
      <c r="AI275" s="4"/>
      <c r="AJ275" s="4"/>
      <c r="AK275" s="4"/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9">
        <v>0</v>
      </c>
      <c r="AT275" s="19">
        <v>0</v>
      </c>
      <c r="AU275" s="19">
        <v>0</v>
      </c>
      <c r="AV275" s="19">
        <v>0</v>
      </c>
      <c r="AW275" s="19">
        <v>0</v>
      </c>
      <c r="AX275" s="19"/>
      <c r="AY275"/>
      <c r="AZ275"/>
      <c r="BA275"/>
      <c r="BB275"/>
      <c r="BC275"/>
      <c r="BP275" s="4"/>
      <c r="BQ275" s="4"/>
      <c r="BR275" s="4"/>
      <c r="BS275" s="4"/>
      <c r="BT275" s="4"/>
      <c r="BU275" s="4"/>
      <c r="CI275" s="1">
        <v>5</v>
      </c>
      <c r="CJ275" s="1">
        <v>5</v>
      </c>
      <c r="CK275" s="1">
        <v>6</v>
      </c>
      <c r="CL275" s="1">
        <v>3</v>
      </c>
      <c r="CM275" s="1">
        <v>3</v>
      </c>
      <c r="CN275" s="1">
        <v>3</v>
      </c>
      <c r="CO275" s="1">
        <v>3</v>
      </c>
      <c r="CP275" s="1">
        <v>6</v>
      </c>
      <c r="CQ275" s="1">
        <v>2</v>
      </c>
      <c r="CR275" s="1">
        <v>2</v>
      </c>
      <c r="CS275" s="1">
        <v>2</v>
      </c>
      <c r="CT275" s="1">
        <v>2</v>
      </c>
      <c r="CU275" s="1">
        <v>2</v>
      </c>
      <c r="CV275" s="1">
        <v>1</v>
      </c>
      <c r="CW275" s="1">
        <v>2</v>
      </c>
      <c r="CX275" s="1">
        <v>2</v>
      </c>
      <c r="CY275" s="1">
        <v>1</v>
      </c>
      <c r="CZ275" s="1">
        <v>3</v>
      </c>
      <c r="DA275" s="1">
        <v>3</v>
      </c>
      <c r="DB275" s="1">
        <v>3</v>
      </c>
      <c r="DC275" s="1">
        <v>2</v>
      </c>
      <c r="DD275" s="1">
        <v>3</v>
      </c>
      <c r="DE275" s="1">
        <v>5</v>
      </c>
      <c r="DF275" s="1">
        <v>7</v>
      </c>
      <c r="DG275" s="1">
        <v>6</v>
      </c>
      <c r="DH275" s="1">
        <v>6</v>
      </c>
      <c r="DI275" s="1">
        <v>6</v>
      </c>
      <c r="DJ275" s="1">
        <v>6</v>
      </c>
      <c r="DK275" s="1">
        <v>6</v>
      </c>
      <c r="DL275" s="1">
        <v>5</v>
      </c>
      <c r="DM275" s="19">
        <v>3</v>
      </c>
      <c r="DN275" s="19">
        <v>7</v>
      </c>
      <c r="DO275" s="1">
        <v>7</v>
      </c>
      <c r="DP275" s="1">
        <v>6</v>
      </c>
      <c r="DQ275" s="1">
        <v>2</v>
      </c>
      <c r="DR275" s="1">
        <v>1</v>
      </c>
      <c r="DS275" s="1">
        <v>3</v>
      </c>
      <c r="DT275" s="1">
        <v>1</v>
      </c>
      <c r="DU275" s="27">
        <v>6</v>
      </c>
      <c r="DV275" s="27">
        <v>7</v>
      </c>
      <c r="DW275" s="27">
        <v>6</v>
      </c>
      <c r="DX275" s="27">
        <v>1</v>
      </c>
      <c r="DY275" s="27">
        <v>3</v>
      </c>
      <c r="DZ275" s="27">
        <v>2</v>
      </c>
      <c r="EA275" s="27">
        <v>2</v>
      </c>
      <c r="EB275" s="27">
        <v>7</v>
      </c>
      <c r="EC275" s="27">
        <v>6</v>
      </c>
      <c r="ED275" s="27">
        <v>5</v>
      </c>
      <c r="EE275" s="27">
        <v>5</v>
      </c>
      <c r="EF275" s="27">
        <v>2</v>
      </c>
      <c r="EG275" s="27">
        <v>2</v>
      </c>
      <c r="EH275" s="27">
        <v>6</v>
      </c>
      <c r="EI275" s="27">
        <v>6</v>
      </c>
      <c r="EJ275" s="27">
        <v>6</v>
      </c>
      <c r="EK275" s="27">
        <v>5</v>
      </c>
      <c r="EL275" s="27">
        <v>6</v>
      </c>
      <c r="EM275" s="27">
        <v>2</v>
      </c>
      <c r="EN275" s="27">
        <v>2</v>
      </c>
      <c r="EO275" s="27">
        <v>3</v>
      </c>
      <c r="EP275" s="27">
        <v>2</v>
      </c>
      <c r="EQ275" s="27">
        <v>4</v>
      </c>
      <c r="ER275" s="27">
        <v>4</v>
      </c>
      <c r="ES275" s="27">
        <v>4</v>
      </c>
      <c r="ET275" s="27">
        <v>4</v>
      </c>
      <c r="EU275" s="27">
        <v>4</v>
      </c>
      <c r="EV275" s="27">
        <v>18</v>
      </c>
      <c r="EW275" s="27">
        <v>2</v>
      </c>
      <c r="EY275" s="27">
        <v>1</v>
      </c>
      <c r="FA275" s="27">
        <v>1</v>
      </c>
      <c r="FB275" s="28" t="s">
        <v>950</v>
      </c>
      <c r="FC275" s="27">
        <v>1</v>
      </c>
      <c r="FD275" s="1">
        <v>9</v>
      </c>
      <c r="FE275" s="4"/>
      <c r="FF275" s="4"/>
      <c r="FG275" s="4"/>
      <c r="FH275" s="4"/>
      <c r="FI275" s="4"/>
      <c r="FJ275" s="23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26"/>
      <c r="GF275" s="26"/>
      <c r="GG275" s="4"/>
      <c r="JH275" s="1"/>
      <c r="JV275" s="1"/>
      <c r="KM275" s="4"/>
      <c r="LA275" s="4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</row>
    <row r="276" spans="1:376" x14ac:dyDescent="0.35">
      <c r="A276" s="14">
        <v>43721</v>
      </c>
      <c r="B276" s="16" t="s">
        <v>157</v>
      </c>
      <c r="C276" s="16" t="s">
        <v>437</v>
      </c>
      <c r="D276" s="1">
        <v>275</v>
      </c>
      <c r="E276" s="1">
        <v>6</v>
      </c>
      <c r="F276" s="1">
        <v>6</v>
      </c>
      <c r="H276" s="1">
        <v>69</v>
      </c>
      <c r="I276" s="1">
        <v>3</v>
      </c>
      <c r="K276" s="18">
        <v>0</v>
      </c>
      <c r="L276" s="18">
        <v>1</v>
      </c>
      <c r="M276" s="18">
        <v>1</v>
      </c>
      <c r="N276" s="18">
        <v>1</v>
      </c>
      <c r="O276" s="18">
        <v>1</v>
      </c>
      <c r="P276" s="4">
        <v>0.8</v>
      </c>
      <c r="Q276" s="3">
        <v>90</v>
      </c>
      <c r="R276" s="1">
        <v>58</v>
      </c>
      <c r="S276" s="1">
        <v>50</v>
      </c>
      <c r="T276" s="1">
        <v>129</v>
      </c>
      <c r="U276" s="1">
        <v>145</v>
      </c>
      <c r="V276" s="1">
        <v>127</v>
      </c>
      <c r="W276" s="1">
        <v>99</v>
      </c>
      <c r="X276" s="1">
        <v>111</v>
      </c>
      <c r="Y276" s="1">
        <v>78</v>
      </c>
      <c r="AI276" s="4"/>
      <c r="AJ276" s="4"/>
      <c r="AK276" s="4"/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9">
        <v>0</v>
      </c>
      <c r="AT276" s="19">
        <v>0</v>
      </c>
      <c r="AU276" s="19">
        <v>0</v>
      </c>
      <c r="AV276" s="19">
        <v>0</v>
      </c>
      <c r="AW276" s="19">
        <v>0</v>
      </c>
      <c r="AX276" s="19"/>
      <c r="AY276"/>
      <c r="AZ276"/>
      <c r="BA276"/>
      <c r="BB276"/>
      <c r="BC276"/>
      <c r="BP276" s="4"/>
      <c r="BQ276" s="4"/>
      <c r="BR276" s="4"/>
      <c r="BS276" s="4"/>
      <c r="BT276" s="4"/>
      <c r="BU276" s="4"/>
      <c r="CI276" s="1">
        <v>6</v>
      </c>
      <c r="CJ276" s="1">
        <v>6</v>
      </c>
      <c r="CK276" s="1">
        <v>6</v>
      </c>
      <c r="CL276" s="1">
        <v>5</v>
      </c>
      <c r="CM276" s="1">
        <v>5</v>
      </c>
      <c r="CN276" s="1">
        <v>6</v>
      </c>
      <c r="CO276" s="1">
        <v>5</v>
      </c>
      <c r="CP276" s="1">
        <v>5</v>
      </c>
      <c r="CQ276" s="1">
        <v>6</v>
      </c>
      <c r="CR276" s="1">
        <v>5</v>
      </c>
      <c r="CS276" s="1">
        <v>5</v>
      </c>
      <c r="CT276" s="1">
        <v>3</v>
      </c>
      <c r="CU276" s="1">
        <v>5</v>
      </c>
      <c r="CV276" s="1">
        <v>5</v>
      </c>
      <c r="CW276" s="1">
        <v>6</v>
      </c>
      <c r="CX276" s="1">
        <v>5</v>
      </c>
      <c r="CY276" s="1">
        <v>5</v>
      </c>
      <c r="CZ276" s="1">
        <v>5</v>
      </c>
      <c r="DA276" s="1">
        <v>5</v>
      </c>
      <c r="DB276" s="1">
        <v>5</v>
      </c>
      <c r="DC276" s="1">
        <v>5</v>
      </c>
      <c r="DD276" s="1">
        <v>5</v>
      </c>
      <c r="DE276" s="1">
        <v>6</v>
      </c>
      <c r="DF276" s="1">
        <v>4</v>
      </c>
      <c r="DG276" s="1">
        <v>5</v>
      </c>
      <c r="DH276" s="1">
        <v>5</v>
      </c>
      <c r="DI276" s="1">
        <v>4</v>
      </c>
      <c r="DJ276" s="1">
        <v>5</v>
      </c>
      <c r="DK276" s="1">
        <v>4</v>
      </c>
      <c r="DL276" s="1">
        <v>6</v>
      </c>
      <c r="DM276" s="19">
        <v>5</v>
      </c>
      <c r="DN276" s="19">
        <v>6</v>
      </c>
      <c r="DO276" s="1">
        <v>5</v>
      </c>
      <c r="DP276" s="1">
        <v>5</v>
      </c>
      <c r="DQ276" s="1">
        <v>5</v>
      </c>
      <c r="DR276" s="1">
        <v>4</v>
      </c>
      <c r="DS276" s="1">
        <v>6</v>
      </c>
      <c r="DT276" s="1">
        <v>5</v>
      </c>
      <c r="DU276" s="27">
        <v>7</v>
      </c>
      <c r="DV276" s="27">
        <v>7</v>
      </c>
      <c r="DW276" s="27">
        <v>6</v>
      </c>
      <c r="DX276" s="27">
        <v>2</v>
      </c>
      <c r="DY276" s="27">
        <v>2</v>
      </c>
      <c r="DZ276" s="27">
        <v>4</v>
      </c>
      <c r="EA276" s="27">
        <v>2</v>
      </c>
      <c r="EB276" s="27">
        <v>6</v>
      </c>
      <c r="EC276" s="27">
        <v>4</v>
      </c>
      <c r="ED276" s="27">
        <v>4</v>
      </c>
      <c r="EE276" s="27">
        <v>4</v>
      </c>
      <c r="EF276" s="27">
        <v>4</v>
      </c>
      <c r="EG276" s="27">
        <v>4</v>
      </c>
      <c r="EH276" s="27">
        <v>6</v>
      </c>
      <c r="EI276" s="27">
        <v>6</v>
      </c>
      <c r="EJ276" s="27">
        <v>2</v>
      </c>
      <c r="EK276" s="27">
        <v>2</v>
      </c>
      <c r="EL276" s="27">
        <v>4</v>
      </c>
      <c r="EM276" s="27">
        <v>4</v>
      </c>
      <c r="EN276" s="27">
        <v>4</v>
      </c>
      <c r="EO276" s="27">
        <v>6</v>
      </c>
      <c r="EP276" s="27">
        <v>6</v>
      </c>
      <c r="EQ276" s="27">
        <v>6</v>
      </c>
      <c r="ER276" s="27">
        <v>4</v>
      </c>
      <c r="ES276" s="27">
        <v>6</v>
      </c>
      <c r="ET276" s="27">
        <v>4</v>
      </c>
      <c r="EU276" s="27">
        <v>4</v>
      </c>
      <c r="EV276" s="27">
        <v>18</v>
      </c>
      <c r="EW276" s="27">
        <v>2</v>
      </c>
      <c r="EY276" s="27">
        <v>2</v>
      </c>
      <c r="FA276" s="27">
        <v>1</v>
      </c>
      <c r="FB276" s="28" t="s">
        <v>797</v>
      </c>
      <c r="FC276" s="27">
        <v>1</v>
      </c>
      <c r="FD276" s="1">
        <v>2</v>
      </c>
      <c r="FE276" s="4"/>
      <c r="FF276" s="4"/>
      <c r="FG276" s="4"/>
      <c r="FH276" s="4"/>
      <c r="FI276" s="4"/>
      <c r="FJ276" s="23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26"/>
      <c r="GF276" s="26"/>
      <c r="GG276" s="4"/>
      <c r="JH276" s="1"/>
      <c r="JV276" s="1"/>
      <c r="KM276" s="4"/>
      <c r="LA276" s="4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</row>
    <row r="277" spans="1:376" x14ac:dyDescent="0.35">
      <c r="A277" s="14">
        <v>43721</v>
      </c>
      <c r="B277" s="16" t="s">
        <v>157</v>
      </c>
      <c r="C277" s="16" t="s">
        <v>438</v>
      </c>
      <c r="D277" s="1">
        <v>276</v>
      </c>
      <c r="E277" s="1">
        <v>6</v>
      </c>
      <c r="F277" s="1">
        <v>6</v>
      </c>
      <c r="H277" s="1">
        <v>69</v>
      </c>
      <c r="I277" s="1">
        <v>4</v>
      </c>
      <c r="K277" s="18">
        <v>1</v>
      </c>
      <c r="L277" s="18">
        <v>1</v>
      </c>
      <c r="M277" s="18">
        <v>1</v>
      </c>
      <c r="N277" s="18">
        <v>1</v>
      </c>
      <c r="O277" s="18">
        <v>1</v>
      </c>
      <c r="P277" s="4">
        <v>1</v>
      </c>
      <c r="Q277" s="3">
        <v>71</v>
      </c>
      <c r="R277" s="1">
        <v>48</v>
      </c>
      <c r="S277" s="1">
        <v>40</v>
      </c>
      <c r="T277" s="1">
        <v>107</v>
      </c>
      <c r="U277" s="1">
        <v>90</v>
      </c>
      <c r="V277" s="1">
        <v>92</v>
      </c>
      <c r="W277" s="1">
        <v>58</v>
      </c>
      <c r="X277" s="1">
        <v>63</v>
      </c>
      <c r="Y277" s="1">
        <v>46</v>
      </c>
      <c r="AI277" s="4"/>
      <c r="AJ277" s="4"/>
      <c r="AK277" s="4"/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2</v>
      </c>
      <c r="AS277" s="19">
        <v>0</v>
      </c>
      <c r="AT277" s="19">
        <v>0</v>
      </c>
      <c r="AU277" s="19">
        <v>0</v>
      </c>
      <c r="AV277" s="19">
        <v>0</v>
      </c>
      <c r="AW277" s="19">
        <v>0</v>
      </c>
      <c r="AX277" s="19"/>
      <c r="AY277"/>
      <c r="AZ277"/>
      <c r="BA277"/>
      <c r="BB277"/>
      <c r="BC277"/>
      <c r="BP277" s="4"/>
      <c r="BQ277" s="4"/>
      <c r="BR277" s="4"/>
      <c r="BS277" s="4"/>
      <c r="BT277" s="4"/>
      <c r="BU277" s="4"/>
      <c r="CI277" s="1">
        <v>5</v>
      </c>
      <c r="CJ277" s="1">
        <v>6</v>
      </c>
      <c r="CK277" s="1">
        <v>7</v>
      </c>
      <c r="CL277" s="1">
        <v>5</v>
      </c>
      <c r="CM277" s="1">
        <v>4</v>
      </c>
      <c r="CN277" s="1">
        <v>5</v>
      </c>
      <c r="CO277" s="1">
        <v>5</v>
      </c>
      <c r="CP277" s="1">
        <v>5</v>
      </c>
      <c r="CQ277" s="1">
        <v>5</v>
      </c>
      <c r="CR277" s="1">
        <v>5</v>
      </c>
      <c r="CS277" s="1">
        <v>6</v>
      </c>
      <c r="CT277" s="1">
        <v>3</v>
      </c>
      <c r="CU277" s="1">
        <v>5</v>
      </c>
      <c r="CV277" s="1">
        <v>5</v>
      </c>
      <c r="CW277" s="1">
        <v>5</v>
      </c>
      <c r="CX277" s="1">
        <v>5</v>
      </c>
      <c r="CY277" s="1">
        <v>6</v>
      </c>
      <c r="CZ277" s="1">
        <v>6</v>
      </c>
      <c r="DA277" s="1">
        <v>6</v>
      </c>
      <c r="DB277" s="1">
        <v>6</v>
      </c>
      <c r="DC277" s="1">
        <v>6</v>
      </c>
      <c r="DD277" s="1">
        <v>6</v>
      </c>
      <c r="DE277" s="1">
        <v>7</v>
      </c>
      <c r="DF277" s="1">
        <v>2</v>
      </c>
      <c r="DG277" s="1">
        <v>1</v>
      </c>
      <c r="DH277" s="1">
        <v>2</v>
      </c>
      <c r="DI277" s="1">
        <v>7</v>
      </c>
      <c r="DJ277" s="1">
        <v>6</v>
      </c>
      <c r="DK277" s="1">
        <v>5</v>
      </c>
      <c r="DL277" s="1">
        <v>7</v>
      </c>
      <c r="DM277" s="19">
        <v>7</v>
      </c>
      <c r="DN277" s="19">
        <v>4</v>
      </c>
      <c r="DO277" s="1">
        <v>4</v>
      </c>
      <c r="DP277" s="1">
        <v>3</v>
      </c>
      <c r="DQ277" s="1">
        <v>7</v>
      </c>
      <c r="DR277" s="1">
        <v>6</v>
      </c>
      <c r="DS277" s="1">
        <v>6</v>
      </c>
      <c r="DT277" s="1">
        <v>5</v>
      </c>
      <c r="DU277" s="27">
        <v>7</v>
      </c>
      <c r="DV277" s="27">
        <v>7</v>
      </c>
      <c r="DW277" s="27">
        <v>6</v>
      </c>
      <c r="DX277" s="27">
        <v>2</v>
      </c>
      <c r="DY277" s="27">
        <v>1</v>
      </c>
      <c r="DZ277" s="27">
        <v>1</v>
      </c>
      <c r="EA277" s="27">
        <v>1</v>
      </c>
      <c r="EB277" s="27">
        <v>6</v>
      </c>
      <c r="EC277" s="27">
        <v>6</v>
      </c>
      <c r="ED277" s="27">
        <v>7</v>
      </c>
      <c r="EE277" s="27">
        <v>7</v>
      </c>
      <c r="EF277" s="27">
        <v>6</v>
      </c>
      <c r="EG277" s="27">
        <v>1</v>
      </c>
      <c r="EH277" s="27">
        <v>7</v>
      </c>
      <c r="EI277" s="27">
        <v>7</v>
      </c>
      <c r="EJ277" s="27">
        <v>7</v>
      </c>
      <c r="EK277" s="27">
        <v>7</v>
      </c>
      <c r="EL277" s="27">
        <v>7</v>
      </c>
      <c r="EM277" s="27">
        <v>1</v>
      </c>
      <c r="EN277" s="27">
        <v>1</v>
      </c>
      <c r="EO277" s="27">
        <v>7</v>
      </c>
      <c r="EP277" s="27">
        <v>7</v>
      </c>
      <c r="EQ277" s="27">
        <v>7</v>
      </c>
      <c r="ER277" s="27">
        <v>7</v>
      </c>
      <c r="ES277" s="27">
        <v>7</v>
      </c>
      <c r="ET277" s="27">
        <v>1</v>
      </c>
      <c r="EU277" s="27">
        <v>1</v>
      </c>
      <c r="EV277" s="27">
        <v>18</v>
      </c>
      <c r="EW277" s="27">
        <v>2</v>
      </c>
      <c r="EY277" s="27">
        <v>1</v>
      </c>
      <c r="FA277" s="27">
        <v>1</v>
      </c>
      <c r="FB277" s="28" t="s">
        <v>942</v>
      </c>
      <c r="FC277" s="27">
        <v>0</v>
      </c>
      <c r="FD277" s="1">
        <v>5</v>
      </c>
      <c r="FE277" s="4"/>
      <c r="FF277" s="4"/>
      <c r="FG277" s="4"/>
      <c r="FH277" s="4"/>
      <c r="FI277" s="4"/>
      <c r="FJ277" s="23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26"/>
      <c r="GF277" s="26"/>
      <c r="GG277" s="4"/>
      <c r="JH277" s="1"/>
      <c r="JV277" s="1"/>
      <c r="KM277" s="4"/>
      <c r="LA277" s="4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</row>
    <row r="278" spans="1:376" x14ac:dyDescent="0.35">
      <c r="A278" s="14">
        <v>43721</v>
      </c>
      <c r="B278" s="16" t="s">
        <v>158</v>
      </c>
      <c r="C278" s="16" t="s">
        <v>439</v>
      </c>
      <c r="D278" s="1">
        <v>277</v>
      </c>
      <c r="E278" s="1">
        <v>6</v>
      </c>
      <c r="F278" s="1">
        <v>6</v>
      </c>
      <c r="G278" s="1">
        <v>1</v>
      </c>
      <c r="H278" s="1">
        <v>70</v>
      </c>
      <c r="I278" s="1">
        <v>1</v>
      </c>
      <c r="J278" s="1">
        <v>1</v>
      </c>
      <c r="K278" s="18">
        <v>1</v>
      </c>
      <c r="L278" s="18">
        <v>1</v>
      </c>
      <c r="M278" s="18">
        <v>0</v>
      </c>
      <c r="N278" s="18">
        <v>1</v>
      </c>
      <c r="O278" s="18">
        <v>1</v>
      </c>
      <c r="P278" s="4">
        <v>0.8</v>
      </c>
      <c r="Q278" s="3">
        <v>39</v>
      </c>
      <c r="R278" s="1">
        <v>24</v>
      </c>
      <c r="S278" s="1">
        <v>24</v>
      </c>
      <c r="T278" s="1">
        <v>111</v>
      </c>
      <c r="U278" s="1">
        <v>108</v>
      </c>
      <c r="V278" s="1">
        <v>125</v>
      </c>
      <c r="W278" s="1">
        <v>112</v>
      </c>
      <c r="X278" s="1">
        <v>107</v>
      </c>
      <c r="Y278" s="1">
        <v>108</v>
      </c>
      <c r="Z278" s="1">
        <v>255</v>
      </c>
      <c r="AA278" s="1">
        <v>229</v>
      </c>
      <c r="AB278" s="1">
        <v>233</v>
      </c>
      <c r="AC278" s="1">
        <v>410</v>
      </c>
      <c r="AD278" s="1">
        <v>433</v>
      </c>
      <c r="AE278" s="1">
        <v>445</v>
      </c>
      <c r="AF278" s="1">
        <v>437</v>
      </c>
      <c r="AG278" s="1">
        <v>400</v>
      </c>
      <c r="AH278" s="1">
        <v>449</v>
      </c>
      <c r="AI278" s="4">
        <v>239</v>
      </c>
      <c r="AJ278" s="4">
        <v>429.33</v>
      </c>
      <c r="AK278" s="4">
        <v>428.67</v>
      </c>
      <c r="AL278" s="1">
        <v>0</v>
      </c>
      <c r="AM278" s="1">
        <v>2</v>
      </c>
      <c r="AN278" s="1">
        <v>2</v>
      </c>
      <c r="AO278" s="1">
        <v>0</v>
      </c>
      <c r="AP278" s="1">
        <v>1</v>
      </c>
      <c r="AQ278" s="1">
        <v>0</v>
      </c>
      <c r="AR278" s="1">
        <v>0</v>
      </c>
      <c r="AS278" s="19">
        <v>0</v>
      </c>
      <c r="AT278" s="19">
        <v>0</v>
      </c>
      <c r="AU278" s="19">
        <v>0</v>
      </c>
      <c r="AV278" s="19">
        <v>0</v>
      </c>
      <c r="AW278" s="19">
        <v>0</v>
      </c>
      <c r="AX278" s="19">
        <f t="shared" ref="AX278:BC278" si="138">AL278+AL279+AL280+AL281</f>
        <v>0</v>
      </c>
      <c r="AY278" s="19">
        <f t="shared" si="138"/>
        <v>2</v>
      </c>
      <c r="AZ278" s="19">
        <f t="shared" si="138"/>
        <v>2</v>
      </c>
      <c r="BA278" s="19">
        <f t="shared" si="138"/>
        <v>0</v>
      </c>
      <c r="BB278" s="19">
        <f t="shared" si="138"/>
        <v>1</v>
      </c>
      <c r="BC278" s="19">
        <f t="shared" si="138"/>
        <v>0</v>
      </c>
      <c r="BD278" s="1">
        <f>AX278*3</f>
        <v>0</v>
      </c>
      <c r="BE278" s="1">
        <f t="shared" ref="BE278:BI278" si="139">AY278*3</f>
        <v>6</v>
      </c>
      <c r="BF278" s="1">
        <f t="shared" si="139"/>
        <v>6</v>
      </c>
      <c r="BG278" s="1">
        <f t="shared" si="139"/>
        <v>0</v>
      </c>
      <c r="BH278" s="1">
        <f t="shared" si="139"/>
        <v>3</v>
      </c>
      <c r="BI278" s="1">
        <f t="shared" si="139"/>
        <v>0</v>
      </c>
      <c r="BJ278" s="1">
        <f>AX278+AY278+AZ278</f>
        <v>4</v>
      </c>
      <c r="BK278" s="1">
        <f>BA278+BB278+BC278</f>
        <v>1</v>
      </c>
      <c r="BL278" s="1">
        <f>BJ278*3</f>
        <v>12</v>
      </c>
      <c r="BM278" s="1">
        <f>BK278*3</f>
        <v>3</v>
      </c>
      <c r="BN278" s="1">
        <f>BL278/3</f>
        <v>4</v>
      </c>
      <c r="BO278" s="1">
        <f>BM278/3</f>
        <v>1</v>
      </c>
      <c r="BP278" s="4">
        <v>235</v>
      </c>
      <c r="BQ278" s="4">
        <v>428.33333333333331</v>
      </c>
      <c r="BR278" s="4">
        <v>428.66666666666669</v>
      </c>
      <c r="BS278" s="4">
        <v>428.33</v>
      </c>
      <c r="BT278" s="4">
        <v>428.67</v>
      </c>
      <c r="BU278" s="4">
        <v>3.67</v>
      </c>
      <c r="BV278" s="1">
        <v>2</v>
      </c>
      <c r="BW278" s="1">
        <v>2</v>
      </c>
      <c r="BX278" s="1">
        <v>2</v>
      </c>
      <c r="BY278" s="1">
        <v>2</v>
      </c>
      <c r="BZ278" s="1">
        <v>2</v>
      </c>
      <c r="CA278" s="1">
        <v>2</v>
      </c>
      <c r="CB278" s="1">
        <v>2</v>
      </c>
      <c r="CC278" s="1">
        <v>2</v>
      </c>
      <c r="CD278" s="1">
        <v>2</v>
      </c>
      <c r="CE278" s="1">
        <v>2</v>
      </c>
      <c r="CF278" s="1">
        <v>2</v>
      </c>
      <c r="CG278" s="1">
        <v>2</v>
      </c>
      <c r="CH278" s="1">
        <v>1</v>
      </c>
      <c r="CI278" s="1">
        <v>7</v>
      </c>
      <c r="CJ278" s="1">
        <v>7</v>
      </c>
      <c r="CK278" s="1">
        <v>7</v>
      </c>
      <c r="CL278" s="1">
        <v>6</v>
      </c>
      <c r="CM278" s="1">
        <v>6</v>
      </c>
      <c r="CN278" s="1">
        <v>6</v>
      </c>
      <c r="CO278" s="1">
        <v>6</v>
      </c>
      <c r="CP278" s="1">
        <v>2</v>
      </c>
      <c r="CQ278" s="1">
        <v>6</v>
      </c>
      <c r="CR278" s="1">
        <v>5</v>
      </c>
      <c r="CS278" s="1">
        <v>7</v>
      </c>
      <c r="CT278" s="1">
        <v>6</v>
      </c>
      <c r="CU278" s="1">
        <v>7</v>
      </c>
      <c r="CV278" s="1">
        <v>7</v>
      </c>
      <c r="CW278" s="1">
        <v>7</v>
      </c>
      <c r="CX278" s="1">
        <v>7</v>
      </c>
      <c r="CY278" s="1">
        <v>7</v>
      </c>
      <c r="CZ278" s="1">
        <v>7</v>
      </c>
      <c r="DA278" s="1">
        <v>7</v>
      </c>
      <c r="DB278" s="1">
        <v>7</v>
      </c>
      <c r="DC278" s="1">
        <v>7</v>
      </c>
      <c r="DD278" s="1">
        <v>6</v>
      </c>
      <c r="DE278" s="1">
        <v>7</v>
      </c>
      <c r="DF278" s="1">
        <v>4</v>
      </c>
      <c r="DG278" s="1">
        <v>2</v>
      </c>
      <c r="DH278" s="1">
        <v>3</v>
      </c>
      <c r="DI278" s="1">
        <v>4</v>
      </c>
      <c r="DJ278" s="1">
        <v>4</v>
      </c>
      <c r="DK278" s="1">
        <v>4</v>
      </c>
      <c r="DL278" s="1">
        <v>7</v>
      </c>
      <c r="DM278" s="19">
        <v>7</v>
      </c>
      <c r="DN278" s="19">
        <v>4</v>
      </c>
      <c r="DO278" s="1">
        <v>5</v>
      </c>
      <c r="DP278" s="1">
        <v>6</v>
      </c>
      <c r="DQ278" s="1">
        <v>7</v>
      </c>
      <c r="DR278" s="1">
        <v>5</v>
      </c>
      <c r="DS278" s="1">
        <v>6</v>
      </c>
      <c r="DT278" s="1">
        <v>7</v>
      </c>
      <c r="DU278" s="27">
        <v>2</v>
      </c>
      <c r="DV278" s="27">
        <v>1</v>
      </c>
      <c r="DW278" s="27">
        <v>1</v>
      </c>
      <c r="DX278" s="27">
        <v>7</v>
      </c>
      <c r="DY278" s="27">
        <v>4</v>
      </c>
      <c r="DZ278" s="27">
        <v>5</v>
      </c>
      <c r="EA278" s="27">
        <v>1</v>
      </c>
      <c r="EB278" s="27">
        <v>2</v>
      </c>
      <c r="EC278" s="27">
        <v>7</v>
      </c>
      <c r="ED278" s="27">
        <v>2</v>
      </c>
      <c r="EE278" s="27">
        <v>2</v>
      </c>
      <c r="EF278" s="27">
        <v>1</v>
      </c>
      <c r="EG278" s="27">
        <v>7</v>
      </c>
      <c r="EH278" s="27">
        <v>6</v>
      </c>
      <c r="EI278" s="27">
        <v>6</v>
      </c>
      <c r="EJ278" s="27">
        <v>5</v>
      </c>
      <c r="EK278" s="27">
        <v>5</v>
      </c>
      <c r="EL278" s="27">
        <v>5</v>
      </c>
      <c r="EM278" s="27">
        <v>1</v>
      </c>
      <c r="EN278" s="27">
        <v>3</v>
      </c>
      <c r="EO278" s="27">
        <v>3</v>
      </c>
      <c r="EP278" s="27">
        <v>3</v>
      </c>
      <c r="EQ278" s="27">
        <v>3</v>
      </c>
      <c r="ER278" s="27">
        <v>6</v>
      </c>
      <c r="ES278" s="27">
        <v>7</v>
      </c>
      <c r="ET278" s="27">
        <v>6</v>
      </c>
      <c r="EU278" s="27">
        <v>7</v>
      </c>
      <c r="EV278" s="27">
        <v>21</v>
      </c>
      <c r="EW278" s="27">
        <v>1</v>
      </c>
      <c r="EY278" s="27">
        <v>1</v>
      </c>
      <c r="FA278" s="27">
        <v>4</v>
      </c>
      <c r="FB278" s="28" t="s">
        <v>834</v>
      </c>
      <c r="FC278" s="27">
        <v>0</v>
      </c>
      <c r="FD278" s="1">
        <v>4</v>
      </c>
      <c r="FE278" s="4">
        <v>6.43</v>
      </c>
      <c r="FF278" s="4">
        <v>6.31</v>
      </c>
      <c r="FG278" s="4">
        <v>7.63</v>
      </c>
      <c r="FH278" s="4">
        <v>6.75</v>
      </c>
      <c r="FI278" s="4">
        <v>6</v>
      </c>
      <c r="FJ278" s="23">
        <v>6.75</v>
      </c>
      <c r="FK278" s="4">
        <v>4.13</v>
      </c>
      <c r="FL278" s="4">
        <v>6.5</v>
      </c>
      <c r="FM278" s="4">
        <v>5.13</v>
      </c>
      <c r="FN278" s="4">
        <v>5.88</v>
      </c>
      <c r="FO278" s="4">
        <v>6.17</v>
      </c>
      <c r="FP278" s="4">
        <v>5</v>
      </c>
      <c r="FQ278" s="4">
        <v>4</v>
      </c>
      <c r="FR278" s="4">
        <v>2</v>
      </c>
      <c r="FS278" s="4">
        <v>5</v>
      </c>
      <c r="FT278" s="4">
        <v>6</v>
      </c>
      <c r="FU278" s="4">
        <v>5</v>
      </c>
      <c r="FV278" s="4">
        <v>5.75</v>
      </c>
      <c r="FW278" s="4">
        <v>4.25</v>
      </c>
      <c r="FX278" s="4">
        <v>6.25</v>
      </c>
      <c r="FY278" s="4">
        <v>6.13</v>
      </c>
      <c r="FZ278" s="4">
        <v>5.17</v>
      </c>
      <c r="GA278" s="4">
        <v>2.38</v>
      </c>
      <c r="GB278" s="4">
        <v>5</v>
      </c>
      <c r="GC278" s="4">
        <v>5.75</v>
      </c>
      <c r="GD278" s="4">
        <v>5.25</v>
      </c>
      <c r="GE278" s="26"/>
      <c r="GF278" s="26"/>
      <c r="GG278" s="4"/>
      <c r="JH278" s="1"/>
      <c r="JV278" s="1"/>
      <c r="KM278" s="4"/>
      <c r="LA278" s="4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</row>
    <row r="279" spans="1:376" x14ac:dyDescent="0.35">
      <c r="A279" s="14">
        <v>43721</v>
      </c>
      <c r="B279" s="16" t="s">
        <v>158</v>
      </c>
      <c r="C279" s="16" t="s">
        <v>440</v>
      </c>
      <c r="D279" s="1">
        <v>278</v>
      </c>
      <c r="E279" s="1">
        <v>6</v>
      </c>
      <c r="F279" s="1">
        <v>6</v>
      </c>
      <c r="H279" s="1">
        <v>70</v>
      </c>
      <c r="I279" s="1">
        <v>2</v>
      </c>
      <c r="K279" s="18">
        <v>1</v>
      </c>
      <c r="L279" s="18">
        <v>1</v>
      </c>
      <c r="M279" s="18">
        <v>1</v>
      </c>
      <c r="N279" s="18">
        <v>0</v>
      </c>
      <c r="O279" s="18">
        <v>1</v>
      </c>
      <c r="P279" s="4">
        <v>0.8</v>
      </c>
      <c r="Q279" s="3">
        <v>30</v>
      </c>
      <c r="R279" s="1">
        <v>63</v>
      </c>
      <c r="S279" s="1">
        <v>75</v>
      </c>
      <c r="T279" s="1">
        <v>86</v>
      </c>
      <c r="U279" s="1">
        <v>99</v>
      </c>
      <c r="V279" s="1">
        <v>97</v>
      </c>
      <c r="W279" s="1">
        <v>115</v>
      </c>
      <c r="X279" s="1">
        <v>92</v>
      </c>
      <c r="Y279" s="1">
        <v>121</v>
      </c>
      <c r="AI279" s="4"/>
      <c r="AJ279" s="4"/>
      <c r="AK279" s="4"/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9">
        <v>0</v>
      </c>
      <c r="AT279" s="19">
        <v>0</v>
      </c>
      <c r="AU279" s="19">
        <v>0</v>
      </c>
      <c r="AV279" s="19">
        <v>0</v>
      </c>
      <c r="AW279" s="19">
        <v>0</v>
      </c>
      <c r="AX279" s="19"/>
      <c r="AY279"/>
      <c r="AZ279"/>
      <c r="BA279"/>
      <c r="BB279"/>
      <c r="BC279"/>
      <c r="BP279" s="4"/>
      <c r="BQ279" s="4"/>
      <c r="BR279" s="4"/>
      <c r="BS279" s="4"/>
      <c r="BT279" s="4"/>
      <c r="BU279" s="4"/>
      <c r="CI279" s="1">
        <v>7</v>
      </c>
      <c r="CJ279" s="1">
        <v>7</v>
      </c>
      <c r="CK279" s="1">
        <v>7</v>
      </c>
      <c r="CL279" s="1">
        <v>7</v>
      </c>
      <c r="CM279" s="1">
        <v>7</v>
      </c>
      <c r="CN279" s="1">
        <v>7</v>
      </c>
      <c r="CO279" s="1">
        <v>7</v>
      </c>
      <c r="CP279" s="1">
        <v>2</v>
      </c>
      <c r="CQ279" s="1">
        <v>7</v>
      </c>
      <c r="CR279" s="1">
        <v>6</v>
      </c>
      <c r="CS279" s="1">
        <v>6</v>
      </c>
      <c r="CT279" s="1">
        <v>6</v>
      </c>
      <c r="CU279" s="1">
        <v>6</v>
      </c>
      <c r="CV279" s="1">
        <v>6</v>
      </c>
      <c r="CW279" s="1">
        <v>6</v>
      </c>
      <c r="CX279" s="1">
        <v>6</v>
      </c>
      <c r="CY279" s="1">
        <v>6</v>
      </c>
      <c r="CZ279" s="1">
        <v>7</v>
      </c>
      <c r="DA279" s="1">
        <v>7</v>
      </c>
      <c r="DB279" s="1">
        <v>7</v>
      </c>
      <c r="DC279" s="1">
        <v>7</v>
      </c>
      <c r="DD279" s="1">
        <v>7</v>
      </c>
      <c r="DE279" s="1">
        <v>7</v>
      </c>
      <c r="DF279" s="1">
        <v>4</v>
      </c>
      <c r="DG279" s="1">
        <v>4</v>
      </c>
      <c r="DH279" s="1">
        <v>6</v>
      </c>
      <c r="DI279" s="1">
        <v>7</v>
      </c>
      <c r="DJ279" s="1">
        <v>1</v>
      </c>
      <c r="DK279" s="1">
        <v>5</v>
      </c>
      <c r="DL279" s="1">
        <v>7</v>
      </c>
      <c r="DM279" s="19">
        <v>7</v>
      </c>
      <c r="DN279" s="19">
        <v>5</v>
      </c>
      <c r="DO279" s="1">
        <v>6</v>
      </c>
      <c r="DP279" s="1">
        <v>4</v>
      </c>
      <c r="DQ279" s="1">
        <v>7</v>
      </c>
      <c r="DR279" s="1">
        <v>5</v>
      </c>
      <c r="DS279" s="1">
        <v>6</v>
      </c>
      <c r="DT279" s="1">
        <v>7</v>
      </c>
      <c r="DU279" s="27">
        <v>7</v>
      </c>
      <c r="DV279" s="27">
        <v>7</v>
      </c>
      <c r="DW279" s="27">
        <v>6</v>
      </c>
      <c r="DX279" s="27">
        <v>4</v>
      </c>
      <c r="DY279" s="27">
        <v>1</v>
      </c>
      <c r="DZ279" s="27">
        <v>2</v>
      </c>
      <c r="EA279" s="27">
        <v>1</v>
      </c>
      <c r="EB279" s="27">
        <v>5</v>
      </c>
      <c r="EC279" s="27">
        <v>7</v>
      </c>
      <c r="ED279" s="27">
        <v>6</v>
      </c>
      <c r="EE279" s="27">
        <v>7</v>
      </c>
      <c r="EF279" s="27">
        <v>4</v>
      </c>
      <c r="EG279" s="27">
        <v>7</v>
      </c>
      <c r="EH279" s="27">
        <v>7</v>
      </c>
      <c r="EI279" s="27">
        <v>7</v>
      </c>
      <c r="EJ279" s="27">
        <v>7</v>
      </c>
      <c r="EK279" s="27">
        <v>7</v>
      </c>
      <c r="EL279" s="27">
        <v>7</v>
      </c>
      <c r="EM279" s="27">
        <v>1</v>
      </c>
      <c r="EN279" s="27">
        <v>1</v>
      </c>
      <c r="EO279" s="27">
        <v>7</v>
      </c>
      <c r="EP279" s="27">
        <v>7</v>
      </c>
      <c r="EQ279" s="27">
        <v>7</v>
      </c>
      <c r="ER279" s="27">
        <v>7</v>
      </c>
      <c r="ES279" s="27">
        <v>7</v>
      </c>
      <c r="ET279" s="27">
        <v>4</v>
      </c>
      <c r="EU279" s="27">
        <v>5</v>
      </c>
      <c r="EV279" s="27">
        <v>18</v>
      </c>
      <c r="EW279" s="27">
        <v>1</v>
      </c>
      <c r="EY279" s="27">
        <v>1</v>
      </c>
      <c r="FA279" s="27">
        <v>3</v>
      </c>
      <c r="FB279" s="28" t="s">
        <v>846</v>
      </c>
      <c r="FC279" s="27">
        <v>1</v>
      </c>
      <c r="FD279" s="1">
        <v>4</v>
      </c>
      <c r="FE279" s="4"/>
      <c r="FF279" s="4"/>
      <c r="FG279" s="4"/>
      <c r="FH279" s="4"/>
      <c r="FI279" s="4"/>
      <c r="FJ279" s="23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26"/>
      <c r="GF279" s="26"/>
      <c r="GG279" s="4"/>
      <c r="JH279" s="1"/>
      <c r="JV279" s="1"/>
      <c r="KM279" s="4"/>
      <c r="LA279" s="4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</row>
    <row r="280" spans="1:376" x14ac:dyDescent="0.35">
      <c r="A280" s="14">
        <v>43721</v>
      </c>
      <c r="B280" s="16" t="s">
        <v>158</v>
      </c>
      <c r="C280" s="16" t="s">
        <v>441</v>
      </c>
      <c r="D280" s="1">
        <v>279</v>
      </c>
      <c r="E280" s="1">
        <v>6</v>
      </c>
      <c r="F280" s="1">
        <v>6</v>
      </c>
      <c r="H280" s="1">
        <v>70</v>
      </c>
      <c r="I280" s="1">
        <v>3</v>
      </c>
      <c r="K280" s="18">
        <v>0</v>
      </c>
      <c r="L280" s="18">
        <v>1</v>
      </c>
      <c r="M280" s="18">
        <v>1</v>
      </c>
      <c r="N280" s="18">
        <v>1</v>
      </c>
      <c r="O280" s="18">
        <v>0</v>
      </c>
      <c r="P280" s="4">
        <v>0.6</v>
      </c>
      <c r="Q280" s="3">
        <v>85</v>
      </c>
      <c r="R280" s="1">
        <v>63</v>
      </c>
      <c r="S280" s="1">
        <v>65</v>
      </c>
      <c r="T280" s="1">
        <v>86</v>
      </c>
      <c r="U280" s="1">
        <v>108</v>
      </c>
      <c r="V280" s="1">
        <v>106</v>
      </c>
      <c r="W280" s="1">
        <v>81</v>
      </c>
      <c r="X280" s="1">
        <v>102</v>
      </c>
      <c r="Y280" s="1">
        <v>107</v>
      </c>
      <c r="AI280" s="4"/>
      <c r="AJ280" s="4"/>
      <c r="AK280" s="4"/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9">
        <v>2</v>
      </c>
      <c r="AT280" s="19">
        <v>2</v>
      </c>
      <c r="AU280" s="19">
        <v>0</v>
      </c>
      <c r="AV280" s="19">
        <v>2</v>
      </c>
      <c r="AW280" s="19">
        <v>0</v>
      </c>
      <c r="AX280" s="19"/>
      <c r="AY280"/>
      <c r="AZ280"/>
      <c r="BA280"/>
      <c r="BB280"/>
      <c r="BC280"/>
      <c r="BP280" s="4"/>
      <c r="BQ280" s="4"/>
      <c r="BR280" s="4"/>
      <c r="BS280" s="4"/>
      <c r="BT280" s="4"/>
      <c r="BU280" s="4"/>
      <c r="CI280" s="1">
        <v>6</v>
      </c>
      <c r="CJ280" s="1">
        <v>5</v>
      </c>
      <c r="CK280" s="1">
        <v>6</v>
      </c>
      <c r="CL280" s="1">
        <v>6</v>
      </c>
      <c r="CM280" s="1">
        <v>6</v>
      </c>
      <c r="CN280" s="1">
        <v>6</v>
      </c>
      <c r="CO280" s="1">
        <v>5</v>
      </c>
      <c r="CP280" s="1">
        <v>2</v>
      </c>
      <c r="CQ280" s="1">
        <v>6</v>
      </c>
      <c r="CR280" s="1">
        <v>6</v>
      </c>
      <c r="CS280" s="1">
        <v>6</v>
      </c>
      <c r="CT280" s="1">
        <v>6</v>
      </c>
      <c r="CU280" s="1">
        <v>6</v>
      </c>
      <c r="CV280" s="1">
        <v>6</v>
      </c>
      <c r="CW280" s="1">
        <v>2</v>
      </c>
      <c r="CX280" s="1">
        <v>4</v>
      </c>
      <c r="CY280" s="1">
        <v>6</v>
      </c>
      <c r="CZ280" s="1">
        <v>6</v>
      </c>
      <c r="DA280" s="1">
        <v>6</v>
      </c>
      <c r="DB280" s="1">
        <v>6</v>
      </c>
      <c r="DC280" s="1">
        <v>4</v>
      </c>
      <c r="DD280" s="1">
        <v>4</v>
      </c>
      <c r="DE280" s="1">
        <v>6</v>
      </c>
      <c r="DF280" s="1">
        <v>2</v>
      </c>
      <c r="DG280" s="1">
        <v>2</v>
      </c>
      <c r="DH280" s="1">
        <v>2</v>
      </c>
      <c r="DI280" s="1">
        <v>2</v>
      </c>
      <c r="DJ280" s="1">
        <v>2</v>
      </c>
      <c r="DK280" s="1">
        <v>2</v>
      </c>
      <c r="DL280" s="1">
        <v>5</v>
      </c>
      <c r="DM280" s="19">
        <v>6</v>
      </c>
      <c r="DN280" s="19">
        <v>4</v>
      </c>
      <c r="DO280" s="1">
        <v>5</v>
      </c>
      <c r="DP280" s="1">
        <v>5</v>
      </c>
      <c r="DQ280" s="1">
        <v>5</v>
      </c>
      <c r="DR280" s="1">
        <v>5</v>
      </c>
      <c r="DS280" s="1">
        <v>6</v>
      </c>
      <c r="DT280" s="1">
        <v>6</v>
      </c>
      <c r="DU280" s="27">
        <v>7</v>
      </c>
      <c r="DV280" s="27">
        <v>6</v>
      </c>
      <c r="DW280" s="27">
        <v>4</v>
      </c>
      <c r="DX280" s="27">
        <v>4</v>
      </c>
      <c r="DY280" s="27">
        <v>1</v>
      </c>
      <c r="DZ280" s="27">
        <v>2</v>
      </c>
      <c r="EA280" s="27">
        <v>1</v>
      </c>
      <c r="EB280" s="27">
        <v>6</v>
      </c>
      <c r="EC280" s="27">
        <v>4</v>
      </c>
      <c r="ED280" s="27">
        <v>5</v>
      </c>
      <c r="EE280" s="27">
        <v>7</v>
      </c>
      <c r="EF280" s="27">
        <v>7</v>
      </c>
      <c r="EG280" s="27">
        <v>4</v>
      </c>
      <c r="EH280" s="27">
        <v>5</v>
      </c>
      <c r="EI280" s="27">
        <v>6</v>
      </c>
      <c r="EJ280" s="27">
        <v>5</v>
      </c>
      <c r="EK280" s="27">
        <v>4</v>
      </c>
      <c r="EL280" s="27">
        <v>5</v>
      </c>
      <c r="EM280" s="27">
        <v>2</v>
      </c>
      <c r="EN280" s="27">
        <v>2</v>
      </c>
      <c r="EO280" s="27">
        <v>5</v>
      </c>
      <c r="EP280" s="27">
        <v>6</v>
      </c>
      <c r="EQ280" s="27">
        <v>5</v>
      </c>
      <c r="ER280" s="27">
        <v>6</v>
      </c>
      <c r="ES280" s="27">
        <v>4</v>
      </c>
      <c r="ET280" s="27">
        <v>5</v>
      </c>
      <c r="EU280" s="27">
        <v>3</v>
      </c>
      <c r="EV280" s="27">
        <v>18</v>
      </c>
      <c r="EW280" s="27">
        <v>2</v>
      </c>
      <c r="EY280" s="27">
        <v>2</v>
      </c>
      <c r="FA280" s="27">
        <v>1</v>
      </c>
      <c r="FB280" s="28" t="s">
        <v>784</v>
      </c>
      <c r="FC280" s="27">
        <v>1</v>
      </c>
      <c r="FD280" s="1">
        <v>3</v>
      </c>
      <c r="FE280" s="4"/>
      <c r="FF280" s="4"/>
      <c r="FG280" s="4"/>
      <c r="FH280" s="4"/>
      <c r="FI280" s="4"/>
      <c r="FJ280" s="23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26"/>
      <c r="GF280" s="26"/>
      <c r="GG280" s="4"/>
      <c r="JH280" s="1"/>
      <c r="JV280" s="1"/>
      <c r="KM280" s="4"/>
      <c r="LA280" s="4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</row>
    <row r="281" spans="1:376" x14ac:dyDescent="0.35">
      <c r="A281" s="14">
        <v>43721</v>
      </c>
      <c r="B281" s="16" t="s">
        <v>158</v>
      </c>
      <c r="C281" s="16" t="s">
        <v>442</v>
      </c>
      <c r="D281" s="1">
        <v>280</v>
      </c>
      <c r="E281" s="1">
        <v>6</v>
      </c>
      <c r="F281" s="1">
        <v>6</v>
      </c>
      <c r="H281" s="1">
        <v>70</v>
      </c>
      <c r="I281" s="1">
        <v>4</v>
      </c>
      <c r="K281" s="18">
        <v>0</v>
      </c>
      <c r="L281" s="18">
        <v>1</v>
      </c>
      <c r="M281" s="18">
        <v>0</v>
      </c>
      <c r="N281" s="18">
        <v>1</v>
      </c>
      <c r="O281" s="18">
        <v>0</v>
      </c>
      <c r="P281" s="4">
        <v>0.4</v>
      </c>
      <c r="Q281" s="3">
        <v>101</v>
      </c>
      <c r="R281" s="1">
        <v>79</v>
      </c>
      <c r="S281" s="1">
        <v>69</v>
      </c>
      <c r="T281" s="1">
        <v>127</v>
      </c>
      <c r="U281" s="1">
        <v>118</v>
      </c>
      <c r="V281" s="1">
        <v>117</v>
      </c>
      <c r="W281" s="1">
        <v>129</v>
      </c>
      <c r="X281" s="1">
        <v>99</v>
      </c>
      <c r="Y281" s="1">
        <v>113</v>
      </c>
      <c r="AI281" s="4"/>
      <c r="AJ281" s="4"/>
      <c r="AK281" s="4"/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9">
        <v>2</v>
      </c>
      <c r="AT281" s="19">
        <v>2</v>
      </c>
      <c r="AU281" s="19">
        <v>0</v>
      </c>
      <c r="AV281" s="19">
        <v>0</v>
      </c>
      <c r="AW281" s="19">
        <v>0</v>
      </c>
      <c r="AX281" s="19"/>
      <c r="AY281"/>
      <c r="AZ281"/>
      <c r="BA281"/>
      <c r="BB281"/>
      <c r="BC281"/>
      <c r="BP281" s="4"/>
      <c r="BQ281" s="4"/>
      <c r="BR281" s="4"/>
      <c r="BS281" s="4"/>
      <c r="BT281" s="4"/>
      <c r="BU281" s="4"/>
      <c r="CI281" s="1">
        <v>7</v>
      </c>
      <c r="CJ281" s="1">
        <v>7</v>
      </c>
      <c r="CK281" s="1">
        <v>7</v>
      </c>
      <c r="CL281" s="1">
        <v>6</v>
      </c>
      <c r="CM281" s="1">
        <v>6</v>
      </c>
      <c r="CN281" s="1">
        <v>7</v>
      </c>
      <c r="CO281" s="1">
        <v>6</v>
      </c>
      <c r="CP281" s="1">
        <v>1</v>
      </c>
      <c r="CQ281" s="1">
        <v>7</v>
      </c>
      <c r="CR281" s="1">
        <v>7</v>
      </c>
      <c r="CS281" s="1">
        <v>7</v>
      </c>
      <c r="CT281" s="1">
        <v>7</v>
      </c>
      <c r="CU281" s="1">
        <v>6</v>
      </c>
      <c r="CV281" s="1">
        <v>7</v>
      </c>
      <c r="CW281" s="1">
        <v>6</v>
      </c>
      <c r="CX281" s="1">
        <v>7</v>
      </c>
      <c r="CY281" s="1">
        <v>7</v>
      </c>
      <c r="CZ281" s="1">
        <v>7</v>
      </c>
      <c r="DA281" s="1">
        <v>7</v>
      </c>
      <c r="DB281" s="1">
        <v>7</v>
      </c>
      <c r="DC281" s="1">
        <v>6</v>
      </c>
      <c r="DD281" s="1">
        <v>7</v>
      </c>
      <c r="DE281" s="1">
        <v>7</v>
      </c>
      <c r="DF281" s="1">
        <v>6</v>
      </c>
      <c r="DG281" s="1">
        <v>6</v>
      </c>
      <c r="DH281" s="1">
        <v>7</v>
      </c>
      <c r="DI281" s="1">
        <v>7</v>
      </c>
      <c r="DJ281" s="1">
        <v>7</v>
      </c>
      <c r="DK281" s="1">
        <v>6</v>
      </c>
      <c r="DL281" s="1">
        <v>7</v>
      </c>
      <c r="DM281" s="19">
        <v>6</v>
      </c>
      <c r="DN281" s="19">
        <v>6</v>
      </c>
      <c r="DO281" s="1">
        <v>6</v>
      </c>
      <c r="DP281" s="1">
        <v>6</v>
      </c>
      <c r="DQ281" s="1">
        <v>7</v>
      </c>
      <c r="DR281" s="1">
        <v>7</v>
      </c>
      <c r="DS281" s="1">
        <v>7</v>
      </c>
      <c r="DT281" s="1">
        <v>7</v>
      </c>
      <c r="DU281" s="27">
        <v>6</v>
      </c>
      <c r="DV281" s="27">
        <v>7</v>
      </c>
      <c r="DW281" s="27">
        <v>6</v>
      </c>
      <c r="DX281" s="27">
        <v>6</v>
      </c>
      <c r="DY281" s="27">
        <v>5</v>
      </c>
      <c r="DZ281" s="27">
        <v>2</v>
      </c>
      <c r="EA281" s="27">
        <v>5</v>
      </c>
      <c r="EB281" s="27">
        <v>7</v>
      </c>
      <c r="EC281" s="27">
        <v>6</v>
      </c>
      <c r="ED281" s="27">
        <v>7</v>
      </c>
      <c r="EE281" s="27">
        <v>7</v>
      </c>
      <c r="EF281" s="27">
        <v>5</v>
      </c>
      <c r="EG281" s="27">
        <v>7</v>
      </c>
      <c r="EH281" s="27">
        <v>6</v>
      </c>
      <c r="EI281" s="27">
        <v>6</v>
      </c>
      <c r="EJ281" s="27">
        <v>4</v>
      </c>
      <c r="EK281" s="27">
        <v>4</v>
      </c>
      <c r="EL281" s="27">
        <v>4</v>
      </c>
      <c r="EM281" s="27">
        <v>4</v>
      </c>
      <c r="EN281" s="27">
        <v>5</v>
      </c>
      <c r="EO281" s="27">
        <v>4</v>
      </c>
      <c r="EP281" s="27">
        <v>4</v>
      </c>
      <c r="EQ281" s="27">
        <v>6</v>
      </c>
      <c r="ER281" s="27">
        <v>5</v>
      </c>
      <c r="ES281" s="27">
        <v>4</v>
      </c>
      <c r="ET281" s="27">
        <v>6</v>
      </c>
      <c r="EU281" s="27">
        <v>6</v>
      </c>
      <c r="EV281" s="27">
        <v>19</v>
      </c>
      <c r="EW281" s="27">
        <v>2</v>
      </c>
      <c r="EY281" s="27">
        <v>1</v>
      </c>
      <c r="FA281" s="27">
        <v>2</v>
      </c>
      <c r="FB281" s="28" t="s">
        <v>838</v>
      </c>
      <c r="FC281" s="27">
        <v>1</v>
      </c>
      <c r="FD281" s="1">
        <v>1</v>
      </c>
      <c r="FE281" s="4"/>
      <c r="FF281" s="4"/>
      <c r="FG281" s="4"/>
      <c r="FH281" s="4"/>
      <c r="FI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26"/>
      <c r="GF281" s="26"/>
      <c r="GG281" s="4"/>
      <c r="JH281" s="1"/>
      <c r="JV281" s="1"/>
      <c r="KM281" s="4"/>
      <c r="LA281" s="4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</row>
    <row r="282" spans="1:376" x14ac:dyDescent="0.35">
      <c r="A282" s="14">
        <v>43735</v>
      </c>
      <c r="B282" s="16" t="s">
        <v>159</v>
      </c>
      <c r="C282" s="16" t="s">
        <v>443</v>
      </c>
      <c r="D282" s="1">
        <v>281</v>
      </c>
      <c r="E282" s="1">
        <v>6</v>
      </c>
      <c r="F282" s="1">
        <v>6</v>
      </c>
      <c r="G282" s="1">
        <v>1</v>
      </c>
      <c r="H282" s="1">
        <v>71</v>
      </c>
      <c r="I282" s="1">
        <v>1</v>
      </c>
      <c r="J282" s="1">
        <v>1</v>
      </c>
      <c r="K282" s="18">
        <v>1</v>
      </c>
      <c r="L282" s="18">
        <v>1</v>
      </c>
      <c r="M282" s="18">
        <v>1</v>
      </c>
      <c r="N282" s="18">
        <v>1</v>
      </c>
      <c r="O282" s="18">
        <v>0</v>
      </c>
      <c r="P282" s="4">
        <v>0.8</v>
      </c>
      <c r="Q282" s="3">
        <v>32</v>
      </c>
      <c r="R282" s="1">
        <v>46</v>
      </c>
      <c r="S282" s="1">
        <v>39</v>
      </c>
      <c r="T282" s="1">
        <v>88</v>
      </c>
      <c r="U282" s="1">
        <v>112</v>
      </c>
      <c r="V282" s="1">
        <v>117</v>
      </c>
      <c r="W282" s="1">
        <v>103</v>
      </c>
      <c r="X282" s="1">
        <v>97</v>
      </c>
      <c r="Y282" s="1">
        <v>107</v>
      </c>
      <c r="Z282" s="1">
        <v>242</v>
      </c>
      <c r="AA282" s="1">
        <v>209</v>
      </c>
      <c r="AB282" s="1">
        <v>208</v>
      </c>
      <c r="AC282" s="1">
        <v>327</v>
      </c>
      <c r="AD282" s="1">
        <v>404</v>
      </c>
      <c r="AE282" s="1">
        <v>409</v>
      </c>
      <c r="AF282" s="1">
        <v>455</v>
      </c>
      <c r="AG282" s="1">
        <v>478</v>
      </c>
      <c r="AH282" s="1">
        <v>475</v>
      </c>
      <c r="AI282" s="4">
        <v>219.67</v>
      </c>
      <c r="AJ282" s="4">
        <v>380</v>
      </c>
      <c r="AK282" s="4">
        <v>469.33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9">
        <v>0</v>
      </c>
      <c r="AT282" s="19">
        <v>0</v>
      </c>
      <c r="AU282" s="19">
        <v>0</v>
      </c>
      <c r="AV282" s="19">
        <v>0</v>
      </c>
      <c r="AW282" s="19">
        <v>0</v>
      </c>
      <c r="AX282" s="19">
        <f t="shared" ref="AX282:BC282" si="140">AL282+AL283+AL284+AL285</f>
        <v>0</v>
      </c>
      <c r="AY282" s="19">
        <f t="shared" si="140"/>
        <v>0</v>
      </c>
      <c r="AZ282" s="19">
        <f t="shared" si="140"/>
        <v>0</v>
      </c>
      <c r="BA282" s="19">
        <f t="shared" si="140"/>
        <v>0</v>
      </c>
      <c r="BB282" s="19">
        <f t="shared" si="140"/>
        <v>0</v>
      </c>
      <c r="BC282" s="19">
        <f t="shared" si="140"/>
        <v>0</v>
      </c>
      <c r="BD282" s="1">
        <f>AX282*3</f>
        <v>0</v>
      </c>
      <c r="BE282" s="1">
        <f t="shared" ref="BE282:BI282" si="141">AY282*3</f>
        <v>0</v>
      </c>
      <c r="BF282" s="1">
        <f t="shared" si="141"/>
        <v>0</v>
      </c>
      <c r="BG282" s="1">
        <f t="shared" si="141"/>
        <v>0</v>
      </c>
      <c r="BH282" s="1">
        <f t="shared" si="141"/>
        <v>0</v>
      </c>
      <c r="BI282" s="1">
        <f t="shared" si="141"/>
        <v>0</v>
      </c>
      <c r="BJ282" s="1">
        <f>AX282+AY282+AZ282</f>
        <v>0</v>
      </c>
      <c r="BK282" s="1">
        <f>BA282+BB282+BC282</f>
        <v>0</v>
      </c>
      <c r="BL282" s="1">
        <f>BJ282*3</f>
        <v>0</v>
      </c>
      <c r="BM282" s="1">
        <f>BK282*3</f>
        <v>0</v>
      </c>
      <c r="BN282" s="1">
        <f>BL282/3</f>
        <v>0</v>
      </c>
      <c r="BO282" s="1">
        <f>BM282/3</f>
        <v>0</v>
      </c>
      <c r="BP282" s="4">
        <v>219.66666666666666</v>
      </c>
      <c r="BQ282" s="4">
        <v>380</v>
      </c>
      <c r="BR282" s="4">
        <v>469.33333333333331</v>
      </c>
      <c r="BS282" s="4">
        <v>380</v>
      </c>
      <c r="BT282" s="4">
        <v>469.33</v>
      </c>
      <c r="BU282" s="4">
        <v>4</v>
      </c>
      <c r="BV282" s="1">
        <v>2</v>
      </c>
      <c r="BW282" s="1">
        <v>2</v>
      </c>
      <c r="BX282" s="1">
        <v>2</v>
      </c>
      <c r="BY282" s="1">
        <v>2</v>
      </c>
      <c r="BZ282" s="1">
        <v>2</v>
      </c>
      <c r="CA282" s="1">
        <v>2</v>
      </c>
      <c r="CB282" s="1">
        <v>2</v>
      </c>
      <c r="CC282" s="1">
        <v>2</v>
      </c>
      <c r="CD282" s="1">
        <v>2</v>
      </c>
      <c r="CE282" s="1">
        <v>2</v>
      </c>
      <c r="CF282" s="1">
        <v>2</v>
      </c>
      <c r="CG282" s="1">
        <v>2</v>
      </c>
      <c r="CH282" s="1">
        <v>1</v>
      </c>
      <c r="CI282" s="1">
        <v>6</v>
      </c>
      <c r="CJ282" s="1">
        <v>6</v>
      </c>
      <c r="CK282" s="1">
        <v>6</v>
      </c>
      <c r="CL282" s="1">
        <v>6</v>
      </c>
      <c r="CM282" s="1">
        <v>5</v>
      </c>
      <c r="CN282" s="1">
        <v>6</v>
      </c>
      <c r="CO282" s="1">
        <v>6</v>
      </c>
      <c r="CP282" s="1">
        <v>2</v>
      </c>
      <c r="CQ282" s="1">
        <v>6</v>
      </c>
      <c r="CR282" s="1">
        <v>6</v>
      </c>
      <c r="CS282" s="1">
        <v>6</v>
      </c>
      <c r="CT282" s="1">
        <v>6</v>
      </c>
      <c r="CU282" s="1">
        <v>6</v>
      </c>
      <c r="CV282" s="1">
        <v>6</v>
      </c>
      <c r="CW282" s="1">
        <v>6</v>
      </c>
      <c r="CX282" s="1">
        <v>6</v>
      </c>
      <c r="CY282" s="1">
        <v>5</v>
      </c>
      <c r="CZ282" s="1">
        <v>7</v>
      </c>
      <c r="DA282" s="1">
        <v>7</v>
      </c>
      <c r="DB282" s="1">
        <v>7</v>
      </c>
      <c r="DC282" s="1">
        <v>6</v>
      </c>
      <c r="DD282" s="1">
        <v>7</v>
      </c>
      <c r="DE282" s="1">
        <v>7</v>
      </c>
      <c r="DF282" s="1">
        <v>2</v>
      </c>
      <c r="DG282" s="1">
        <v>2</v>
      </c>
      <c r="DH282" s="1">
        <v>2</v>
      </c>
      <c r="DI282" s="1">
        <v>2</v>
      </c>
      <c r="DJ282" s="1">
        <v>2</v>
      </c>
      <c r="DK282" s="1">
        <v>2</v>
      </c>
      <c r="DL282" s="1">
        <v>7</v>
      </c>
      <c r="DM282" s="19">
        <v>7</v>
      </c>
      <c r="DN282" s="19">
        <v>5</v>
      </c>
      <c r="DO282" s="1">
        <v>3</v>
      </c>
      <c r="DP282" s="1">
        <v>5</v>
      </c>
      <c r="DQ282" s="1">
        <v>6</v>
      </c>
      <c r="DR282" s="1">
        <v>3</v>
      </c>
      <c r="DS282" s="1">
        <v>6</v>
      </c>
      <c r="DT282" s="1">
        <v>6</v>
      </c>
      <c r="DU282" s="27">
        <v>6</v>
      </c>
      <c r="DV282" s="27">
        <v>5</v>
      </c>
      <c r="DW282" s="27">
        <v>2</v>
      </c>
      <c r="DX282" s="27">
        <v>6</v>
      </c>
      <c r="DY282" s="27">
        <v>5</v>
      </c>
      <c r="DZ282" s="27">
        <v>5</v>
      </c>
      <c r="EA282" s="27">
        <v>2</v>
      </c>
      <c r="EB282" s="27">
        <v>3</v>
      </c>
      <c r="EC282" s="27">
        <v>6</v>
      </c>
      <c r="ED282" s="27">
        <v>3</v>
      </c>
      <c r="EE282" s="27">
        <v>5</v>
      </c>
      <c r="EF282" s="27">
        <v>2</v>
      </c>
      <c r="EG282" s="27">
        <v>7</v>
      </c>
      <c r="EH282" s="27">
        <v>6</v>
      </c>
      <c r="EI282" s="27">
        <v>6</v>
      </c>
      <c r="EJ282" s="27">
        <v>6</v>
      </c>
      <c r="EK282" s="27">
        <v>7</v>
      </c>
      <c r="EL282" s="27">
        <v>6</v>
      </c>
      <c r="EM282" s="27">
        <v>2</v>
      </c>
      <c r="EN282" s="27">
        <v>2</v>
      </c>
      <c r="EO282" s="27">
        <v>6</v>
      </c>
      <c r="EP282" s="27">
        <v>6</v>
      </c>
      <c r="EQ282" s="27">
        <v>6</v>
      </c>
      <c r="ER282" s="27">
        <v>6</v>
      </c>
      <c r="ES282" s="27">
        <v>6</v>
      </c>
      <c r="ET282" s="27">
        <v>4</v>
      </c>
      <c r="EU282" s="27">
        <v>4</v>
      </c>
      <c r="EV282" s="27">
        <v>18</v>
      </c>
      <c r="EW282" s="27">
        <v>2</v>
      </c>
      <c r="EY282" s="27">
        <v>1</v>
      </c>
      <c r="FA282" s="27">
        <v>1</v>
      </c>
      <c r="FB282" s="28" t="s">
        <v>951</v>
      </c>
      <c r="FC282" s="27">
        <v>1</v>
      </c>
      <c r="FD282" s="1">
        <v>6</v>
      </c>
      <c r="FE282" s="4">
        <v>6.29</v>
      </c>
      <c r="FF282" s="4">
        <v>5.44</v>
      </c>
      <c r="FG282" s="4">
        <v>7.25</v>
      </c>
      <c r="FH282" s="4">
        <v>6.5</v>
      </c>
      <c r="FI282" s="4">
        <v>6.13</v>
      </c>
      <c r="FJ282" s="23">
        <v>6.75</v>
      </c>
      <c r="FK282" s="4">
        <v>3.92</v>
      </c>
      <c r="FL282" s="4">
        <v>6.63</v>
      </c>
      <c r="FM282" s="4">
        <v>5.38</v>
      </c>
      <c r="FN282" s="4">
        <v>5.38</v>
      </c>
      <c r="FO282" s="4">
        <v>5.33</v>
      </c>
      <c r="FP282" s="4">
        <v>4.67</v>
      </c>
      <c r="FQ282" s="4">
        <v>5.25</v>
      </c>
      <c r="FR282" s="4">
        <v>2</v>
      </c>
      <c r="FS282" s="4">
        <v>4.75</v>
      </c>
      <c r="FT282" s="4">
        <v>5.5</v>
      </c>
      <c r="FU282" s="4">
        <v>3.75</v>
      </c>
      <c r="FV282" s="4">
        <v>4.75</v>
      </c>
      <c r="FW282" s="4">
        <v>4.25</v>
      </c>
      <c r="FX282" s="4">
        <v>4.75</v>
      </c>
      <c r="FY282" s="4">
        <v>6.25</v>
      </c>
      <c r="FZ282" s="4">
        <v>5.25</v>
      </c>
      <c r="GA282" s="4">
        <v>2.38</v>
      </c>
      <c r="GB282" s="4">
        <v>5.58</v>
      </c>
      <c r="GC282" s="4">
        <v>5.5</v>
      </c>
      <c r="GD282" s="4">
        <v>5.13</v>
      </c>
      <c r="GE282" s="26"/>
      <c r="GF282" s="26"/>
      <c r="GG282" s="4"/>
      <c r="JH282" s="1"/>
      <c r="JV282" s="1"/>
      <c r="KM282" s="4"/>
      <c r="LA282" s="4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</row>
    <row r="283" spans="1:376" x14ac:dyDescent="0.35">
      <c r="A283" s="14">
        <v>43735</v>
      </c>
      <c r="B283" s="16" t="s">
        <v>159</v>
      </c>
      <c r="C283" s="16" t="s">
        <v>444</v>
      </c>
      <c r="D283" s="1">
        <v>282</v>
      </c>
      <c r="E283" s="1">
        <v>6</v>
      </c>
      <c r="F283" s="1">
        <v>6</v>
      </c>
      <c r="H283" s="1">
        <v>71</v>
      </c>
      <c r="I283" s="1">
        <v>2</v>
      </c>
      <c r="K283" s="18">
        <v>0</v>
      </c>
      <c r="L283" s="18">
        <v>1</v>
      </c>
      <c r="M283" s="18">
        <v>1</v>
      </c>
      <c r="N283" s="18">
        <v>1</v>
      </c>
      <c r="O283" s="18">
        <v>1</v>
      </c>
      <c r="P283" s="4">
        <v>0.8</v>
      </c>
      <c r="Q283" s="3">
        <v>79</v>
      </c>
      <c r="R283" s="1">
        <v>57</v>
      </c>
      <c r="S283" s="1">
        <v>53</v>
      </c>
      <c r="T283" s="1">
        <v>62</v>
      </c>
      <c r="U283" s="1">
        <v>88</v>
      </c>
      <c r="V283" s="1">
        <v>96</v>
      </c>
      <c r="W283" s="1">
        <v>120</v>
      </c>
      <c r="X283" s="1">
        <v>125</v>
      </c>
      <c r="Y283" s="1">
        <v>108</v>
      </c>
      <c r="AI283" s="4"/>
      <c r="AJ283" s="4"/>
      <c r="AK283" s="4"/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9">
        <v>0</v>
      </c>
      <c r="AT283" s="19">
        <v>0</v>
      </c>
      <c r="AU283" s="19">
        <v>0</v>
      </c>
      <c r="AV283" s="19">
        <v>0</v>
      </c>
      <c r="AW283" s="19">
        <v>0</v>
      </c>
      <c r="AX283" s="19"/>
      <c r="AY283"/>
      <c r="AZ283"/>
      <c r="BA283"/>
      <c r="BB283"/>
      <c r="BC283"/>
      <c r="BP283" s="4"/>
      <c r="BQ283" s="4"/>
      <c r="BR283" s="4"/>
      <c r="BS283" s="4"/>
      <c r="BT283" s="4"/>
      <c r="BU283" s="4"/>
      <c r="CI283" s="1">
        <v>7</v>
      </c>
      <c r="CJ283" s="1">
        <v>7</v>
      </c>
      <c r="CK283" s="1">
        <v>7</v>
      </c>
      <c r="CL283" s="1">
        <v>7</v>
      </c>
      <c r="CM283" s="1">
        <v>7</v>
      </c>
      <c r="CN283" s="1">
        <v>7</v>
      </c>
      <c r="CO283" s="1">
        <v>7</v>
      </c>
      <c r="CP283" s="1">
        <v>2</v>
      </c>
      <c r="CQ283" s="1">
        <v>6</v>
      </c>
      <c r="CR283" s="1">
        <v>6</v>
      </c>
      <c r="CS283" s="1">
        <v>6</v>
      </c>
      <c r="CT283" s="1">
        <v>6</v>
      </c>
      <c r="CU283" s="1">
        <v>6</v>
      </c>
      <c r="CV283" s="1">
        <v>6</v>
      </c>
      <c r="CW283" s="1">
        <v>6</v>
      </c>
      <c r="CX283" s="1">
        <v>6</v>
      </c>
      <c r="CY283" s="1">
        <v>6</v>
      </c>
      <c r="CZ283" s="1">
        <v>6</v>
      </c>
      <c r="DA283" s="1">
        <v>6</v>
      </c>
      <c r="DB283" s="1">
        <v>6</v>
      </c>
      <c r="DC283" s="1">
        <v>6</v>
      </c>
      <c r="DD283" s="1">
        <v>6</v>
      </c>
      <c r="DE283" s="1">
        <v>7</v>
      </c>
      <c r="DF283" s="1">
        <v>2</v>
      </c>
      <c r="DG283" s="1">
        <v>1</v>
      </c>
      <c r="DH283" s="1">
        <v>2</v>
      </c>
      <c r="DI283" s="1">
        <v>2</v>
      </c>
      <c r="DJ283" s="1">
        <v>2</v>
      </c>
      <c r="DK283" s="1">
        <v>1</v>
      </c>
      <c r="DL283" s="1">
        <v>7</v>
      </c>
      <c r="DM283" s="19">
        <v>7</v>
      </c>
      <c r="DN283" s="19">
        <v>7</v>
      </c>
      <c r="DO283" s="1">
        <v>6</v>
      </c>
      <c r="DP283" s="1">
        <v>5</v>
      </c>
      <c r="DQ283" s="1">
        <v>4</v>
      </c>
      <c r="DR283" s="1">
        <v>3</v>
      </c>
      <c r="DS283" s="1">
        <v>7</v>
      </c>
      <c r="DT283" s="1">
        <v>6</v>
      </c>
      <c r="DU283" s="27">
        <v>7</v>
      </c>
      <c r="DV283" s="27">
        <v>6</v>
      </c>
      <c r="DW283" s="27">
        <v>2</v>
      </c>
      <c r="DX283" s="27">
        <v>6</v>
      </c>
      <c r="DY283" s="27">
        <v>6</v>
      </c>
      <c r="DZ283" s="27">
        <v>6</v>
      </c>
      <c r="EA283" s="27">
        <v>1</v>
      </c>
      <c r="EB283" s="27">
        <v>6</v>
      </c>
      <c r="EC283" s="27">
        <v>6</v>
      </c>
      <c r="ED283" s="27">
        <v>2</v>
      </c>
      <c r="EE283" s="27">
        <v>6</v>
      </c>
      <c r="EF283" s="27">
        <v>6</v>
      </c>
      <c r="EG283" s="27">
        <v>4</v>
      </c>
      <c r="EH283" s="27">
        <v>6</v>
      </c>
      <c r="EI283" s="27">
        <v>6</v>
      </c>
      <c r="EJ283" s="27">
        <v>7</v>
      </c>
      <c r="EK283" s="27">
        <v>6</v>
      </c>
      <c r="EL283" s="27">
        <v>6</v>
      </c>
      <c r="EM283" s="27">
        <v>2</v>
      </c>
      <c r="EN283" s="27">
        <v>2</v>
      </c>
      <c r="EO283" s="27">
        <v>6</v>
      </c>
      <c r="EP283" s="27">
        <v>6</v>
      </c>
      <c r="EQ283" s="27">
        <v>6</v>
      </c>
      <c r="ER283" s="27">
        <v>6</v>
      </c>
      <c r="ES283" s="27">
        <v>6</v>
      </c>
      <c r="ET283" s="27">
        <v>7</v>
      </c>
      <c r="EU283" s="27">
        <v>7</v>
      </c>
      <c r="EV283" s="27">
        <v>20</v>
      </c>
      <c r="EW283" s="27">
        <v>2</v>
      </c>
      <c r="EY283" s="27">
        <v>3</v>
      </c>
      <c r="FA283" s="27">
        <v>3</v>
      </c>
      <c r="FB283" s="28" t="s">
        <v>952</v>
      </c>
      <c r="FC283" s="27">
        <v>1</v>
      </c>
      <c r="FD283" s="1">
        <v>1</v>
      </c>
      <c r="FE283" s="4"/>
      <c r="FF283" s="4"/>
      <c r="FG283" s="4"/>
      <c r="FH283" s="4"/>
      <c r="FI283" s="4"/>
      <c r="FJ283" s="23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26"/>
      <c r="GF283" s="26"/>
      <c r="GG283" s="4"/>
      <c r="JH283" s="1"/>
      <c r="JV283" s="1"/>
      <c r="KM283" s="4"/>
      <c r="LA283" s="4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</row>
    <row r="284" spans="1:376" x14ac:dyDescent="0.35">
      <c r="A284" s="14">
        <v>43735</v>
      </c>
      <c r="B284" s="16" t="s">
        <v>159</v>
      </c>
      <c r="C284" s="16" t="s">
        <v>445</v>
      </c>
      <c r="D284" s="1">
        <v>283</v>
      </c>
      <c r="E284" s="1">
        <v>6</v>
      </c>
      <c r="F284" s="1">
        <v>6</v>
      </c>
      <c r="H284" s="1">
        <v>71</v>
      </c>
      <c r="I284" s="1">
        <v>3</v>
      </c>
      <c r="K284" s="18">
        <v>0</v>
      </c>
      <c r="L284" s="18">
        <v>1</v>
      </c>
      <c r="M284" s="18">
        <v>1</v>
      </c>
      <c r="N284" s="18">
        <v>0</v>
      </c>
      <c r="O284" s="18">
        <v>0</v>
      </c>
      <c r="P284" s="4">
        <v>0.4</v>
      </c>
      <c r="Q284" s="3">
        <v>85</v>
      </c>
      <c r="R284" s="1">
        <v>64</v>
      </c>
      <c r="S284" s="1">
        <v>59</v>
      </c>
      <c r="T284" s="1">
        <v>120</v>
      </c>
      <c r="U284" s="1">
        <v>101</v>
      </c>
      <c r="V284" s="1">
        <v>86</v>
      </c>
      <c r="W284" s="1">
        <v>120</v>
      </c>
      <c r="X284" s="1">
        <v>122</v>
      </c>
      <c r="Y284" s="1">
        <v>119</v>
      </c>
      <c r="AI284" s="4"/>
      <c r="AJ284" s="4"/>
      <c r="AK284" s="4"/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9">
        <v>0</v>
      </c>
      <c r="AT284" s="19">
        <v>0</v>
      </c>
      <c r="AU284" s="19">
        <v>0</v>
      </c>
      <c r="AV284" s="19">
        <v>0</v>
      </c>
      <c r="AW284" s="19">
        <v>0</v>
      </c>
      <c r="AX284" s="19"/>
      <c r="AY284"/>
      <c r="AZ284"/>
      <c r="BA284"/>
      <c r="BB284"/>
      <c r="BC284"/>
      <c r="BP284" s="4"/>
      <c r="BQ284" s="4"/>
      <c r="BR284" s="4"/>
      <c r="BS284" s="4"/>
      <c r="BT284" s="4"/>
      <c r="BU284" s="4"/>
      <c r="CI284" s="1">
        <v>7</v>
      </c>
      <c r="CJ284" s="1">
        <v>7</v>
      </c>
      <c r="CK284" s="1">
        <v>7</v>
      </c>
      <c r="CL284" s="1">
        <v>6</v>
      </c>
      <c r="CM284" s="1">
        <v>6</v>
      </c>
      <c r="CN284" s="1">
        <v>6</v>
      </c>
      <c r="CO284" s="1">
        <v>6</v>
      </c>
      <c r="CP284" s="1">
        <v>6</v>
      </c>
      <c r="CQ284" s="1">
        <v>6</v>
      </c>
      <c r="CR284" s="1">
        <v>6</v>
      </c>
      <c r="CS284" s="1">
        <v>5</v>
      </c>
      <c r="CT284" s="1">
        <v>2</v>
      </c>
      <c r="CU284" s="1">
        <v>6</v>
      </c>
      <c r="CV284" s="1">
        <v>6</v>
      </c>
      <c r="CW284" s="1">
        <v>5</v>
      </c>
      <c r="CX284" s="1">
        <v>6</v>
      </c>
      <c r="CY284" s="1">
        <v>5</v>
      </c>
      <c r="CZ284" s="1">
        <v>7</v>
      </c>
      <c r="DA284" s="1">
        <v>7</v>
      </c>
      <c r="DB284" s="1">
        <v>7</v>
      </c>
      <c r="DC284" s="1">
        <v>7</v>
      </c>
      <c r="DD284" s="1">
        <v>5</v>
      </c>
      <c r="DE284" s="1">
        <v>7</v>
      </c>
      <c r="DF284" s="1">
        <v>7</v>
      </c>
      <c r="DG284" s="1">
        <v>7</v>
      </c>
      <c r="DH284" s="1">
        <v>6</v>
      </c>
      <c r="DI284" s="1">
        <v>7</v>
      </c>
      <c r="DJ284" s="1">
        <v>6</v>
      </c>
      <c r="DK284" s="1">
        <v>6</v>
      </c>
      <c r="DL284" s="1">
        <v>7</v>
      </c>
      <c r="DM284" s="19">
        <v>6</v>
      </c>
      <c r="DN284" s="19">
        <v>5</v>
      </c>
      <c r="DO284" s="1">
        <v>5</v>
      </c>
      <c r="DP284" s="1">
        <v>5</v>
      </c>
      <c r="DQ284" s="1">
        <v>6</v>
      </c>
      <c r="DR284" s="1">
        <v>7</v>
      </c>
      <c r="DS284" s="1">
        <v>6</v>
      </c>
      <c r="DT284" s="1">
        <v>6</v>
      </c>
      <c r="DU284" s="27">
        <v>5</v>
      </c>
      <c r="DV284" s="27">
        <v>4</v>
      </c>
      <c r="DW284" s="27">
        <v>5</v>
      </c>
      <c r="DX284" s="27">
        <v>4</v>
      </c>
      <c r="DY284" s="27">
        <v>4</v>
      </c>
      <c r="DZ284" s="27">
        <v>4</v>
      </c>
      <c r="EA284" s="27">
        <v>3</v>
      </c>
      <c r="EB284" s="27">
        <v>4</v>
      </c>
      <c r="EC284" s="27">
        <v>4</v>
      </c>
      <c r="ED284" s="27">
        <v>4</v>
      </c>
      <c r="EE284" s="27">
        <v>3</v>
      </c>
      <c r="EF284" s="27">
        <v>4</v>
      </c>
      <c r="EG284" s="27">
        <v>3</v>
      </c>
      <c r="EH284" s="27">
        <v>7</v>
      </c>
      <c r="EI284" s="27">
        <v>7</v>
      </c>
      <c r="EJ284" s="27">
        <v>4</v>
      </c>
      <c r="EK284" s="27">
        <v>3</v>
      </c>
      <c r="EL284" s="27">
        <v>5</v>
      </c>
      <c r="EM284" s="27">
        <v>3</v>
      </c>
      <c r="EN284" s="27">
        <v>4</v>
      </c>
      <c r="EO284" s="27">
        <v>6</v>
      </c>
      <c r="EP284" s="27">
        <v>6</v>
      </c>
      <c r="EQ284" s="27">
        <v>5</v>
      </c>
      <c r="ER284" s="27">
        <v>4</v>
      </c>
      <c r="ES284" s="27">
        <v>3</v>
      </c>
      <c r="ET284" s="27">
        <v>6</v>
      </c>
      <c r="EU284" s="27">
        <v>5</v>
      </c>
      <c r="EV284" s="27">
        <v>22</v>
      </c>
      <c r="EW284" s="27">
        <v>1</v>
      </c>
      <c r="EY284" s="27">
        <v>3</v>
      </c>
      <c r="FA284" s="27">
        <v>2</v>
      </c>
      <c r="FB284" s="28" t="s">
        <v>953</v>
      </c>
      <c r="FC284" s="27">
        <v>1</v>
      </c>
      <c r="FD284" s="1">
        <v>3</v>
      </c>
      <c r="FE284" s="4"/>
      <c r="FF284" s="4"/>
      <c r="FG284" s="4"/>
      <c r="FH284" s="4"/>
      <c r="FI284" s="4"/>
      <c r="FJ284" s="23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26"/>
      <c r="GF284" s="26"/>
      <c r="GG284" s="4"/>
      <c r="JH284" s="1"/>
      <c r="JV284" s="1"/>
      <c r="KM284" s="4"/>
      <c r="LA284" s="4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</row>
    <row r="285" spans="1:376" x14ac:dyDescent="0.35">
      <c r="A285" s="14">
        <v>43735</v>
      </c>
      <c r="B285" s="16" t="s">
        <v>159</v>
      </c>
      <c r="C285" s="16" t="s">
        <v>446</v>
      </c>
      <c r="D285" s="1">
        <v>284</v>
      </c>
      <c r="E285" s="1">
        <v>6</v>
      </c>
      <c r="F285" s="1">
        <v>6</v>
      </c>
      <c r="H285" s="1">
        <v>71</v>
      </c>
      <c r="I285" s="1">
        <v>4</v>
      </c>
      <c r="K285" s="18">
        <v>1</v>
      </c>
      <c r="L285" s="18">
        <v>1</v>
      </c>
      <c r="M285" s="18">
        <v>1</v>
      </c>
      <c r="N285" s="18">
        <v>1</v>
      </c>
      <c r="O285" s="18">
        <v>1</v>
      </c>
      <c r="P285" s="4">
        <v>1</v>
      </c>
      <c r="Q285" s="3">
        <v>46</v>
      </c>
      <c r="R285" s="1">
        <v>42</v>
      </c>
      <c r="S285" s="1">
        <v>57</v>
      </c>
      <c r="T285" s="1">
        <v>57</v>
      </c>
      <c r="U285" s="1">
        <v>103</v>
      </c>
      <c r="V285" s="1">
        <v>110</v>
      </c>
      <c r="W285" s="1">
        <v>112</v>
      </c>
      <c r="X285" s="1">
        <v>134</v>
      </c>
      <c r="Y285" s="1">
        <v>141</v>
      </c>
      <c r="AI285" s="4"/>
      <c r="AJ285" s="4"/>
      <c r="AK285" s="4"/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9">
        <v>0</v>
      </c>
      <c r="AT285" s="19">
        <v>0</v>
      </c>
      <c r="AU285" s="19">
        <v>0</v>
      </c>
      <c r="AV285" s="19">
        <v>0</v>
      </c>
      <c r="AW285" s="19">
        <v>0</v>
      </c>
      <c r="AX285" s="19"/>
      <c r="AY285"/>
      <c r="AZ285"/>
      <c r="BA285"/>
      <c r="BB285"/>
      <c r="BC285"/>
      <c r="BP285" s="4"/>
      <c r="BQ285" s="4"/>
      <c r="BR285" s="4"/>
      <c r="BS285" s="4"/>
      <c r="BT285" s="4"/>
      <c r="BU285" s="4"/>
      <c r="CI285" s="1">
        <v>6</v>
      </c>
      <c r="CJ285" s="1">
        <v>6</v>
      </c>
      <c r="CK285" s="1">
        <v>5</v>
      </c>
      <c r="CL285" s="1">
        <v>6</v>
      </c>
      <c r="CM285" s="1">
        <v>6</v>
      </c>
      <c r="CN285" s="1">
        <v>6</v>
      </c>
      <c r="CO285" s="1">
        <v>6</v>
      </c>
      <c r="CP285" s="1">
        <v>3</v>
      </c>
      <c r="CQ285" s="1">
        <v>5</v>
      </c>
      <c r="CR285" s="1">
        <v>5</v>
      </c>
      <c r="CS285" s="1">
        <v>5</v>
      </c>
      <c r="CT285" s="1">
        <v>5</v>
      </c>
      <c r="CU285" s="1">
        <v>6</v>
      </c>
      <c r="CV285" s="1">
        <v>6</v>
      </c>
      <c r="CW285" s="1">
        <v>6</v>
      </c>
      <c r="CX285" s="1">
        <v>5</v>
      </c>
      <c r="CY285" s="1">
        <v>6</v>
      </c>
      <c r="CZ285" s="1">
        <v>6</v>
      </c>
      <c r="DA285" s="1">
        <v>6</v>
      </c>
      <c r="DB285" s="1">
        <v>6</v>
      </c>
      <c r="DC285" s="1">
        <v>6</v>
      </c>
      <c r="DD285" s="1">
        <v>6</v>
      </c>
      <c r="DE285" s="1">
        <v>6</v>
      </c>
      <c r="DF285" s="1">
        <v>6</v>
      </c>
      <c r="DG285" s="1">
        <v>5</v>
      </c>
      <c r="DH285" s="1">
        <v>6</v>
      </c>
      <c r="DI285" s="1">
        <v>6</v>
      </c>
      <c r="DJ285" s="1">
        <v>5</v>
      </c>
      <c r="DK285" s="1">
        <v>5</v>
      </c>
      <c r="DL285" s="1">
        <v>7</v>
      </c>
      <c r="DM285" s="19">
        <v>5</v>
      </c>
      <c r="DN285" s="19">
        <v>6</v>
      </c>
      <c r="DO285" s="1">
        <v>6</v>
      </c>
      <c r="DP285" s="1">
        <v>6</v>
      </c>
      <c r="DQ285" s="1">
        <v>6</v>
      </c>
      <c r="DR285" s="1">
        <v>4</v>
      </c>
      <c r="DS285" s="1">
        <v>5</v>
      </c>
      <c r="DT285" s="1">
        <v>5</v>
      </c>
      <c r="DU285" s="27">
        <v>6</v>
      </c>
      <c r="DV285" s="27">
        <v>5</v>
      </c>
      <c r="DW285" s="27">
        <v>3</v>
      </c>
      <c r="DX285" s="27">
        <v>6</v>
      </c>
      <c r="DY285" s="27">
        <v>5</v>
      </c>
      <c r="DZ285" s="27">
        <v>5</v>
      </c>
      <c r="EA285" s="27">
        <v>2</v>
      </c>
      <c r="EB285" s="27">
        <v>6</v>
      </c>
      <c r="EC285" s="27">
        <v>6</v>
      </c>
      <c r="ED285" s="27">
        <v>6</v>
      </c>
      <c r="EE285" s="27">
        <v>5</v>
      </c>
      <c r="EF285" s="27">
        <v>5</v>
      </c>
      <c r="EG285" s="27">
        <v>5</v>
      </c>
      <c r="EH285" s="27">
        <v>6</v>
      </c>
      <c r="EI285" s="27">
        <v>6</v>
      </c>
      <c r="EJ285" s="27">
        <v>5</v>
      </c>
      <c r="EK285" s="27">
        <v>4</v>
      </c>
      <c r="EL285" s="27">
        <v>4</v>
      </c>
      <c r="EM285" s="27">
        <v>2</v>
      </c>
      <c r="EN285" s="27">
        <v>2</v>
      </c>
      <c r="EO285" s="27">
        <v>5</v>
      </c>
      <c r="EP285" s="27">
        <v>5</v>
      </c>
      <c r="EQ285" s="27">
        <v>4</v>
      </c>
      <c r="ER285" s="27">
        <v>6</v>
      </c>
      <c r="ES285" s="27">
        <v>7</v>
      </c>
      <c r="ET285" s="27">
        <v>4</v>
      </c>
      <c r="EU285" s="27">
        <v>4</v>
      </c>
      <c r="EV285" s="27">
        <v>18</v>
      </c>
      <c r="EW285" s="27">
        <v>2</v>
      </c>
      <c r="EY285" s="27">
        <v>1</v>
      </c>
      <c r="FA285" s="27">
        <v>1</v>
      </c>
      <c r="FB285" s="28" t="s">
        <v>954</v>
      </c>
      <c r="FC285" s="27">
        <v>0</v>
      </c>
      <c r="FD285" s="1">
        <v>5</v>
      </c>
      <c r="FE285" s="4"/>
      <c r="FF285" s="4"/>
      <c r="FG285" s="4"/>
      <c r="FH285" s="4"/>
      <c r="FI285" s="4"/>
      <c r="FJ285" s="23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26"/>
      <c r="GF285" s="26"/>
      <c r="GG285" s="4"/>
      <c r="JH285" s="1"/>
      <c r="JV285" s="1"/>
      <c r="KM285" s="4"/>
      <c r="LA285" s="4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</row>
    <row r="286" spans="1:376" x14ac:dyDescent="0.35">
      <c r="A286" s="14">
        <v>43735</v>
      </c>
      <c r="B286" s="16" t="s">
        <v>160</v>
      </c>
      <c r="C286" s="16" t="s">
        <v>447</v>
      </c>
      <c r="D286" s="1">
        <v>285</v>
      </c>
      <c r="E286" s="1">
        <v>6</v>
      </c>
      <c r="F286" s="1">
        <v>6</v>
      </c>
      <c r="G286" s="1">
        <v>1</v>
      </c>
      <c r="H286" s="1">
        <v>72</v>
      </c>
      <c r="I286" s="1">
        <v>1</v>
      </c>
      <c r="J286" s="1">
        <v>1</v>
      </c>
      <c r="K286" s="18">
        <v>1</v>
      </c>
      <c r="L286" s="18">
        <v>1</v>
      </c>
      <c r="M286" s="18">
        <v>1</v>
      </c>
      <c r="N286" s="18">
        <v>0</v>
      </c>
      <c r="O286" s="18">
        <v>1</v>
      </c>
      <c r="P286" s="4">
        <v>0.8</v>
      </c>
      <c r="Q286" s="3">
        <v>33</v>
      </c>
      <c r="R286" s="1">
        <v>34</v>
      </c>
      <c r="S286" s="1">
        <v>62</v>
      </c>
      <c r="T286" s="1">
        <v>93</v>
      </c>
      <c r="U286" s="1">
        <v>107</v>
      </c>
      <c r="V286" s="1">
        <v>138</v>
      </c>
      <c r="W286" s="1">
        <v>128</v>
      </c>
      <c r="X286" s="1">
        <v>130</v>
      </c>
      <c r="Y286" s="1">
        <v>76</v>
      </c>
      <c r="Z286" s="1">
        <v>206</v>
      </c>
      <c r="AA286" s="1">
        <v>198</v>
      </c>
      <c r="AB286" s="1">
        <v>204</v>
      </c>
      <c r="AC286" s="1">
        <v>406</v>
      </c>
      <c r="AD286" s="1">
        <v>458</v>
      </c>
      <c r="AE286" s="1">
        <v>456</v>
      </c>
      <c r="AF286" s="1">
        <v>412</v>
      </c>
      <c r="AG286" s="1">
        <v>418</v>
      </c>
      <c r="AH286" s="1">
        <v>413</v>
      </c>
      <c r="AI286" s="4">
        <v>202.67</v>
      </c>
      <c r="AJ286" s="4">
        <v>440</v>
      </c>
      <c r="AK286" s="4">
        <v>414.33</v>
      </c>
      <c r="AL286" s="1">
        <v>1</v>
      </c>
      <c r="AM286" s="1">
        <v>2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9">
        <v>0</v>
      </c>
      <c r="AT286" s="19">
        <v>0</v>
      </c>
      <c r="AU286" s="19">
        <v>0</v>
      </c>
      <c r="AV286" s="19">
        <v>0</v>
      </c>
      <c r="AW286" s="19">
        <v>0</v>
      </c>
      <c r="AX286" s="19">
        <f t="shared" ref="AX286:BC286" si="142">AL286+AL287+AL288+AL289</f>
        <v>1</v>
      </c>
      <c r="AY286" s="19">
        <f t="shared" si="142"/>
        <v>2</v>
      </c>
      <c r="AZ286" s="19">
        <f t="shared" si="142"/>
        <v>0</v>
      </c>
      <c r="BA286" s="19">
        <f t="shared" si="142"/>
        <v>0</v>
      </c>
      <c r="BB286" s="19">
        <f t="shared" si="142"/>
        <v>0</v>
      </c>
      <c r="BC286" s="19">
        <f t="shared" si="142"/>
        <v>0</v>
      </c>
      <c r="BD286" s="1">
        <f>AX286*3</f>
        <v>3</v>
      </c>
      <c r="BE286" s="1">
        <f t="shared" ref="BE286:BI286" si="143">AY286*3</f>
        <v>6</v>
      </c>
      <c r="BF286" s="1">
        <f t="shared" si="143"/>
        <v>0</v>
      </c>
      <c r="BG286" s="1">
        <f t="shared" si="143"/>
        <v>0</v>
      </c>
      <c r="BH286" s="1">
        <f t="shared" si="143"/>
        <v>0</v>
      </c>
      <c r="BI286" s="1">
        <f t="shared" si="143"/>
        <v>0</v>
      </c>
      <c r="BJ286" s="1">
        <f>AX286+AY286+AZ286</f>
        <v>3</v>
      </c>
      <c r="BK286" s="1">
        <f>BA286+BB286+BC286</f>
        <v>0</v>
      </c>
      <c r="BL286" s="1">
        <f>BJ286*3</f>
        <v>9</v>
      </c>
      <c r="BM286" s="1">
        <f>BK286*3</f>
        <v>0</v>
      </c>
      <c r="BN286" s="1">
        <f>BL286/3</f>
        <v>3</v>
      </c>
      <c r="BO286" s="1">
        <f>BM286/3</f>
        <v>0</v>
      </c>
      <c r="BP286" s="4">
        <v>199.66666666666666</v>
      </c>
      <c r="BQ286" s="4">
        <v>440</v>
      </c>
      <c r="BR286" s="4">
        <v>414.33333333333331</v>
      </c>
      <c r="BS286" s="4">
        <v>440</v>
      </c>
      <c r="BT286" s="4">
        <v>414.33</v>
      </c>
      <c r="BU286" s="4">
        <v>4</v>
      </c>
      <c r="BV286" s="1">
        <v>1</v>
      </c>
      <c r="BW286" s="1">
        <v>1</v>
      </c>
      <c r="BX286" s="1">
        <v>1</v>
      </c>
      <c r="BY286" s="1">
        <v>1</v>
      </c>
      <c r="BZ286" s="1">
        <v>1</v>
      </c>
      <c r="CA286" s="1">
        <v>1</v>
      </c>
      <c r="CB286" s="1">
        <v>1</v>
      </c>
      <c r="CC286" s="1">
        <v>1</v>
      </c>
      <c r="CD286" s="1">
        <v>1</v>
      </c>
      <c r="CE286" s="1">
        <v>1</v>
      </c>
      <c r="CF286" s="1">
        <v>1</v>
      </c>
      <c r="CG286" s="1">
        <v>1</v>
      </c>
      <c r="CH286" s="1">
        <v>0</v>
      </c>
      <c r="CI286" s="1">
        <v>7</v>
      </c>
      <c r="CJ286" s="1">
        <v>7</v>
      </c>
      <c r="CK286" s="1">
        <v>7</v>
      </c>
      <c r="CL286" s="1">
        <v>6</v>
      </c>
      <c r="CM286" s="1">
        <v>5</v>
      </c>
      <c r="CN286" s="1">
        <v>6</v>
      </c>
      <c r="CO286" s="1">
        <v>5</v>
      </c>
      <c r="CP286" s="1">
        <v>1</v>
      </c>
      <c r="CQ286" s="1">
        <v>7</v>
      </c>
      <c r="CR286" s="1">
        <v>7</v>
      </c>
      <c r="CS286" s="1">
        <v>7</v>
      </c>
      <c r="CT286" s="1">
        <v>7</v>
      </c>
      <c r="CU286" s="1">
        <v>6</v>
      </c>
      <c r="CV286" s="1">
        <v>6</v>
      </c>
      <c r="CW286" s="1">
        <v>6</v>
      </c>
      <c r="CX286" s="1">
        <v>6</v>
      </c>
      <c r="CY286" s="1">
        <v>6</v>
      </c>
      <c r="CZ286" s="1">
        <v>7</v>
      </c>
      <c r="DA286" s="1">
        <v>7</v>
      </c>
      <c r="DB286" s="1">
        <v>7</v>
      </c>
      <c r="DC286" s="1">
        <v>7</v>
      </c>
      <c r="DD286" s="1">
        <v>7</v>
      </c>
      <c r="DE286" s="1">
        <v>6</v>
      </c>
      <c r="DF286" s="1">
        <v>6</v>
      </c>
      <c r="DG286" s="1">
        <v>6</v>
      </c>
      <c r="DH286" s="1">
        <v>7</v>
      </c>
      <c r="DI286" s="1">
        <v>7</v>
      </c>
      <c r="DJ286" s="1">
        <v>5</v>
      </c>
      <c r="DK286" s="1">
        <v>5</v>
      </c>
      <c r="DL286" s="1">
        <v>7</v>
      </c>
      <c r="DM286" s="19">
        <v>7</v>
      </c>
      <c r="DN286" s="19">
        <v>5</v>
      </c>
      <c r="DO286" s="1">
        <v>1</v>
      </c>
      <c r="DP286" s="1">
        <v>7</v>
      </c>
      <c r="DQ286" s="1">
        <v>6</v>
      </c>
      <c r="DR286" s="1">
        <v>6</v>
      </c>
      <c r="DS286" s="1">
        <v>7</v>
      </c>
      <c r="DT286" s="1">
        <v>6</v>
      </c>
      <c r="DU286" s="27">
        <v>6</v>
      </c>
      <c r="DV286" s="27">
        <v>6</v>
      </c>
      <c r="DW286" s="27">
        <v>3</v>
      </c>
      <c r="DX286" s="27">
        <v>4</v>
      </c>
      <c r="DY286" s="27">
        <v>4</v>
      </c>
      <c r="DZ286" s="27">
        <v>6</v>
      </c>
      <c r="EA286" s="27">
        <v>2</v>
      </c>
      <c r="EB286" s="27">
        <v>5</v>
      </c>
      <c r="EC286" s="27">
        <v>4</v>
      </c>
      <c r="ED286" s="27">
        <v>4</v>
      </c>
      <c r="EE286" s="27">
        <v>5</v>
      </c>
      <c r="EF286" s="27">
        <v>1</v>
      </c>
      <c r="EG286" s="27">
        <v>6</v>
      </c>
      <c r="EH286" s="27">
        <v>4</v>
      </c>
      <c r="EI286" s="27">
        <v>4</v>
      </c>
      <c r="EJ286" s="27">
        <v>3</v>
      </c>
      <c r="EK286" s="27">
        <v>4</v>
      </c>
      <c r="EL286" s="27">
        <v>2</v>
      </c>
      <c r="EM286" s="27">
        <v>4</v>
      </c>
      <c r="EN286" s="27">
        <v>1</v>
      </c>
      <c r="EO286" s="27">
        <v>7</v>
      </c>
      <c r="EP286" s="27">
        <v>7</v>
      </c>
      <c r="EQ286" s="27">
        <v>7</v>
      </c>
      <c r="ER286" s="27">
        <v>5</v>
      </c>
      <c r="ES286" s="27">
        <v>5</v>
      </c>
      <c r="ET286" s="27">
        <v>7</v>
      </c>
      <c r="EU286" s="27">
        <v>7</v>
      </c>
      <c r="EV286" s="27">
        <v>18</v>
      </c>
      <c r="EW286" s="27">
        <v>1</v>
      </c>
      <c r="EY286" s="27">
        <v>1</v>
      </c>
      <c r="FA286" s="27">
        <v>1</v>
      </c>
      <c r="FB286" s="28" t="s">
        <v>955</v>
      </c>
      <c r="FC286" s="27">
        <v>0</v>
      </c>
      <c r="FD286" s="1">
        <v>4</v>
      </c>
      <c r="FE286" s="4">
        <v>6.25</v>
      </c>
      <c r="FF286" s="4">
        <v>6.69</v>
      </c>
      <c r="FG286" s="4">
        <v>7.88</v>
      </c>
      <c r="FH286" s="4">
        <v>6.75</v>
      </c>
      <c r="FI286" s="4">
        <v>6.75</v>
      </c>
      <c r="FJ286" s="23">
        <v>6.5</v>
      </c>
      <c r="FK286" s="4">
        <v>5.13</v>
      </c>
      <c r="FL286" s="4">
        <v>6.13</v>
      </c>
      <c r="FM286" s="4">
        <v>4.5</v>
      </c>
      <c r="FN286" s="4">
        <v>5.25</v>
      </c>
      <c r="FO286" s="4">
        <v>6.17</v>
      </c>
      <c r="FP286" s="4">
        <v>5.17</v>
      </c>
      <c r="FQ286" s="4">
        <v>3.25</v>
      </c>
      <c r="FR286" s="4">
        <v>1.5</v>
      </c>
      <c r="FS286" s="4">
        <v>3.5</v>
      </c>
      <c r="FT286" s="4">
        <v>4.75</v>
      </c>
      <c r="FU286" s="4">
        <v>3.75</v>
      </c>
      <c r="FV286" s="4">
        <v>5.75</v>
      </c>
      <c r="FW286" s="4">
        <v>3.25</v>
      </c>
      <c r="FX286" s="4">
        <v>5.75</v>
      </c>
      <c r="FY286" s="4">
        <v>6</v>
      </c>
      <c r="FZ286" s="4">
        <v>5.25</v>
      </c>
      <c r="GA286" s="4">
        <v>2.13</v>
      </c>
      <c r="GB286" s="4">
        <v>6.75</v>
      </c>
      <c r="GC286" s="4">
        <v>5.75</v>
      </c>
      <c r="GD286" s="4">
        <v>5.75</v>
      </c>
      <c r="GE286" s="26"/>
      <c r="GF286" s="26"/>
      <c r="GG286" s="4"/>
      <c r="JH286" s="1"/>
      <c r="JV286" s="1"/>
      <c r="KM286" s="4"/>
      <c r="LA286" s="4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</row>
    <row r="287" spans="1:376" x14ac:dyDescent="0.35">
      <c r="A287" s="14">
        <v>43735</v>
      </c>
      <c r="B287" s="16" t="s">
        <v>160</v>
      </c>
      <c r="C287" s="16" t="s">
        <v>448</v>
      </c>
      <c r="D287" s="1">
        <v>286</v>
      </c>
      <c r="E287" s="1">
        <v>6</v>
      </c>
      <c r="F287" s="1">
        <v>6</v>
      </c>
      <c r="H287" s="1">
        <v>72</v>
      </c>
      <c r="I287" s="1">
        <v>2</v>
      </c>
      <c r="K287" s="18">
        <v>1</v>
      </c>
      <c r="L287" s="18">
        <v>1</v>
      </c>
      <c r="M287" s="18">
        <v>1</v>
      </c>
      <c r="N287" s="18">
        <v>1</v>
      </c>
      <c r="O287" s="18">
        <v>1</v>
      </c>
      <c r="P287" s="4">
        <v>1</v>
      </c>
      <c r="Q287" s="3">
        <v>41</v>
      </c>
      <c r="R287" s="1">
        <v>41</v>
      </c>
      <c r="S287" s="1">
        <v>31</v>
      </c>
      <c r="T287" s="1">
        <v>96</v>
      </c>
      <c r="U287" s="1">
        <v>106</v>
      </c>
      <c r="V287" s="1">
        <v>104</v>
      </c>
      <c r="W287" s="1">
        <v>98</v>
      </c>
      <c r="X287" s="1">
        <v>105</v>
      </c>
      <c r="Y287" s="1">
        <v>135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9">
        <v>0</v>
      </c>
      <c r="AT287" s="19">
        <v>0</v>
      </c>
      <c r="AU287" s="19">
        <v>0</v>
      </c>
      <c r="AV287" s="19">
        <v>0</v>
      </c>
      <c r="AW287" s="19">
        <v>0</v>
      </c>
      <c r="AX287" s="19"/>
      <c r="AY287"/>
      <c r="AZ287"/>
      <c r="BA287"/>
      <c r="BB287"/>
      <c r="BC287"/>
      <c r="CI287" s="1">
        <v>7</v>
      </c>
      <c r="CJ287" s="1">
        <v>7</v>
      </c>
      <c r="CK287" s="1">
        <v>7</v>
      </c>
      <c r="CL287" s="1">
        <v>7</v>
      </c>
      <c r="CM287" s="1">
        <v>7</v>
      </c>
      <c r="CN287" s="1">
        <v>7</v>
      </c>
      <c r="CO287" s="1">
        <v>7</v>
      </c>
      <c r="CP287" s="1">
        <v>1</v>
      </c>
      <c r="CQ287" s="1">
        <v>7</v>
      </c>
      <c r="CR287" s="1">
        <v>7</v>
      </c>
      <c r="CS287" s="1">
        <v>7</v>
      </c>
      <c r="CT287" s="1">
        <v>7</v>
      </c>
      <c r="CU287" s="1">
        <v>7</v>
      </c>
      <c r="CV287" s="1">
        <v>7</v>
      </c>
      <c r="CW287" s="1">
        <v>7</v>
      </c>
      <c r="CX287" s="1">
        <v>7</v>
      </c>
      <c r="CY287" s="1">
        <v>7</v>
      </c>
      <c r="CZ287" s="1">
        <v>7</v>
      </c>
      <c r="DA287" s="1">
        <v>7</v>
      </c>
      <c r="DB287" s="1">
        <v>7</v>
      </c>
      <c r="DC287" s="1">
        <v>7</v>
      </c>
      <c r="DD287" s="1">
        <v>7</v>
      </c>
      <c r="DE287" s="1">
        <v>7</v>
      </c>
      <c r="DF287" s="1">
        <v>2</v>
      </c>
      <c r="DG287" s="1">
        <v>2</v>
      </c>
      <c r="DH287" s="1">
        <v>3</v>
      </c>
      <c r="DI287" s="1">
        <v>6</v>
      </c>
      <c r="DJ287" s="1">
        <v>2</v>
      </c>
      <c r="DK287" s="1">
        <v>5</v>
      </c>
      <c r="DL287" s="1">
        <v>5</v>
      </c>
      <c r="DM287" s="19">
        <v>5</v>
      </c>
      <c r="DN287" s="19">
        <v>5</v>
      </c>
      <c r="DO287" s="1">
        <v>1</v>
      </c>
      <c r="DP287" s="1">
        <v>2</v>
      </c>
      <c r="DQ287" s="1">
        <v>3</v>
      </c>
      <c r="DR287" s="1">
        <v>7</v>
      </c>
      <c r="DS287" s="1">
        <v>7</v>
      </c>
      <c r="DT287" s="1">
        <v>7</v>
      </c>
      <c r="DU287" s="27">
        <v>7</v>
      </c>
      <c r="DV287" s="27">
        <v>5</v>
      </c>
      <c r="DW287" s="27">
        <v>2</v>
      </c>
      <c r="DX287" s="27">
        <v>4</v>
      </c>
      <c r="DY287" s="27">
        <v>4</v>
      </c>
      <c r="DZ287" s="27">
        <v>4</v>
      </c>
      <c r="EA287" s="27">
        <v>1</v>
      </c>
      <c r="EB287" s="27">
        <v>1</v>
      </c>
      <c r="EC287" s="27">
        <v>7</v>
      </c>
      <c r="ED287" s="27">
        <v>4</v>
      </c>
      <c r="EE287" s="27">
        <v>7</v>
      </c>
      <c r="EF287" s="27">
        <v>1</v>
      </c>
      <c r="EG287" s="27">
        <v>7</v>
      </c>
      <c r="EH287" s="27">
        <v>7</v>
      </c>
      <c r="EI287" s="27">
        <v>7</v>
      </c>
      <c r="EJ287" s="27">
        <v>7</v>
      </c>
      <c r="EK287" s="27">
        <v>7</v>
      </c>
      <c r="EL287" s="27">
        <v>7</v>
      </c>
      <c r="EM287" s="27">
        <v>1</v>
      </c>
      <c r="EN287" s="27">
        <v>1</v>
      </c>
      <c r="EO287" s="27">
        <v>7</v>
      </c>
      <c r="EP287" s="27">
        <v>7</v>
      </c>
      <c r="EQ287" s="27">
        <v>7</v>
      </c>
      <c r="ER287" s="27">
        <v>7</v>
      </c>
      <c r="ES287" s="27">
        <v>7</v>
      </c>
      <c r="ET287" s="27">
        <v>4</v>
      </c>
      <c r="EU287" s="27">
        <v>4</v>
      </c>
      <c r="EV287" s="27">
        <v>18</v>
      </c>
      <c r="EW287" s="27">
        <v>1</v>
      </c>
      <c r="EY287" s="27">
        <v>1</v>
      </c>
      <c r="FA287" s="27">
        <v>1</v>
      </c>
      <c r="FB287" s="28" t="s">
        <v>774</v>
      </c>
      <c r="FC287" s="27">
        <v>0</v>
      </c>
      <c r="FD287" s="1">
        <v>9</v>
      </c>
      <c r="JH287" s="1"/>
      <c r="JV287" s="1"/>
      <c r="JZ287" s="4"/>
      <c r="KN287" s="4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s="1"/>
    </row>
    <row r="288" spans="1:376" x14ac:dyDescent="0.35">
      <c r="A288" s="14">
        <v>43735</v>
      </c>
      <c r="B288" s="16" t="s">
        <v>160</v>
      </c>
      <c r="C288" s="16" t="s">
        <v>449</v>
      </c>
      <c r="D288" s="1">
        <v>287</v>
      </c>
      <c r="E288" s="1">
        <v>6</v>
      </c>
      <c r="F288" s="1">
        <v>6</v>
      </c>
      <c r="H288" s="1">
        <v>72</v>
      </c>
      <c r="I288" s="1">
        <v>3</v>
      </c>
      <c r="K288" s="18">
        <v>0</v>
      </c>
      <c r="L288" s="18">
        <v>1</v>
      </c>
      <c r="M288" s="18">
        <v>1</v>
      </c>
      <c r="N288" s="18">
        <v>1</v>
      </c>
      <c r="O288" s="18">
        <v>0</v>
      </c>
      <c r="P288" s="4">
        <v>0.6</v>
      </c>
      <c r="Q288" s="3">
        <v>93</v>
      </c>
      <c r="R288" s="1">
        <v>78</v>
      </c>
      <c r="S288" s="1">
        <v>73</v>
      </c>
      <c r="T288" s="1">
        <v>112</v>
      </c>
      <c r="U288" s="1">
        <v>127</v>
      </c>
      <c r="V288" s="1">
        <v>122</v>
      </c>
      <c r="W288" s="1">
        <v>99</v>
      </c>
      <c r="X288" s="1">
        <v>87</v>
      </c>
      <c r="Y288" s="1">
        <v>93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2</v>
      </c>
      <c r="AS288" s="19">
        <v>4</v>
      </c>
      <c r="AT288" s="19">
        <v>0</v>
      </c>
      <c r="AU288" s="19">
        <v>0</v>
      </c>
      <c r="AV288" s="19">
        <v>0</v>
      </c>
      <c r="AW288" s="19">
        <v>0</v>
      </c>
      <c r="AX288" s="19"/>
      <c r="AY288"/>
      <c r="AZ288"/>
      <c r="BA288"/>
      <c r="BB288"/>
      <c r="BC288"/>
      <c r="CI288" s="1">
        <v>7</v>
      </c>
      <c r="CJ288" s="1">
        <v>6</v>
      </c>
      <c r="CK288" s="1">
        <v>7</v>
      </c>
      <c r="CL288" s="1">
        <v>7</v>
      </c>
      <c r="CM288" s="1">
        <v>6</v>
      </c>
      <c r="CN288" s="1">
        <v>7</v>
      </c>
      <c r="CO288" s="1">
        <v>7</v>
      </c>
      <c r="CP288" s="1">
        <v>1</v>
      </c>
      <c r="CQ288" s="1">
        <v>7</v>
      </c>
      <c r="CR288" s="1">
        <v>7</v>
      </c>
      <c r="CS288" s="1">
        <v>7</v>
      </c>
      <c r="CT288" s="1">
        <v>7</v>
      </c>
      <c r="CU288" s="1">
        <v>7</v>
      </c>
      <c r="CV288" s="1">
        <v>7</v>
      </c>
      <c r="CW288" s="1">
        <v>7</v>
      </c>
      <c r="CX288" s="1">
        <v>7</v>
      </c>
      <c r="CY288" s="1">
        <v>7</v>
      </c>
      <c r="CZ288" s="1">
        <v>7</v>
      </c>
      <c r="DA288" s="1">
        <v>7</v>
      </c>
      <c r="DB288" s="1">
        <v>7</v>
      </c>
      <c r="DC288" s="1">
        <v>7</v>
      </c>
      <c r="DD288" s="1">
        <v>7</v>
      </c>
      <c r="DE288" s="1">
        <v>7</v>
      </c>
      <c r="DF288" s="1">
        <v>6</v>
      </c>
      <c r="DG288" s="1">
        <v>5</v>
      </c>
      <c r="DH288" s="1">
        <v>7</v>
      </c>
      <c r="DI288" s="1">
        <v>7</v>
      </c>
      <c r="DJ288" s="1">
        <v>7</v>
      </c>
      <c r="DK288" s="1">
        <v>7</v>
      </c>
      <c r="DL288" s="1">
        <v>7</v>
      </c>
      <c r="DM288" s="19">
        <v>7</v>
      </c>
      <c r="DN288" s="19">
        <v>7</v>
      </c>
      <c r="DO288" s="1">
        <v>7</v>
      </c>
      <c r="DP288" s="1">
        <v>6</v>
      </c>
      <c r="DQ288" s="1">
        <v>7</v>
      </c>
      <c r="DR288" s="1">
        <v>7</v>
      </c>
      <c r="DS288" s="1">
        <v>7</v>
      </c>
      <c r="DT288" s="1">
        <v>7</v>
      </c>
      <c r="DU288" s="27">
        <v>6</v>
      </c>
      <c r="DV288" s="27">
        <v>7</v>
      </c>
      <c r="DW288" s="27">
        <v>2</v>
      </c>
      <c r="DX288" s="27">
        <v>1</v>
      </c>
      <c r="DY288" s="27">
        <v>1</v>
      </c>
      <c r="DZ288" s="27">
        <v>2</v>
      </c>
      <c r="EA288" s="27">
        <v>1</v>
      </c>
      <c r="EB288" s="27">
        <v>2</v>
      </c>
      <c r="EC288" s="27">
        <v>4</v>
      </c>
      <c r="ED288" s="27">
        <v>1</v>
      </c>
      <c r="EE288" s="27">
        <v>5</v>
      </c>
      <c r="EF288" s="27">
        <v>5</v>
      </c>
      <c r="EG288" s="27">
        <v>6</v>
      </c>
      <c r="EH288" s="27">
        <v>7</v>
      </c>
      <c r="EI288" s="27">
        <v>7</v>
      </c>
      <c r="EJ288" s="27">
        <v>7</v>
      </c>
      <c r="EK288" s="27">
        <v>7</v>
      </c>
      <c r="EL288" s="27">
        <v>7</v>
      </c>
      <c r="EM288" s="27">
        <v>1</v>
      </c>
      <c r="EN288" s="27">
        <v>1</v>
      </c>
      <c r="EO288" s="27">
        <v>7</v>
      </c>
      <c r="EP288" s="27">
        <v>7</v>
      </c>
      <c r="EQ288" s="27">
        <v>7</v>
      </c>
      <c r="ER288" s="27">
        <v>7</v>
      </c>
      <c r="ES288" s="27">
        <v>7</v>
      </c>
      <c r="ET288" s="27">
        <v>6</v>
      </c>
      <c r="EU288" s="27">
        <v>6</v>
      </c>
      <c r="EV288" s="27">
        <v>18</v>
      </c>
      <c r="EW288" s="27">
        <v>2</v>
      </c>
      <c r="EY288" s="27">
        <v>2</v>
      </c>
      <c r="FA288" s="27">
        <v>1</v>
      </c>
      <c r="FB288" s="28" t="s">
        <v>838</v>
      </c>
      <c r="FC288" s="27">
        <v>1</v>
      </c>
      <c r="FD288" s="1">
        <v>5</v>
      </c>
      <c r="JH288" s="1"/>
      <c r="JV288" s="1"/>
      <c r="JZ288" s="4"/>
      <c r="KN288" s="4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</row>
    <row r="289" spans="1:363" x14ac:dyDescent="0.35">
      <c r="A289" s="14">
        <v>43735</v>
      </c>
      <c r="B289" s="16" t="s">
        <v>160</v>
      </c>
      <c r="C289" s="16" t="s">
        <v>450</v>
      </c>
      <c r="D289" s="1">
        <v>288</v>
      </c>
      <c r="E289" s="1">
        <v>6</v>
      </c>
      <c r="F289" s="1">
        <v>6</v>
      </c>
      <c r="H289" s="1">
        <v>72</v>
      </c>
      <c r="I289" s="1">
        <v>4</v>
      </c>
      <c r="K289" s="18">
        <v>1</v>
      </c>
      <c r="L289" s="18">
        <v>1</v>
      </c>
      <c r="M289" s="18">
        <v>1</v>
      </c>
      <c r="N289" s="18">
        <v>1</v>
      </c>
      <c r="O289" s="18">
        <v>0</v>
      </c>
      <c r="P289" s="4">
        <v>0.8</v>
      </c>
      <c r="Q289" s="3">
        <v>39</v>
      </c>
      <c r="R289" s="1">
        <v>45</v>
      </c>
      <c r="S289" s="1">
        <v>38</v>
      </c>
      <c r="T289" s="1">
        <v>105</v>
      </c>
      <c r="U289" s="1">
        <v>118</v>
      </c>
      <c r="V289" s="1">
        <v>92</v>
      </c>
      <c r="W289" s="1">
        <v>87</v>
      </c>
      <c r="X289" s="1">
        <v>96</v>
      </c>
      <c r="Y289" s="1">
        <v>109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9">
        <v>0</v>
      </c>
      <c r="AX289" s="19"/>
      <c r="AY289"/>
      <c r="AZ289"/>
      <c r="BA289"/>
      <c r="BB289"/>
      <c r="BC289"/>
      <c r="CI289" s="1">
        <v>6</v>
      </c>
      <c r="CJ289" s="1">
        <v>6</v>
      </c>
      <c r="CK289" s="1">
        <v>6</v>
      </c>
      <c r="CL289" s="1">
        <v>5</v>
      </c>
      <c r="CM289" s="1">
        <v>4</v>
      </c>
      <c r="CN289" s="1">
        <v>5</v>
      </c>
      <c r="CO289" s="1">
        <v>4</v>
      </c>
      <c r="CP289" s="1">
        <v>3</v>
      </c>
      <c r="CQ289" s="1">
        <v>6</v>
      </c>
      <c r="CR289" s="1">
        <v>6</v>
      </c>
      <c r="CS289" s="1">
        <v>6</v>
      </c>
      <c r="CT289" s="1">
        <v>5</v>
      </c>
      <c r="CU289" s="1">
        <v>5</v>
      </c>
      <c r="CV289" s="1">
        <v>6</v>
      </c>
      <c r="CW289" s="1">
        <v>5</v>
      </c>
      <c r="CX289" s="1">
        <v>6</v>
      </c>
      <c r="CY289" s="1">
        <v>4</v>
      </c>
      <c r="CZ289" s="1">
        <v>6</v>
      </c>
      <c r="DA289" s="1">
        <v>6</v>
      </c>
      <c r="DB289" s="1">
        <v>6</v>
      </c>
      <c r="DC289" s="1">
        <v>6</v>
      </c>
      <c r="DD289" s="1">
        <v>6</v>
      </c>
      <c r="DE289" s="1">
        <v>6</v>
      </c>
      <c r="DF289" s="1">
        <v>5</v>
      </c>
      <c r="DG289" s="1">
        <v>6</v>
      </c>
      <c r="DH289" s="1">
        <v>4</v>
      </c>
      <c r="DI289" s="1">
        <v>4</v>
      </c>
      <c r="DJ289" s="1">
        <v>5</v>
      </c>
      <c r="DK289" s="1">
        <v>4</v>
      </c>
      <c r="DL289" s="1">
        <v>6</v>
      </c>
      <c r="DM289" s="19">
        <v>5</v>
      </c>
      <c r="DN289" s="19">
        <v>4</v>
      </c>
      <c r="DO289" s="1">
        <v>6</v>
      </c>
      <c r="DP289" s="1">
        <v>6</v>
      </c>
      <c r="DQ289" s="1">
        <v>5</v>
      </c>
      <c r="DR289" s="1">
        <v>3</v>
      </c>
      <c r="DS289" s="1">
        <v>6</v>
      </c>
      <c r="DT289" s="1">
        <v>4</v>
      </c>
      <c r="DU289" s="27">
        <v>7</v>
      </c>
      <c r="DV289" s="27">
        <v>7</v>
      </c>
      <c r="DW289" s="27">
        <v>4</v>
      </c>
      <c r="DX289" s="27">
        <v>4</v>
      </c>
      <c r="DY289" s="27">
        <v>4</v>
      </c>
      <c r="DZ289" s="27">
        <v>2</v>
      </c>
      <c r="EA289" s="27">
        <v>2</v>
      </c>
      <c r="EB289" s="27">
        <v>6</v>
      </c>
      <c r="EC289" s="27">
        <v>4</v>
      </c>
      <c r="ED289" s="27">
        <v>6</v>
      </c>
      <c r="EE289" s="27">
        <v>6</v>
      </c>
      <c r="EF289" s="27">
        <v>6</v>
      </c>
      <c r="EG289" s="27">
        <v>4</v>
      </c>
      <c r="EH289" s="27">
        <v>6</v>
      </c>
      <c r="EI289" s="27">
        <v>6</v>
      </c>
      <c r="EJ289" s="27">
        <v>4</v>
      </c>
      <c r="EK289" s="27">
        <v>4</v>
      </c>
      <c r="EL289" s="27">
        <v>4</v>
      </c>
      <c r="EM289" s="27">
        <v>4</v>
      </c>
      <c r="EN289" s="27">
        <v>4</v>
      </c>
      <c r="EO289" s="27">
        <v>6</v>
      </c>
      <c r="EP289" s="27">
        <v>6</v>
      </c>
      <c r="EQ289" s="27">
        <v>6</v>
      </c>
      <c r="ER289" s="27">
        <v>4</v>
      </c>
      <c r="ES289" s="27">
        <v>4</v>
      </c>
      <c r="ET289" s="27">
        <v>6</v>
      </c>
      <c r="EU289" s="27">
        <v>6</v>
      </c>
      <c r="EV289" s="27">
        <v>18</v>
      </c>
      <c r="EW289" s="27">
        <v>2</v>
      </c>
      <c r="EY289" s="27">
        <v>1</v>
      </c>
      <c r="FA289" s="27">
        <v>1</v>
      </c>
      <c r="FB289" s="28" t="s">
        <v>838</v>
      </c>
      <c r="FC289" s="27">
        <v>1</v>
      </c>
      <c r="FD289" s="1">
        <v>9</v>
      </c>
      <c r="JH289" s="1"/>
      <c r="JV289" s="1"/>
      <c r="JZ289" s="4"/>
      <c r="KN289" s="4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</row>
  </sheetData>
  <phoneticPr fontId="4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Daniel DeCaro</cp:lastModifiedBy>
  <dcterms:created xsi:type="dcterms:W3CDTF">2011-08-01T14:22:18Z</dcterms:created>
  <dcterms:modified xsi:type="dcterms:W3CDTF">2023-05-15T17:22:51Z</dcterms:modified>
</cp:coreProperties>
</file>